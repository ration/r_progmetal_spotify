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Prog-metal" sheetId="1" r:id="rId3"/>
  </sheets>
  <definedNames>
    <definedName name="lengthRange2019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Join us to discuss all this new music and more!</t>
      </text>
    </comment>
    <comment authorId="0" ref="C5">
      <text>
        <t xml:space="preserve">Reissued Albums and Special Releases inluding Live Albums, Boxsets, etc.</t>
      </text>
    </comment>
    <comment authorId="0" ref="D6">
      <text>
        <t xml:space="preserve">Orange Highlighted albums are Debut Albums by that Artist
Green Highlighted albums are Reissues or other Special Releases</t>
      </text>
    </comment>
    <comment authorId="0" ref="F6">
      <text>
        <t xml:space="preserve">Clean vocals: No screams
Harsh vocals: Screams
Mixed: Clean and Screams
Instrumental: No vocals</t>
      </text>
    </comment>
    <comment authorId="0" ref="J6">
      <text>
        <t xml:space="preserve">Official album streams from Band/Record pages or auto-generated YouTube playlist.</t>
      </text>
    </comment>
  </commentList>
</comments>
</file>

<file path=xl/sharedStrings.xml><?xml version="1.0" encoding="utf-8"?>
<sst xmlns="http://schemas.openxmlformats.org/spreadsheetml/2006/main" count="20033" uniqueCount="6657">
  <si>
    <t>2025 Progressive Metal Albums</t>
  </si>
  <si>
    <t>Releases:</t>
  </si>
  <si>
    <r>
      <rPr>
        <rFont val="Calibri"/>
        <b/>
        <color rgb="FF000000"/>
        <sz val="11.0"/>
      </rPr>
      <t xml:space="preserve">Sort by Artist, Vocal Style, or Genre:
</t>
    </r>
    <r>
      <rPr>
        <rFont val="Calibri"/>
        <b val="0"/>
        <color rgb="FF000000"/>
        <sz val="11.0"/>
      </rPr>
      <t>Data -&gt; Filter views... -&gt; ...</t>
    </r>
    <r>
      <rPr>
        <rFont val="Calibri"/>
        <b/>
        <color rgb="FF000000"/>
        <sz val="11.0"/>
      </rPr>
      <t xml:space="preserve">
Or create your own Filter View:
</t>
    </r>
    <r>
      <rPr>
        <rFont val="Calibri"/>
        <b val="0"/>
        <color rgb="FF000000"/>
        <sz val="11.0"/>
      </rPr>
      <t>Data -&gt; Filter views... -&gt; Create a new filter view</t>
    </r>
  </si>
  <si>
    <r>
      <rPr>
        <rFont val="Calibri"/>
        <color rgb="FF000000"/>
        <sz val="11.0"/>
      </rPr>
      <t xml:space="preserve">Collaborators: 
</t>
    </r>
    <r>
      <rPr>
        <rFont val="Calibri"/>
        <b/>
        <color rgb="FF000000"/>
        <sz val="11.0"/>
      </rPr>
      <t>iAmTheEpicOne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         FranticDav | Faceless_Aeons
  Vortexpro000 | theSmilingCow
   PyroL | Fayiron
Unsinful | allmediareviews</t>
    </r>
  </si>
  <si>
    <t>LPs:</t>
  </si>
  <si>
    <t>EPs:</t>
  </si>
  <si>
    <t>Debuts:</t>
  </si>
  <si>
    <t>Reissue/Special:</t>
  </si>
  <si>
    <t>Artist</t>
  </si>
  <si>
    <t>Album</t>
  </si>
  <si>
    <t>Release Date</t>
  </si>
  <si>
    <t>Length</t>
  </si>
  <si>
    <t>Genre / Subgenres</t>
  </si>
  <si>
    <t>Vocal Style</t>
  </si>
  <si>
    <t>Country / State</t>
  </si>
  <si>
    <t>Bandcamp</t>
  </si>
  <si>
    <t>Spotify</t>
  </si>
  <si>
    <t>YouTube</t>
  </si>
  <si>
    <t>Amazon</t>
  </si>
  <si>
    <t>Apple Music</t>
  </si>
  <si>
    <t>Estuarine</t>
  </si>
  <si>
    <t>Corporeal Furnace</t>
  </si>
  <si>
    <t>LP</t>
  </si>
  <si>
    <t>Experimental Death metal</t>
  </si>
  <si>
    <t>Harsh</t>
  </si>
  <si>
    <t>Tampa, FL</t>
  </si>
  <si>
    <t>BC</t>
  </si>
  <si>
    <t>S</t>
  </si>
  <si>
    <t>Mirar</t>
  </si>
  <si>
    <t>Ascension</t>
  </si>
  <si>
    <t>Avant-Garde metal, Harsh Electronic, Djent</t>
  </si>
  <si>
    <t>Instrumental</t>
  </si>
  <si>
    <t>France</t>
  </si>
  <si>
    <t>Coffret de Bijoux</t>
  </si>
  <si>
    <t>lei</t>
  </si>
  <si>
    <t>Atmospheric Black metal, Blackgaze, Screamo</t>
  </si>
  <si>
    <t>Québec City, Canada</t>
  </si>
  <si>
    <t>Theophonos</t>
  </si>
  <si>
    <t>Banishment</t>
  </si>
  <si>
    <t>EP</t>
  </si>
  <si>
    <t>Black metal, Mathcore</t>
  </si>
  <si>
    <t>US</t>
  </si>
  <si>
    <t>Tanpopo Crisis</t>
  </si>
  <si>
    <t>Meridian</t>
  </si>
  <si>
    <t>Screamo</t>
  </si>
  <si>
    <t>Myrtle Beach, SC</t>
  </si>
  <si>
    <t>Gonemage</t>
  </si>
  <si>
    <t>Entranced by the Ice Storm</t>
  </si>
  <si>
    <t>Black metal, Chiptune</t>
  </si>
  <si>
    <t>Dallas, TX</t>
  </si>
  <si>
    <t>Am I In Trouble?</t>
  </si>
  <si>
    <t>Spectrum</t>
  </si>
  <si>
    <t>Prog-metal, Avant-Garde metal, Black metal</t>
  </si>
  <si>
    <t>Mixed</t>
  </si>
  <si>
    <t>New Jersey, NJ</t>
  </si>
  <si>
    <t>Paleface Swiss</t>
  </si>
  <si>
    <t>Cursed</t>
  </si>
  <si>
    <t>Beatdown Deathcore, Slam, Hardcore</t>
  </si>
  <si>
    <t>Zurich, Switzerland</t>
  </si>
  <si>
    <t>Mutagenic Host</t>
  </si>
  <si>
    <t>The Diseased Machine</t>
  </si>
  <si>
    <t>Death metal</t>
  </si>
  <si>
    <t>London, UK</t>
  </si>
  <si>
    <t>Lord Agheros</t>
  </si>
  <si>
    <t>Anhedonia</t>
  </si>
  <si>
    <t>Atmospheric Black metal, Gothic metal</t>
  </si>
  <si>
    <t>Giarre, Italy</t>
  </si>
  <si>
    <t>Bloodbark</t>
  </si>
  <si>
    <t>Sacred Sound of Solitude</t>
  </si>
  <si>
    <t>Atmospheric Black metal</t>
  </si>
  <si>
    <t>International</t>
  </si>
  <si>
    <t>Patriarkh</t>
  </si>
  <si>
    <t>Prophet Ilja</t>
  </si>
  <si>
    <t>Black metal</t>
  </si>
  <si>
    <t>Białystok, Poland</t>
  </si>
  <si>
    <t>Acacia Ridge</t>
  </si>
  <si>
    <t>The Deviant Era</t>
  </si>
  <si>
    <t>Prog-metal, Metalcore</t>
  </si>
  <si>
    <t>Salt Lake City, UT</t>
  </si>
  <si>
    <t>thisworldisnotkind</t>
  </si>
  <si>
    <t>Death</t>
  </si>
  <si>
    <t>Iowa City, IA</t>
  </si>
  <si>
    <t>Denoument</t>
  </si>
  <si>
    <t>Hymns For Those To Follow</t>
  </si>
  <si>
    <t>Metalcore</t>
  </si>
  <si>
    <t>Washington, D.C.</t>
  </si>
  <si>
    <t>Nostoc</t>
  </si>
  <si>
    <t>Rites of Passage</t>
  </si>
  <si>
    <t>Prog-metal, Death metal, Groove metal</t>
  </si>
  <si>
    <t>Costa Rica</t>
  </si>
  <si>
    <t>Ashlands</t>
  </si>
  <si>
    <t>Ashlands III</t>
  </si>
  <si>
    <t>Foligno, Italy</t>
  </si>
  <si>
    <t>Keratin</t>
  </si>
  <si>
    <t>Death &amp; Rebirth</t>
  </si>
  <si>
    <t>Post-Hardcore, Skramz</t>
  </si>
  <si>
    <t>Melbourne, Australia</t>
  </si>
  <si>
    <t>The Nameless</t>
  </si>
  <si>
    <t>Deathcore</t>
  </si>
  <si>
    <t>Coffs Harbour, Australia</t>
  </si>
  <si>
    <t>YT</t>
  </si>
  <si>
    <t>...And Always</t>
  </si>
  <si>
    <t>Feel Fine</t>
  </si>
  <si>
    <t>Screamo, Post-Hardcore, Emo</t>
  </si>
  <si>
    <t>Toronto, Canada</t>
  </si>
  <si>
    <t>Obscure Sphinx</t>
  </si>
  <si>
    <t>Emovere</t>
  </si>
  <si>
    <t>Atmospheric Sludge metal, Post-metal</t>
  </si>
  <si>
    <t>Warszawa, Poland</t>
  </si>
  <si>
    <t>Jota</t>
  </si>
  <si>
    <t>Haven</t>
  </si>
  <si>
    <t>Post-Hardcore, Screamo</t>
  </si>
  <si>
    <t>Halle, Germany</t>
  </si>
  <si>
    <t>Gloamer</t>
  </si>
  <si>
    <t>Incinerus</t>
  </si>
  <si>
    <t>Alt-metal, Grungegaze</t>
  </si>
  <si>
    <t>Newcastle, UK</t>
  </si>
  <si>
    <t>Leegte</t>
  </si>
  <si>
    <t>Finis</t>
  </si>
  <si>
    <t>Belgium</t>
  </si>
  <si>
    <t>Second Day</t>
  </si>
  <si>
    <t>Flamboyance</t>
  </si>
  <si>
    <t>Prog-metal</t>
  </si>
  <si>
    <t>Besançon, France</t>
  </si>
  <si>
    <t>Membrane</t>
  </si>
  <si>
    <t>Deathly Silence</t>
  </si>
  <si>
    <t>Post-metal, Sludge metal</t>
  </si>
  <si>
    <t>Vesoul, France</t>
  </si>
  <si>
    <t>Simulation Defect</t>
  </si>
  <si>
    <t>Technical Death metal</t>
  </si>
  <si>
    <t>Leeds, UK</t>
  </si>
  <si>
    <t>Plaguewielder</t>
  </si>
  <si>
    <t>In Dust &amp; Ash</t>
  </si>
  <si>
    <t>Ohio, OH</t>
  </si>
  <si>
    <t>Zeta</t>
  </si>
  <si>
    <t>Was It Medicine To You?</t>
  </si>
  <si>
    <t>Post-Hardcore</t>
  </si>
  <si>
    <t>Puerto La Cruz, Venezuela</t>
  </si>
  <si>
    <t>Sulfator</t>
  </si>
  <si>
    <t>Gemini</t>
  </si>
  <si>
    <t>Prog-metal, Technical Thrash metal</t>
  </si>
  <si>
    <t>Toulouse, France</t>
  </si>
  <si>
    <t>Uulliata Digir</t>
  </si>
  <si>
    <t>Avant-Garde metal, Death metal, Post-metal</t>
  </si>
  <si>
    <t>Poznań, Poland</t>
  </si>
  <si>
    <t>No Eye Has Seen</t>
  </si>
  <si>
    <t>Impermanence</t>
  </si>
  <si>
    <t>Metalcore, Progressive Metal</t>
  </si>
  <si>
    <t>Connecticut, United States</t>
  </si>
  <si>
    <t>Garden Of Stone</t>
  </si>
  <si>
    <t>The Grave Mistake</t>
  </si>
  <si>
    <t>Melodic Death metal, Heavy metal</t>
  </si>
  <si>
    <t>Tampere, Finland</t>
  </si>
  <si>
    <t>Tremonti</t>
  </si>
  <si>
    <t>The End Will Show Us How</t>
  </si>
  <si>
    <t>Alt-metal, Hard rock</t>
  </si>
  <si>
    <t>Clean</t>
  </si>
  <si>
    <t>Orlando, FL</t>
  </si>
  <si>
    <t>The Halo Effect</t>
  </si>
  <si>
    <t>March Of The Unheard</t>
  </si>
  <si>
    <t>Melodic Death metal</t>
  </si>
  <si>
    <t>Gothenburg, Sweden</t>
  </si>
  <si>
    <t>Gnostician</t>
  </si>
  <si>
    <t>Unification As An Art</t>
  </si>
  <si>
    <t>Mathcore, Deathcore, Metalcore</t>
  </si>
  <si>
    <t>Wilkes Barre, PA</t>
  </si>
  <si>
    <t>Pale</t>
  </si>
  <si>
    <t>Our Hearts In Your Heaven</t>
  </si>
  <si>
    <t>Blackgaze, Post-metal</t>
  </si>
  <si>
    <t>Tokyo, Japan</t>
  </si>
  <si>
    <t>The Obsidian Resurrection</t>
  </si>
  <si>
    <t>As Darkness Falls</t>
  </si>
  <si>
    <t>Symphonic Death metal</t>
  </si>
  <si>
    <t>Modesto, CA</t>
  </si>
  <si>
    <t>Veil of Conspiracy</t>
  </si>
  <si>
    <t>Shape of Grief</t>
  </si>
  <si>
    <t>Doom metal</t>
  </si>
  <si>
    <t>Rome, Italy</t>
  </si>
  <si>
    <t>Μνήμα</t>
  </si>
  <si>
    <t>Drowned In Hallucinogenic Visions</t>
  </si>
  <si>
    <t>Raw Black metal</t>
  </si>
  <si>
    <t>Greece</t>
  </si>
  <si>
    <t>Alchemy</t>
  </si>
  <si>
    <t>Could It Be Any Worse?</t>
  </si>
  <si>
    <t>Hardcore</t>
  </si>
  <si>
    <t>New Hampshire, NH</t>
  </si>
  <si>
    <t>After Nations</t>
  </si>
  <si>
    <t>Surface | Essence</t>
  </si>
  <si>
    <t>Prog-metal, Post-metal, Djent</t>
  </si>
  <si>
    <t>Lawrence, KS</t>
  </si>
  <si>
    <t>Beriedir</t>
  </si>
  <si>
    <t>Liminal Space</t>
  </si>
  <si>
    <t>Prog-metal, Power metal</t>
  </si>
  <si>
    <t>Bergamo, Italy</t>
  </si>
  <si>
    <t>Baptiste Brun</t>
  </si>
  <si>
    <t>Elevatio</t>
  </si>
  <si>
    <t>Lyon, France</t>
  </si>
  <si>
    <t>Harvst</t>
  </si>
  <si>
    <t>Mahlstrom</t>
  </si>
  <si>
    <t>Germany</t>
  </si>
  <si>
    <t>Akratu</t>
  </si>
  <si>
    <t>I: Set Aflame</t>
  </si>
  <si>
    <t>Chicago, IL</t>
  </si>
  <si>
    <t>Chalkwife</t>
  </si>
  <si>
    <t>Shinjuku</t>
  </si>
  <si>
    <t>Post-Hardcore, Alt-metal, Shoegaze</t>
  </si>
  <si>
    <t>Porto Alegre, Brazil</t>
  </si>
  <si>
    <t>The Exilant</t>
  </si>
  <si>
    <t>Arcadia Forlorn</t>
  </si>
  <si>
    <t>Gothic metal, Doom metal, Death metal</t>
  </si>
  <si>
    <t>Wuppertal, Germany</t>
  </si>
  <si>
    <t>Stick to Your Guns</t>
  </si>
  <si>
    <t>Keep Planting Flowers</t>
  </si>
  <si>
    <t>California, CA</t>
  </si>
  <si>
    <t>Stellar Forest</t>
  </si>
  <si>
    <t>Cosmic Black metal</t>
  </si>
  <si>
    <t>FaithXtractor</t>
  </si>
  <si>
    <t>Loathing &amp; the Noose</t>
  </si>
  <si>
    <t>Cincinnati, OH</t>
  </si>
  <si>
    <t>Planets</t>
  </si>
  <si>
    <t>The Year Without a Summer</t>
  </si>
  <si>
    <t>Poland</t>
  </si>
  <si>
    <t>The Cimmerian</t>
  </si>
  <si>
    <t>An Age Undreamed Of​.​.​.</t>
  </si>
  <si>
    <t>Doom metal, Thrash metal, Sludge metal</t>
  </si>
  <si>
    <t>Los Angeles, CA</t>
  </si>
  <si>
    <t>Cycle of Infinity</t>
  </si>
  <si>
    <t>Wisdom of the Ages</t>
  </si>
  <si>
    <t>Sight of Theia</t>
  </si>
  <si>
    <t>The Great Dreamer</t>
  </si>
  <si>
    <t>Instru./Clean</t>
  </si>
  <si>
    <t>Atlanta, GA</t>
  </si>
  <si>
    <t>Chidori</t>
  </si>
  <si>
    <t>Microcosm of a Midlife Crisis</t>
  </si>
  <si>
    <t>Post-Hardcore, Nintendocore</t>
  </si>
  <si>
    <t xml:space="preserve">Mixed </t>
  </si>
  <si>
    <t>Rigor Samsa</t>
  </si>
  <si>
    <t>Severance</t>
  </si>
  <si>
    <t>Prog-metal, Stoner metal</t>
  </si>
  <si>
    <t>Wrocław, Poland</t>
  </si>
  <si>
    <t>Forrotian</t>
  </si>
  <si>
    <t>Lix Tetrax Thy Witchfather</t>
  </si>
  <si>
    <t>Black metal, Folk metal, Bluegrass</t>
  </si>
  <si>
    <t>South Carolina, SC</t>
  </si>
  <si>
    <t>Trauma Bond</t>
  </si>
  <si>
    <t>Summer Ends. Some Are Long Gone.</t>
  </si>
  <si>
    <t>Grindcore, Metalcore, Powerviolence</t>
  </si>
  <si>
    <t>Clouds</t>
  </si>
  <si>
    <t>Desprins</t>
  </si>
  <si>
    <t>Romania</t>
  </si>
  <si>
    <t>Exosphär</t>
  </si>
  <si>
    <t>Vulpes</t>
  </si>
  <si>
    <t>Post-metal, Doom metal</t>
  </si>
  <si>
    <t>Denmark</t>
  </si>
  <si>
    <t>Crimson Storm</t>
  </si>
  <si>
    <t>Livin' On the Bad Side</t>
  </si>
  <si>
    <t>Speed metal</t>
  </si>
  <si>
    <t>Italy</t>
  </si>
  <si>
    <t>Ensomhet</t>
  </si>
  <si>
    <t>At The Forgotten Ruins​.​.​.</t>
  </si>
  <si>
    <t>Raw Black metal, Folk</t>
  </si>
  <si>
    <t>Synaptic</t>
  </si>
  <si>
    <t>Enter The Void</t>
  </si>
  <si>
    <t>Prog-metal, Technical Death metal</t>
  </si>
  <si>
    <t>Mestis</t>
  </si>
  <si>
    <t>Telenovela</t>
  </si>
  <si>
    <t>The Conjuration</t>
  </si>
  <si>
    <t>The Trip</t>
  </si>
  <si>
    <t>Prog-metal, Avant-Garde metal, Death metal</t>
  </si>
  <si>
    <t>Danville, VA</t>
  </si>
  <si>
    <t>Besna</t>
  </si>
  <si>
    <t>Kr​á​sno</t>
  </si>
  <si>
    <t>Bratislava, Slovakia</t>
  </si>
  <si>
    <t>Pillar Amongst Willows</t>
  </si>
  <si>
    <t>Experimental Black Metal, Death Metal</t>
  </si>
  <si>
    <t>United Kingdom</t>
  </si>
  <si>
    <t>Beware</t>
  </si>
  <si>
    <t>Never End For None of Us</t>
  </si>
  <si>
    <t>Death metal, Noise rock</t>
  </si>
  <si>
    <t>Birmingham, UK</t>
  </si>
  <si>
    <t>Teramaze</t>
  </si>
  <si>
    <t>Desire Colours N Lust</t>
  </si>
  <si>
    <t>Hazzerd</t>
  </si>
  <si>
    <t>The 3rd Dimension</t>
  </si>
  <si>
    <t>Thrash metal</t>
  </si>
  <si>
    <t>Calgary, Canada</t>
  </si>
  <si>
    <t>Lilac Kings</t>
  </si>
  <si>
    <t>The Weight of Things</t>
  </si>
  <si>
    <t>Tulsa, OK</t>
  </si>
  <si>
    <t>CKRAFT</t>
  </si>
  <si>
    <t>Uncommon Grounds</t>
  </si>
  <si>
    <t>Prog-metal, Jazz metal</t>
  </si>
  <si>
    <t>Paris, France</t>
  </si>
  <si>
    <t>Hierarchies</t>
  </si>
  <si>
    <t>Avant-Garde Death Metal, Dissonant Metal, Grindcore</t>
  </si>
  <si>
    <t>United States</t>
  </si>
  <si>
    <t>Shedfromthebody</t>
  </si>
  <si>
    <t>Whisper and Wane</t>
  </si>
  <si>
    <t>Doomgaze, Post-Metal</t>
  </si>
  <si>
    <t>Finland</t>
  </si>
  <si>
    <t>Last Forest Rain</t>
  </si>
  <si>
    <t>Post-Black Metal, Shoegaze, Post-Hardcore</t>
  </si>
  <si>
    <t>Madrid, Spain</t>
  </si>
  <si>
    <t>UPLOAD</t>
  </si>
  <si>
    <t>Pain EP</t>
  </si>
  <si>
    <t>Melodic Deathcore, Hardcore</t>
  </si>
  <si>
    <t>Fribourg, Switzerland</t>
  </si>
  <si>
    <t>Vertex</t>
  </si>
  <si>
    <t>The Purest Light</t>
  </si>
  <si>
    <t>Mathcore, Progressive Metal</t>
  </si>
  <si>
    <t>Eidola</t>
  </si>
  <si>
    <t>Mend</t>
  </si>
  <si>
    <t>Post-Hardcore, Swancore</t>
  </si>
  <si>
    <t>Pestilent Scars</t>
  </si>
  <si>
    <t>Meadows of Misfortune</t>
  </si>
  <si>
    <t>Oulu, Finland</t>
  </si>
  <si>
    <t>Mourir</t>
  </si>
  <si>
    <t>Insolence</t>
  </si>
  <si>
    <t>Black metal, Sludge metal</t>
  </si>
  <si>
    <t>Cactus Rojo</t>
  </si>
  <si>
    <t>Dune</t>
  </si>
  <si>
    <t>Stoner metal</t>
  </si>
  <si>
    <t>Mexico</t>
  </si>
  <si>
    <t>Dragonknight</t>
  </si>
  <si>
    <t>Legions</t>
  </si>
  <si>
    <t>Power metal</t>
  </si>
  <si>
    <t>Bunsenburner</t>
  </si>
  <si>
    <t>Reverie</t>
  </si>
  <si>
    <t>Stoner metal, Doom metal</t>
  </si>
  <si>
    <t>Axetasy</t>
  </si>
  <si>
    <t>Withering Tides</t>
  </si>
  <si>
    <t>Speed metal, Heavy metal</t>
  </si>
  <si>
    <t>Stuttgart, Germany</t>
  </si>
  <si>
    <t>Onirophagus</t>
  </si>
  <si>
    <t>Revelations From The Void</t>
  </si>
  <si>
    <t>Death Doom metal</t>
  </si>
  <si>
    <t>Spain</t>
  </si>
  <si>
    <t>Thy Kingdom Will Burn</t>
  </si>
  <si>
    <t>The Loss And Redemption</t>
  </si>
  <si>
    <t>Kouvola, Finland</t>
  </si>
  <si>
    <t>Häxkapell</t>
  </si>
  <si>
    <t>Om jordens blod och urgravens grepp</t>
  </si>
  <si>
    <t>Sweden</t>
  </si>
  <si>
    <t>Hesperia</t>
  </si>
  <si>
    <t>Fra Li Monti Sibillini (Black Medieval Winter Over The Sibylline Mounts)</t>
  </si>
  <si>
    <t>Sarcator</t>
  </si>
  <si>
    <t>Swarming Angels &amp; Flies</t>
  </si>
  <si>
    <t>Thrash metal, Black metal, Death metal</t>
  </si>
  <si>
    <t>Trollhättan, Sweden</t>
  </si>
  <si>
    <t>Necrotech</t>
  </si>
  <si>
    <t>Necrotechnology</t>
  </si>
  <si>
    <t>Industrial metal, Death Doom metal, Crust</t>
  </si>
  <si>
    <t>Brazil</t>
  </si>
  <si>
    <t>Dark Fortress</t>
  </si>
  <si>
    <t>Anthems From Beyond The Grave - Live In Europe 2023</t>
  </si>
  <si>
    <t>Melodic Black metal</t>
  </si>
  <si>
    <t>Landshut, Germany</t>
  </si>
  <si>
    <t>Coffin Feeder</t>
  </si>
  <si>
    <t>Dominion of Torment</t>
  </si>
  <si>
    <t>Master Sword</t>
  </si>
  <si>
    <t>Toying With Time</t>
  </si>
  <si>
    <t>Washington, DC</t>
  </si>
  <si>
    <t>Exitum</t>
  </si>
  <si>
    <t>Seppuku</t>
  </si>
  <si>
    <t>Death metal, Grindcore</t>
  </si>
  <si>
    <t>New York, NY</t>
  </si>
  <si>
    <t>Drown In Sulphur</t>
  </si>
  <si>
    <t>Vengeance</t>
  </si>
  <si>
    <t>Serein</t>
  </si>
  <si>
    <t>Rivers of Living Water</t>
  </si>
  <si>
    <t>Prog-metal, Death metal</t>
  </si>
  <si>
    <t>Tucson, AZ</t>
  </si>
  <si>
    <t>Dripped</t>
  </si>
  <si>
    <t>Utopia of Euphoric Envisionment</t>
  </si>
  <si>
    <t>Brutal Death metal</t>
  </si>
  <si>
    <t>Perth, Australia</t>
  </si>
  <si>
    <t>A.M.E.N.</t>
  </si>
  <si>
    <t>Argento</t>
  </si>
  <si>
    <t>Avant-Garde metal, Avant-Jazz</t>
  </si>
  <si>
    <t>San Salvo, Italy</t>
  </si>
  <si>
    <t>Sara</t>
  </si>
  <si>
    <t>Hallava</t>
  </si>
  <si>
    <t>Alt-metal</t>
  </si>
  <si>
    <t>Kaskinen, Finland</t>
  </si>
  <si>
    <t>Můra</t>
  </si>
  <si>
    <t>Needle Cathedral</t>
  </si>
  <si>
    <t>Prague, Czechia</t>
  </si>
  <si>
    <t>Alixer</t>
  </si>
  <si>
    <t>Dasein / Mitsein</t>
  </si>
  <si>
    <t>Black metal, Post-Hardcore</t>
  </si>
  <si>
    <t>Putred</t>
  </si>
  <si>
    <t>Megalit al Putrefacției</t>
  </si>
  <si>
    <t>Retador</t>
  </si>
  <si>
    <t>Ear​ë​ndel</t>
  </si>
  <si>
    <t>Málaga, Spain</t>
  </si>
  <si>
    <t>Zbhezhdjik of Polariis</t>
  </si>
  <si>
    <t>LOGENTRY​-​1​:​01 - Frozen Windhells Seek to Dominate my Remaining Flesh</t>
  </si>
  <si>
    <t>Black metal, Harsh Noise, Ambient</t>
  </si>
  <si>
    <t>Lightning Ridge, Australia</t>
  </si>
  <si>
    <t>Chaos Control</t>
  </si>
  <si>
    <t>Lost In Time</t>
  </si>
  <si>
    <t>Power metal, Thrash metal</t>
  </si>
  <si>
    <t>Magic and Medicine</t>
  </si>
  <si>
    <t>Oldenburg, Germany</t>
  </si>
  <si>
    <t>Veenlijk</t>
  </si>
  <si>
    <t>Galgenberg</t>
  </si>
  <si>
    <t>Black metal, Crust Punk</t>
  </si>
  <si>
    <t>Amersfoort, Netherlands</t>
  </si>
  <si>
    <t>Subterranean Lava Dragon</t>
  </si>
  <si>
    <t>The Great Architect</t>
  </si>
  <si>
    <t>Reading, PA</t>
  </si>
  <si>
    <t>Cathuria</t>
  </si>
  <si>
    <t>The White Ship</t>
  </si>
  <si>
    <t>Siloam Springs, AR</t>
  </si>
  <si>
    <t>Exterior Palnet</t>
  </si>
  <si>
    <t>Haragma II</t>
  </si>
  <si>
    <t>Prog-metal, Black metal</t>
  </si>
  <si>
    <t>Zagreb, Croatia</t>
  </si>
  <si>
    <t>Sunrot</t>
  </si>
  <si>
    <t>Passages</t>
  </si>
  <si>
    <t>Sludge metal, Drone metal</t>
  </si>
  <si>
    <t>Keoma</t>
  </si>
  <si>
    <t>A New Beginning?</t>
  </si>
  <si>
    <t>Helsinki, Finland</t>
  </si>
  <si>
    <t>Harakiri For The Sky</t>
  </si>
  <si>
    <t>Scorched Earth</t>
  </si>
  <si>
    <t>Post-Black Metal, Atmospheric Black Metal, Blackgaze</t>
  </si>
  <si>
    <t>Seesen, Germany</t>
  </si>
  <si>
    <t>Fleshbore</t>
  </si>
  <si>
    <t>Painted Paradise</t>
  </si>
  <si>
    <t>Indianapolis, IN</t>
  </si>
  <si>
    <t>The Great Old Ones</t>
  </si>
  <si>
    <t>Kadath</t>
  </si>
  <si>
    <t>Atmospheric Black metal, Post-Black metal</t>
  </si>
  <si>
    <t>Bordeaux, France</t>
  </si>
  <si>
    <t>Causes</t>
  </si>
  <si>
    <t>Post-metal</t>
  </si>
  <si>
    <t>Berlin, Germany</t>
  </si>
  <si>
    <t>Discordant Meditation</t>
  </si>
  <si>
    <t>Tragic Creature</t>
  </si>
  <si>
    <t>Denver, CO</t>
  </si>
  <si>
    <t>Corroding Soul</t>
  </si>
  <si>
    <t>UK</t>
  </si>
  <si>
    <t>À Terre</t>
  </si>
  <si>
    <t>Embrasser La Nuit</t>
  </si>
  <si>
    <t>Bumblefoot</t>
  </si>
  <si>
    <t>.​.​.​Returns!</t>
  </si>
  <si>
    <t>New Brunswick, NJ</t>
  </si>
  <si>
    <t>Beneath a Steel Sky</t>
  </si>
  <si>
    <t>Cleave</t>
  </si>
  <si>
    <t>Scotland</t>
  </si>
  <si>
    <t>Sleepbomb</t>
  </si>
  <si>
    <t>The Sleeping Dead</t>
  </si>
  <si>
    <t>Post-metal, Doomgaze</t>
  </si>
  <si>
    <t>San Francisco, CA</t>
  </si>
  <si>
    <t>Tormentor Tyrant</t>
  </si>
  <si>
    <t>Excessive Escalation Of Cruelty</t>
  </si>
  <si>
    <t>Oh The Humanity!</t>
  </si>
  <si>
    <t>Ground To Dust</t>
  </si>
  <si>
    <t>Melodic Hardcore, Hardcore Punk</t>
  </si>
  <si>
    <t>Massachusetts, MA</t>
  </si>
  <si>
    <t>Ringlorn</t>
  </si>
  <si>
    <t>Tales of War and Magic</t>
  </si>
  <si>
    <t>Epic Heavy metal</t>
  </si>
  <si>
    <t>Umbersound</t>
  </si>
  <si>
    <t>If The Flies Could Sing</t>
  </si>
  <si>
    <t>Doom metal, Death metal</t>
  </si>
  <si>
    <t>hjort</t>
  </si>
  <si>
    <t>Evolve IV​-​VIII</t>
  </si>
  <si>
    <t>Mannheim, Germany</t>
  </si>
  <si>
    <t>Departure</t>
  </si>
  <si>
    <t>Mired In Descension</t>
  </si>
  <si>
    <t>Soaring</t>
  </si>
  <si>
    <t>Blackgaze</t>
  </si>
  <si>
    <t>Sutekh Hexen</t>
  </si>
  <si>
    <t>Primeval</t>
  </si>
  <si>
    <t>Experimental Black metal, Noise Electronics, Ambient</t>
  </si>
  <si>
    <t>HØLLS</t>
  </si>
  <si>
    <t>ILL</t>
  </si>
  <si>
    <t>Post-metal, Post-Hardcore</t>
  </si>
  <si>
    <t>Vomitriste</t>
  </si>
  <si>
    <t>Black Abyss Invocation</t>
  </si>
  <si>
    <t>Black metal, Death Industrial</t>
  </si>
  <si>
    <t>Scitalis</t>
  </si>
  <si>
    <t>Maledictum</t>
  </si>
  <si>
    <t>Vortex Sutra</t>
  </si>
  <si>
    <t>Glimpse Into The Transcendental</t>
  </si>
  <si>
    <t>Glasgow, Scotland</t>
  </si>
  <si>
    <t>The Archon Rift</t>
  </si>
  <si>
    <t>The Arcane Chronicle</t>
  </si>
  <si>
    <t>Technical Death metal, Symphonic metal</t>
  </si>
  <si>
    <t>Canberra, Australia</t>
  </si>
  <si>
    <t>Grand Devourer</t>
  </si>
  <si>
    <t>Traversing The Void</t>
  </si>
  <si>
    <t>Hanover, Germany</t>
  </si>
  <si>
    <t>Labÿrinth</t>
  </si>
  <si>
    <t>In the Vanishing Echoes of Goodbye</t>
  </si>
  <si>
    <t>Disrupted</t>
  </si>
  <si>
    <t>Stinking Death</t>
  </si>
  <si>
    <t>Ludvika, Sweden</t>
  </si>
  <si>
    <t>Watch My Dying</t>
  </si>
  <si>
    <t>Egyenes Kerülő</t>
  </si>
  <si>
    <t>Esztergom, Hungary</t>
  </si>
  <si>
    <t>Vacant Home</t>
  </si>
  <si>
    <t>Can You Show Me Who I Am?</t>
  </si>
  <si>
    <t>Melodic Hardcore</t>
  </si>
  <si>
    <t>Across the Shade</t>
  </si>
  <si>
    <t>Madness</t>
  </si>
  <si>
    <t>Iron Rot</t>
  </si>
  <si>
    <t>Desiccation / Desolation / Retribution</t>
  </si>
  <si>
    <t>Seattle, WA</t>
  </si>
  <si>
    <t>Century</t>
  </si>
  <si>
    <t>Sign Of The Storm</t>
  </si>
  <si>
    <t>Heavy metal</t>
  </si>
  <si>
    <t>Stockholm, Sweden</t>
  </si>
  <si>
    <t>Mortui Vultus</t>
  </si>
  <si>
    <t>Distant Echoes</t>
  </si>
  <si>
    <t>Blackgaze, Post-Black metal</t>
  </si>
  <si>
    <t>Odesa, Ukraine</t>
  </si>
  <si>
    <t>Otakucentesis</t>
  </si>
  <si>
    <t>Secondary Reconstruction of Adipose Tissue</t>
  </si>
  <si>
    <t>Brutal Death metal, Slam Death metal</t>
  </si>
  <si>
    <t>China</t>
  </si>
  <si>
    <t>Iron Griffin</t>
  </si>
  <si>
    <t>Gate Tower</t>
  </si>
  <si>
    <t>IHXHI</t>
  </si>
  <si>
    <t>Norway</t>
  </si>
  <si>
    <t>Accursed</t>
  </si>
  <si>
    <t>Connecticut, CT</t>
  </si>
  <si>
    <t>Fós</t>
  </si>
  <si>
    <t>N​í​l mo chroí in aon rud</t>
  </si>
  <si>
    <t>Doom metal, Drone metal, Sludge metal, Irish Folk</t>
  </si>
  <si>
    <t>Dublin, Ireland</t>
  </si>
  <si>
    <t>Uthullun</t>
  </si>
  <si>
    <t>The Barbed Thread of Madness</t>
  </si>
  <si>
    <t>Dissonant Black metal</t>
  </si>
  <si>
    <t>Sylvanaut</t>
  </si>
  <si>
    <t>Strings Tied to Stars</t>
  </si>
  <si>
    <t>Blackgaze, Post-rock</t>
  </si>
  <si>
    <t>Adelaide, Australia</t>
  </si>
  <si>
    <t>Enterprise Earth</t>
  </si>
  <si>
    <t>Descent Into Madness</t>
  </si>
  <si>
    <t>Spokane, Washington</t>
  </si>
  <si>
    <t>Dysmorphic Demiurge</t>
  </si>
  <si>
    <t>Of Chaos And Eternal Night</t>
  </si>
  <si>
    <t>Knoxville, TN</t>
  </si>
  <si>
    <t>Coldblood Supplicant</t>
  </si>
  <si>
    <t>Heavensward</t>
  </si>
  <si>
    <t>Prog-metal, Djent, Thall</t>
  </si>
  <si>
    <t>Louisville, KY</t>
  </si>
  <si>
    <t>Pentagram</t>
  </si>
  <si>
    <t>Lightning In A Bottle</t>
  </si>
  <si>
    <t>Traditional Doom metal, Heavy metal</t>
  </si>
  <si>
    <t>Arlington, VA</t>
  </si>
  <si>
    <t>Pinhead</t>
  </si>
  <si>
    <t>Egomessiah</t>
  </si>
  <si>
    <t>Prog-metal, Alt-metal</t>
  </si>
  <si>
    <t>MENHYR</t>
  </si>
  <si>
    <t>Echoes Of The Monolith</t>
  </si>
  <si>
    <t>Gnarlmyth</t>
  </si>
  <si>
    <t>Cataclysmia</t>
  </si>
  <si>
    <t>Japan</t>
  </si>
  <si>
    <t>Adrift</t>
  </si>
  <si>
    <t>Dry Soil</t>
  </si>
  <si>
    <t>Void of Hope</t>
  </si>
  <si>
    <t>Proof Of Existence</t>
  </si>
  <si>
    <t>Avant-Garde Black Metal, Doom Metal</t>
  </si>
  <si>
    <t>Great American Ghost</t>
  </si>
  <si>
    <t>Tragedy of the Commons</t>
  </si>
  <si>
    <t>Metalcore, Hardcore Punk</t>
  </si>
  <si>
    <t>Boston, Massachusetts</t>
  </si>
  <si>
    <t>L.S. Dunes</t>
  </si>
  <si>
    <t>Violet</t>
  </si>
  <si>
    <t>Post-Hardcore, Alternative Metal</t>
  </si>
  <si>
    <t>All That Remains</t>
  </si>
  <si>
    <t>Antifragile</t>
  </si>
  <si>
    <t>Melodic Metalcore, Alternative Metal</t>
  </si>
  <si>
    <t>Springfield, Massachusetts</t>
  </si>
  <si>
    <t>Consumption</t>
  </si>
  <si>
    <t>Catharsis</t>
  </si>
  <si>
    <t>Grief Ritual</t>
  </si>
  <si>
    <t>Collapse</t>
  </si>
  <si>
    <t>Cheltenham, UK</t>
  </si>
  <si>
    <t>Praetorian</t>
  </si>
  <si>
    <t>Pylon Cult</t>
  </si>
  <si>
    <t>Hertfordshire, UK</t>
  </si>
  <si>
    <t>Maceration</t>
  </si>
  <si>
    <t>Serpent Devourment</t>
  </si>
  <si>
    <t>Admire the Grim</t>
  </si>
  <si>
    <t>Resist</t>
  </si>
  <si>
    <t>Lappeenranta, Finland</t>
  </si>
  <si>
    <t>Tonnen von Hall</t>
  </si>
  <si>
    <t>Ein Abdruck vom Messer im Herzen</t>
  </si>
  <si>
    <t>Unreal Overflows</t>
  </si>
  <si>
    <t>Slaves of the Inhuman Future World</t>
  </si>
  <si>
    <t>Cangas, Spain</t>
  </si>
  <si>
    <t>ASkySoBlack</t>
  </si>
  <si>
    <t>Touch Heaven</t>
  </si>
  <si>
    <t>Alt-metal, Post-Hardcore</t>
  </si>
  <si>
    <t>Philadelphia, PA</t>
  </si>
  <si>
    <t>Relics Of Humanity</t>
  </si>
  <si>
    <t>Absolute Dismal Domain</t>
  </si>
  <si>
    <t>Minsk, Belarus</t>
  </si>
  <si>
    <t>Lunar</t>
  </si>
  <si>
    <t>Tempora Mutantur</t>
  </si>
  <si>
    <t>Sacramento, CA</t>
  </si>
  <si>
    <t>Selvans</t>
  </si>
  <si>
    <t>Saturnalia</t>
  </si>
  <si>
    <t>Black metal, Heavy metal</t>
  </si>
  <si>
    <t>Skaldr</t>
  </si>
  <si>
    <t>Sam​̣​sṛ</t>
  </si>
  <si>
    <t>Virginia, VA</t>
  </si>
  <si>
    <t>Spesimin</t>
  </si>
  <si>
    <t>Death metal, Thrash metal</t>
  </si>
  <si>
    <t>Shrieking Demons</t>
  </si>
  <si>
    <t>The Festering Dwellers</t>
  </si>
  <si>
    <t>Palermo, Italy</t>
  </si>
  <si>
    <t>Dejecter</t>
  </si>
  <si>
    <t>Oblation Husk</t>
  </si>
  <si>
    <t>Sludge metal, Death metal</t>
  </si>
  <si>
    <t>Kansas City, MO</t>
  </si>
  <si>
    <t>Ande</t>
  </si>
  <si>
    <t>De Schemering van Werelden</t>
  </si>
  <si>
    <t>Bilzen, Belgium</t>
  </si>
  <si>
    <t>Weed Demon</t>
  </si>
  <si>
    <t>The Doom Scroll</t>
  </si>
  <si>
    <t>Stoner metal, Sludge metal, Doom metal</t>
  </si>
  <si>
    <t>Columbus, OH</t>
  </si>
  <si>
    <t>Kosmosis</t>
  </si>
  <si>
    <t>Warsaw, Poland</t>
  </si>
  <si>
    <t>Hållbar</t>
  </si>
  <si>
    <t>Nemesis</t>
  </si>
  <si>
    <t>Black metal, Death metal</t>
  </si>
  <si>
    <t>Voidhra</t>
  </si>
  <si>
    <t>Only Cold Winds Will Carry My Name</t>
  </si>
  <si>
    <t>Worlds Beyond</t>
  </si>
  <si>
    <t>Rhapsody Of Life</t>
  </si>
  <si>
    <t>Symphonic metal</t>
  </si>
  <si>
    <t>Ghent, Belgium</t>
  </si>
  <si>
    <t>Afflicta</t>
  </si>
  <si>
    <t>Origin of Sorrow</t>
  </si>
  <si>
    <t>Empty Throne</t>
  </si>
  <si>
    <t>Unholy</t>
  </si>
  <si>
    <t>Melodic Death metal, Black metal</t>
  </si>
  <si>
    <t>Black Talon</t>
  </si>
  <si>
    <t>Scenes of Agony</t>
  </si>
  <si>
    <t>Edinburgh, Scotland</t>
  </si>
  <si>
    <t>Sire</t>
  </si>
  <si>
    <t>Koyot</t>
  </si>
  <si>
    <t>Örebro, Sweden</t>
  </si>
  <si>
    <t>Danefae</t>
  </si>
  <si>
    <t>Trøst</t>
  </si>
  <si>
    <t>Queen of Dreams</t>
  </si>
  <si>
    <t>Subnivium</t>
  </si>
  <si>
    <t>Madison, WI</t>
  </si>
  <si>
    <t>Allegheny Rains</t>
  </si>
  <si>
    <t>Burn Down Eden</t>
  </si>
  <si>
    <t>Dismal Epiphany</t>
  </si>
  <si>
    <t>Furies Dirge</t>
  </si>
  <si>
    <t>Eye for Eye</t>
  </si>
  <si>
    <t>Hamburg, Germany</t>
  </si>
  <si>
    <t>Forsaken Hill</t>
  </si>
  <si>
    <t>The Fortress of Solitude</t>
  </si>
  <si>
    <t>Melodic Death metal, Power metal, Symphonic metal</t>
  </si>
  <si>
    <t>Voidburn</t>
  </si>
  <si>
    <t>Mephitic Corpse</t>
  </si>
  <si>
    <t>Sickness Attracts Sickness</t>
  </si>
  <si>
    <t>San Luis Obispo, CA</t>
  </si>
  <si>
    <t>Alder Glade</t>
  </si>
  <si>
    <t>Holocene Extinction</t>
  </si>
  <si>
    <t>Brisbane, Australia</t>
  </si>
  <si>
    <t>Parallel Horizons</t>
  </si>
  <si>
    <t>Consecrated Anguish</t>
  </si>
  <si>
    <t>Hong Kong</t>
  </si>
  <si>
    <t>Hologram Earth</t>
  </si>
  <si>
    <t>City of Gold</t>
  </si>
  <si>
    <t>Amsterdam, Netherlands</t>
  </si>
  <si>
    <t>Sacred Noose</t>
  </si>
  <si>
    <t>Vanishing Spires</t>
  </si>
  <si>
    <t>Dissonant Black metal, Death metal, Doom metal</t>
  </si>
  <si>
    <t>Ireland</t>
  </si>
  <si>
    <t>Sarkasm</t>
  </si>
  <si>
    <t>Carnival of Atrocities</t>
  </si>
  <si>
    <t>Granby, Canada</t>
  </si>
  <si>
    <t>Darko US</t>
  </si>
  <si>
    <t>Dethmask, Pt. 3</t>
  </si>
  <si>
    <t>Deathcore, Electronic, Djent</t>
  </si>
  <si>
    <t>Harp</t>
  </si>
  <si>
    <t>The Distance Within</t>
  </si>
  <si>
    <t>Bastia, France</t>
  </si>
  <si>
    <t>Still Falling</t>
  </si>
  <si>
    <t>Through Time And Flesh</t>
  </si>
  <si>
    <t>Prog-metal, Death metal, Djent</t>
  </si>
  <si>
    <t>Athens, Greece</t>
  </si>
  <si>
    <t>Of Grace</t>
  </si>
  <si>
    <t>Vindicta</t>
  </si>
  <si>
    <t>Prog-metal, Deathcore, Shoegaze</t>
  </si>
  <si>
    <t>Berlial</t>
  </si>
  <si>
    <t>Nourishing The Disaster To Come</t>
  </si>
  <si>
    <t>Pathogenic</t>
  </si>
  <si>
    <t>Crowned in Corpses</t>
  </si>
  <si>
    <t>Prog-metal, Deathcore, Djent</t>
  </si>
  <si>
    <t>Boston, MA</t>
  </si>
  <si>
    <t>Majestica</t>
  </si>
  <si>
    <t>Power Train</t>
  </si>
  <si>
    <t>Power metal, Symphonic metal</t>
  </si>
  <si>
    <t>Guides For The Misguided</t>
  </si>
  <si>
    <t>Sludge metal</t>
  </si>
  <si>
    <t>San Diego, CA</t>
  </si>
  <si>
    <t>Unreqvited</t>
  </si>
  <si>
    <t>A Pathway to the Moon</t>
  </si>
  <si>
    <t>Atmospheric Black Metal, Blackgaze</t>
  </si>
  <si>
    <t>Canada</t>
  </si>
  <si>
    <t>Jinjer</t>
  </si>
  <si>
    <t>Duél</t>
  </si>
  <si>
    <t>Metalcore, Djent, Hardcore</t>
  </si>
  <si>
    <t>Ukraine</t>
  </si>
  <si>
    <t>Dream Theater</t>
  </si>
  <si>
    <t>Parasomnia</t>
  </si>
  <si>
    <t>Progressive Metal</t>
  </si>
  <si>
    <t>Obscura</t>
  </si>
  <si>
    <t>A Sonication</t>
  </si>
  <si>
    <t>Technical Death metal, Melodic Death metal</t>
  </si>
  <si>
    <t>Phrenelith</t>
  </si>
  <si>
    <t>Ashen Womb</t>
  </si>
  <si>
    <t>Copenhagen, Denmark</t>
  </si>
  <si>
    <t>Saor</t>
  </si>
  <si>
    <t>Amidst the Ruins</t>
  </si>
  <si>
    <t>Triune</t>
  </si>
  <si>
    <t>Boulder, CO</t>
  </si>
  <si>
    <t>Ameokama</t>
  </si>
  <si>
    <t>I Will be Clouds in the Morning and Rain in the Evening</t>
  </si>
  <si>
    <t>Doomgaze, Experimental Noise</t>
  </si>
  <si>
    <t>Fumes</t>
  </si>
  <si>
    <t>Skeletal Wings Threshold</t>
  </si>
  <si>
    <t>Noctambulist</t>
  </si>
  <si>
    <t>Noctambulist II: De Droom</t>
  </si>
  <si>
    <t>Post-Black metal</t>
  </si>
  <si>
    <t>Tilburg, Netherlands</t>
  </si>
  <si>
    <t>Norilsk</t>
  </si>
  <si>
    <t>Antipole</t>
  </si>
  <si>
    <t>Death Doom metal, Sludge metal</t>
  </si>
  <si>
    <t>Gatineau, Canada</t>
  </si>
  <si>
    <t>Morast</t>
  </si>
  <si>
    <t>Fentanyl</t>
  </si>
  <si>
    <t>Black metal, Doom metal</t>
  </si>
  <si>
    <t>Marko Hietala</t>
  </si>
  <si>
    <t>Roses from the Deep</t>
  </si>
  <si>
    <t>Ereb Altor</t>
  </si>
  <si>
    <t>Hälsingemörker</t>
  </si>
  <si>
    <t>Black metal, Viking metal</t>
  </si>
  <si>
    <t>Gävle, Sweden</t>
  </si>
  <si>
    <t>Inborn Suffering</t>
  </si>
  <si>
    <t>Pale Grey Monochrome</t>
  </si>
  <si>
    <t>Melodic Doom metal, Death metal</t>
  </si>
  <si>
    <t>Black .44</t>
  </si>
  <si>
    <t>Bloodlines</t>
  </si>
  <si>
    <t>Stoner metal, Southern metal</t>
  </si>
  <si>
    <t>Là où pleurent les âmes</t>
  </si>
  <si>
    <t>A Love Letter to the Noise Inside Your Head</t>
  </si>
  <si>
    <t>Atmospheric Doom Metal</t>
  </si>
  <si>
    <t>Nantes, France</t>
  </si>
  <si>
    <t>Palehorse/Palerider</t>
  </si>
  <si>
    <t>Waves I</t>
  </si>
  <si>
    <t>Doomgaze</t>
  </si>
  <si>
    <t>Open Kasket</t>
  </si>
  <si>
    <t>Trials of Failure</t>
  </si>
  <si>
    <t>Little Rock, AR</t>
  </si>
  <si>
    <t>Xavernah</t>
  </si>
  <si>
    <t>Absence</t>
  </si>
  <si>
    <t>Black metal, Death metal, Doom metal</t>
  </si>
  <si>
    <t>Rhenen, Netherlands</t>
  </si>
  <si>
    <t>Theoden's Reign</t>
  </si>
  <si>
    <t>Citadel of the Stars</t>
  </si>
  <si>
    <t>Atmospheric Black metal, Medieval Black metal</t>
  </si>
  <si>
    <t>Omnicidal Instinct</t>
  </si>
  <si>
    <t>Catharsis In Blight</t>
  </si>
  <si>
    <t>Corpsing</t>
  </si>
  <si>
    <t>Viewing The Invisible</t>
  </si>
  <si>
    <t>Want Of Sin</t>
  </si>
  <si>
    <t>Hydrophobic</t>
  </si>
  <si>
    <t>Experimental Black metal</t>
  </si>
  <si>
    <t>Milwaukee, WI</t>
  </si>
  <si>
    <t>Initiation</t>
  </si>
  <si>
    <t>Noir Berger</t>
  </si>
  <si>
    <t>Solfar</t>
  </si>
  <si>
    <t>Cuts You Up</t>
  </si>
  <si>
    <t>Doom metal, Post-metal, Space metal</t>
  </si>
  <si>
    <t>Eigenstate Zero</t>
  </si>
  <si>
    <t>Shape Of God Thought Of Sun</t>
  </si>
  <si>
    <t>Shagor</t>
  </si>
  <si>
    <t>Lyksalver</t>
  </si>
  <si>
    <t>Netherlands</t>
  </si>
  <si>
    <t>Visions of Ruin</t>
  </si>
  <si>
    <t>IX of Swords</t>
  </si>
  <si>
    <t>Symphonic metal, Deathcore, Metalcore</t>
  </si>
  <si>
    <t>Continuum Of Xul</t>
  </si>
  <si>
    <t>Voratore</t>
  </si>
  <si>
    <t>Prehistoria</t>
  </si>
  <si>
    <t>Cryptic Halo</t>
  </si>
  <si>
    <t>Ashen Fields</t>
  </si>
  <si>
    <t>So Haggard and so Woe-Begone</t>
  </si>
  <si>
    <t>Symphonic Death metal, Melodic Death metal</t>
  </si>
  <si>
    <t>Serpents Of Pakhangba</t>
  </si>
  <si>
    <t>Air and Fire</t>
  </si>
  <si>
    <t>Avant-Garde metal</t>
  </si>
  <si>
    <t>Mumbai, India</t>
  </si>
  <si>
    <t>Arcane Sight</t>
  </si>
  <si>
    <t>A Brief Light</t>
  </si>
  <si>
    <t>Milton Keynes, UK</t>
  </si>
  <si>
    <t>Mellom</t>
  </si>
  <si>
    <t>The Empire of Gloom</t>
  </si>
  <si>
    <t>Frankfurt, Germany</t>
  </si>
  <si>
    <t>Oreamnos</t>
  </si>
  <si>
    <t>Futility</t>
  </si>
  <si>
    <t>Black Star Mantra</t>
  </si>
  <si>
    <t>Escape Reality</t>
  </si>
  <si>
    <t>Prog-metal, Djent</t>
  </si>
  <si>
    <t>Mantric Momentum</t>
  </si>
  <si>
    <t>Alienized</t>
  </si>
  <si>
    <t>Cantu Ignis</t>
  </si>
  <si>
    <t>The Fathomless Dominion</t>
  </si>
  <si>
    <t>Melodic Death metal, Symphonic metal</t>
  </si>
  <si>
    <t>Longmont, CO</t>
  </si>
  <si>
    <t>Thin</t>
  </si>
  <si>
    <t>The Overlapping Nature of Things</t>
  </si>
  <si>
    <t>Mathcore, Grindcore, Emoviolence</t>
  </si>
  <si>
    <t>Chaos Inception</t>
  </si>
  <si>
    <t>Vengeance Evangel</t>
  </si>
  <si>
    <t>Huntsville, AL</t>
  </si>
  <si>
    <t>Délirant</t>
  </si>
  <si>
    <t>Thoughteater</t>
  </si>
  <si>
    <t>Kosuke Hashida</t>
  </si>
  <si>
    <t>Outrage</t>
  </si>
  <si>
    <t>Death metal, Thrash metal, Grindcore</t>
  </si>
  <si>
    <t>Vermilia</t>
  </si>
  <si>
    <t>Karsikko</t>
  </si>
  <si>
    <t>Atmospheric Black metal, Pagan Black metal</t>
  </si>
  <si>
    <t>Throne</t>
  </si>
  <si>
    <t>Ossarium</t>
  </si>
  <si>
    <t>Soragna, Italy</t>
  </si>
  <si>
    <t>Blind Wolf</t>
  </si>
  <si>
    <t>Noble Death</t>
  </si>
  <si>
    <t>Decline of the I</t>
  </si>
  <si>
    <t>Wilhelm</t>
  </si>
  <si>
    <t>Post-Black Metal</t>
  </si>
  <si>
    <t>Black Narcissus</t>
  </si>
  <si>
    <t>There Lingers One Who's Long Forgotten</t>
  </si>
  <si>
    <t>With Blood Comes Cleansing</t>
  </si>
  <si>
    <t>Virginia, United States</t>
  </si>
  <si>
    <t>Rioghan</t>
  </si>
  <si>
    <t>Kept</t>
  </si>
  <si>
    <t>Lapua, Finland</t>
  </si>
  <si>
    <t>Love Is Noise</t>
  </si>
  <si>
    <t>To Live in a Different Way</t>
  </si>
  <si>
    <t>Alt-metal, Shoegaze</t>
  </si>
  <si>
    <t>Hangman's Chair</t>
  </si>
  <si>
    <t>Saddiction</t>
  </si>
  <si>
    <t>Doom Metal, Gothic Metal</t>
  </si>
  <si>
    <t>Bleeding Through</t>
  </si>
  <si>
    <t>Nine</t>
  </si>
  <si>
    <t>Melodic Metalcore, Deathcore</t>
  </si>
  <si>
    <t>California, US</t>
  </si>
  <si>
    <t>Dawn of Solace</t>
  </si>
  <si>
    <t>Affliction Vortex</t>
  </si>
  <si>
    <t>Doom metal, Gothic metal</t>
  </si>
  <si>
    <t>Obscureviolence</t>
  </si>
  <si>
    <t>Refuting the Flesh</t>
  </si>
  <si>
    <t>Russia</t>
  </si>
  <si>
    <t>Mantar</t>
  </si>
  <si>
    <t>Post Apocalyptic Depression</t>
  </si>
  <si>
    <t>Bremen, Germany</t>
  </si>
  <si>
    <t>Pothamus</t>
  </si>
  <si>
    <t>Abur</t>
  </si>
  <si>
    <t>Mechelen, Belgium</t>
  </si>
  <si>
    <t>Lacuna Coil</t>
  </si>
  <si>
    <t>Sleepless Empire</t>
  </si>
  <si>
    <t>Alt-metal, Gothic metal</t>
  </si>
  <si>
    <t>Milano, Italy</t>
  </si>
  <si>
    <t>Mastord</t>
  </si>
  <si>
    <t>Lemmon Lintu</t>
  </si>
  <si>
    <t>Kotka, Finland</t>
  </si>
  <si>
    <t>Pyrrhic Salvation</t>
  </si>
  <si>
    <t>When Society Crumbles</t>
  </si>
  <si>
    <t>Richmond, VA</t>
  </si>
  <si>
    <t>Novarupta</t>
  </si>
  <si>
    <t>Astral Sands</t>
  </si>
  <si>
    <t>Warlung</t>
  </si>
  <si>
    <t>The Poison Touch</t>
  </si>
  <si>
    <t>Stoner metal, Heavy metal</t>
  </si>
  <si>
    <t>Houston, TX</t>
  </si>
  <si>
    <t>Spares</t>
  </si>
  <si>
    <t>Portland, OR</t>
  </si>
  <si>
    <t>Savage Lands</t>
  </si>
  <si>
    <t>Army of the Trees</t>
  </si>
  <si>
    <t>Thrash metal, Heavy metal</t>
  </si>
  <si>
    <t>Kryptan</t>
  </si>
  <si>
    <t>Violence, Our Power</t>
  </si>
  <si>
    <t>Avesta, Sweden</t>
  </si>
  <si>
    <t>Carcolh</t>
  </si>
  <si>
    <t>Twilight Of The Mortals</t>
  </si>
  <si>
    <t>Rescue Cat</t>
  </si>
  <si>
    <t>Flesh &amp; Weapon</t>
  </si>
  <si>
    <t>Metallic Hardcore</t>
  </si>
  <si>
    <t>Fell Omen</t>
  </si>
  <si>
    <t>Invaded By A Dark Spirit</t>
  </si>
  <si>
    <t>Church Tongue</t>
  </si>
  <si>
    <t>You'll Know It Was Me</t>
  </si>
  <si>
    <t>Teryky</t>
  </si>
  <si>
    <t>Beyond The Absence Of Light</t>
  </si>
  <si>
    <t>Die Tonight</t>
  </si>
  <si>
    <t>Fall to Ruin</t>
  </si>
  <si>
    <t>Melodic Death metal, Deathcore</t>
  </si>
  <si>
    <t>Bristol, UK</t>
  </si>
  <si>
    <t>Möuth</t>
  </si>
  <si>
    <t>Global Warning</t>
  </si>
  <si>
    <t>Stoner metal, Proto-metal, Heavy metal</t>
  </si>
  <si>
    <t>Highborne</t>
  </si>
  <si>
    <t>Dreamweaving</t>
  </si>
  <si>
    <t>Black metal, Trance House</t>
  </si>
  <si>
    <t>Albuquerque, NM</t>
  </si>
  <si>
    <t>Astodan</t>
  </si>
  <si>
    <t>Dirges</t>
  </si>
  <si>
    <t>Brussels, Belgium</t>
  </si>
  <si>
    <t>Reeking Aura</t>
  </si>
  <si>
    <t>Fires in Deep Frost</t>
  </si>
  <si>
    <t>EKLYPS</t>
  </si>
  <si>
    <t>Handover</t>
  </si>
  <si>
    <t>Folk metal</t>
  </si>
  <si>
    <t>Cosmic Voyager</t>
  </si>
  <si>
    <t>Moon In Gemini</t>
  </si>
  <si>
    <t>Trhä</t>
  </si>
  <si>
    <t>∫um'ad∂ejja ∫ervaj</t>
  </si>
  <si>
    <t>Oak Park, IL</t>
  </si>
  <si>
    <t>Fractured Insanity</t>
  </si>
  <si>
    <t>Age of Manipulation</t>
  </si>
  <si>
    <t>Moorsele, Belgium</t>
  </si>
  <si>
    <t>Sin of God</t>
  </si>
  <si>
    <t>Blood Bound</t>
  </si>
  <si>
    <t>Hungary</t>
  </si>
  <si>
    <t>Botulism</t>
  </si>
  <si>
    <t>Microdosing the Torment</t>
  </si>
  <si>
    <t>Grindcore, Deathgrind</t>
  </si>
  <si>
    <t>Exision</t>
  </si>
  <si>
    <t>Uhreina Ajassa</t>
  </si>
  <si>
    <t>Alt-metal, Metalcore</t>
  </si>
  <si>
    <t>Temple of Discord</t>
  </si>
  <si>
    <t>In The Ashes</t>
  </si>
  <si>
    <t>Anomander</t>
  </si>
  <si>
    <t>Cracks in Arcadia</t>
  </si>
  <si>
    <t>Kuala Lumpur, Malaysia</t>
  </si>
  <si>
    <t>Lute</t>
  </si>
  <si>
    <t>Austerium</t>
  </si>
  <si>
    <t>Shepherds of Cassini</t>
  </si>
  <si>
    <t>In Thrall to Heresy</t>
  </si>
  <si>
    <t>Prog-metal, Post-metal, Psychedelic rock</t>
  </si>
  <si>
    <t>Auckland, New Zealand</t>
  </si>
  <si>
    <t>Homeskin</t>
  </si>
  <si>
    <t>Soul Washed Bleach</t>
  </si>
  <si>
    <t>Horizon Ignited</t>
  </si>
  <si>
    <t>Tides</t>
  </si>
  <si>
    <t>Voidfallen</t>
  </si>
  <si>
    <t>The Rituals of Resilience</t>
  </si>
  <si>
    <t>Pissgrave</t>
  </si>
  <si>
    <t>Malignant Worthlessness</t>
  </si>
  <si>
    <t>Cross Bringer</t>
  </si>
  <si>
    <t>Healismus Aeternus</t>
  </si>
  <si>
    <t>Scare</t>
  </si>
  <si>
    <t>In The End, Was It Worth It?</t>
  </si>
  <si>
    <t>Metallic Hardcore, Crust Punk</t>
  </si>
  <si>
    <t>Québec, Canada</t>
  </si>
  <si>
    <t>Scour</t>
  </si>
  <si>
    <t>Gold</t>
  </si>
  <si>
    <t>The Dark</t>
  </si>
  <si>
    <t>Alternative Metal, Metalcore</t>
  </si>
  <si>
    <t>Killswitch Engage</t>
  </si>
  <si>
    <t>This Consequence</t>
  </si>
  <si>
    <t>Westfield, Massachusetts</t>
  </si>
  <si>
    <t>Cages</t>
  </si>
  <si>
    <t>Better Mistakes</t>
  </si>
  <si>
    <t>Post-Metal, Screamo</t>
  </si>
  <si>
    <t>Silverstein</t>
  </si>
  <si>
    <t>Antibloom</t>
  </si>
  <si>
    <t>Post-Hardcore, Emo</t>
  </si>
  <si>
    <t>Burlington, Canada</t>
  </si>
  <si>
    <t>Gràb</t>
  </si>
  <si>
    <t>Kremess</t>
  </si>
  <si>
    <t>Wrekmeister Harmonies</t>
  </si>
  <si>
    <t>Flowers in the Spring</t>
  </si>
  <si>
    <t>Drone metal</t>
  </si>
  <si>
    <t>Kingston, NY</t>
  </si>
  <si>
    <t>Marrowomb</t>
  </si>
  <si>
    <t>Phisenomie</t>
  </si>
  <si>
    <t>Retromorphosis</t>
  </si>
  <si>
    <t>Psalmus Mortis</t>
  </si>
  <si>
    <t>Defiled Serenity</t>
  </si>
  <si>
    <t>Within the Slumber of the Mind</t>
  </si>
  <si>
    <t>Loimaa, Finland</t>
  </si>
  <si>
    <t>Wren</t>
  </si>
  <si>
    <t>Black Rain Falls</t>
  </si>
  <si>
    <t>Atmospheric Sludge metal</t>
  </si>
  <si>
    <t>Nachtblut</t>
  </si>
  <si>
    <t>Todschick</t>
  </si>
  <si>
    <t>Gothic metal</t>
  </si>
  <si>
    <t>Osnabrück, Germany</t>
  </si>
  <si>
    <t>Armory</t>
  </si>
  <si>
    <t>Black Star</t>
  </si>
  <si>
    <t>Sinner Rage</t>
  </si>
  <si>
    <t>Powerstrike</t>
  </si>
  <si>
    <t>Vitoria Gasteiz, Spain</t>
  </si>
  <si>
    <t>Seventh Station</t>
  </si>
  <si>
    <t>On Shoulders of Giants</t>
  </si>
  <si>
    <t>Slovenia</t>
  </si>
  <si>
    <t>Across The Swarm</t>
  </si>
  <si>
    <t>Invisible Threads</t>
  </si>
  <si>
    <t>Malacath</t>
  </si>
  <si>
    <t>Eternal Roar of the Thunder and Rain</t>
  </si>
  <si>
    <t>West Swanzey, NH</t>
  </si>
  <si>
    <t>Vultures Vengeance</t>
  </si>
  <si>
    <t>Dust Age</t>
  </si>
  <si>
    <t>Abduction</t>
  </si>
  <si>
    <t>Existentialismus</t>
  </si>
  <si>
    <t>Derby, UK</t>
  </si>
  <si>
    <t>The 7th Guild</t>
  </si>
  <si>
    <t>Triumviro</t>
  </si>
  <si>
    <t>Power metal, Rock Opera</t>
  </si>
  <si>
    <t>Mean Mistreater</t>
  </si>
  <si>
    <t>Do or Die</t>
  </si>
  <si>
    <t>Austin, TX</t>
  </si>
  <si>
    <t>Twins Crew</t>
  </si>
  <si>
    <t>Chapter IV</t>
  </si>
  <si>
    <t>Power metal, Heavy metal</t>
  </si>
  <si>
    <t>Drugs of Faith</t>
  </si>
  <si>
    <t>Asymmetrical</t>
  </si>
  <si>
    <t>Grindcore, Hardcore Punk</t>
  </si>
  <si>
    <t>Sterling, VA</t>
  </si>
  <si>
    <t>Omega Purge</t>
  </si>
  <si>
    <t>The Last Monarch's Fall</t>
  </si>
  <si>
    <t>Melodic Death metal, Thrash metal</t>
  </si>
  <si>
    <t>Freiberg, Germany</t>
  </si>
  <si>
    <t>Matalobos</t>
  </si>
  <si>
    <t>Phantasmagoria: Hexed Lands</t>
  </si>
  <si>
    <t>Melodic Death metal, Doom metal</t>
  </si>
  <si>
    <t>Leon, Mexico</t>
  </si>
  <si>
    <t>BaarRa</t>
  </si>
  <si>
    <t>Entheos</t>
  </si>
  <si>
    <t>Post-metal, Drone metal</t>
  </si>
  <si>
    <t>Incantvm</t>
  </si>
  <si>
    <t>Maleficia</t>
  </si>
  <si>
    <t>Symphonic Black metal</t>
  </si>
  <si>
    <t>Old Skin</t>
  </si>
  <si>
    <t>Wails Of Ten Thousand</t>
  </si>
  <si>
    <t>Fort Collins, CO</t>
  </si>
  <si>
    <t>Elcano</t>
  </si>
  <si>
    <t>The First Circumnavigation Of The World</t>
  </si>
  <si>
    <t>Symphonic metal, Melodic metal, Nautical metal</t>
  </si>
  <si>
    <t>Olten, Switzerland</t>
  </si>
  <si>
    <t>Limuria</t>
  </si>
  <si>
    <t>Lost World</t>
  </si>
  <si>
    <t>Washington, WA</t>
  </si>
  <si>
    <t>Rapière</t>
  </si>
  <si>
    <t>Пепел</t>
  </si>
  <si>
    <t>Blackened Hardcore, Post-metal</t>
  </si>
  <si>
    <t>Yekaterinburg, Russia</t>
  </si>
  <si>
    <t>Bedowyn</t>
  </si>
  <si>
    <t>Secret Storm, Secret Garden</t>
  </si>
  <si>
    <t>Heavy metal, Stoner metal</t>
  </si>
  <si>
    <t>Raleigh, NC</t>
  </si>
  <si>
    <t>Morax</t>
  </si>
  <si>
    <t>The Amulet</t>
  </si>
  <si>
    <t>Bergen, Norway</t>
  </si>
  <si>
    <t>Acid Magus</t>
  </si>
  <si>
    <t>Scatterling Empire</t>
  </si>
  <si>
    <t>Stoner metal, Doom metal, Sludge metal</t>
  </si>
  <si>
    <t>Pretoria, South Africa</t>
  </si>
  <si>
    <t>Shrike</t>
  </si>
  <si>
    <t>The Divine and the Serpentine</t>
  </si>
  <si>
    <t>Prog-metal, Metalcore, Deathcore</t>
  </si>
  <si>
    <t>Preston, UK</t>
  </si>
  <si>
    <t>Amon Sethis</t>
  </si>
  <si>
    <t>Part III - Dawn of an Apocalyptic World</t>
  </si>
  <si>
    <t>Prog-metal, Symphonic metal</t>
  </si>
  <si>
    <t>Grenoble, France</t>
  </si>
  <si>
    <t>Enbound</t>
  </si>
  <si>
    <t>Set It Free</t>
  </si>
  <si>
    <t>Dorre</t>
  </si>
  <si>
    <t>Fortress</t>
  </si>
  <si>
    <t>Sea Mosquito</t>
  </si>
  <si>
    <t>Reflections</t>
  </si>
  <si>
    <t>Avant-Garde Black metal</t>
  </si>
  <si>
    <t>Vertebrae Fetish Totem</t>
  </si>
  <si>
    <t>Rituals</t>
  </si>
  <si>
    <t>Cleveland, OH</t>
  </si>
  <si>
    <t>∫um'ad∂ejja mºoravaj</t>
  </si>
  <si>
    <t>ducel ëf ∂acet'asde§ den alëcaáhabna ë∫ igatenamëc. já sjaboj. já qá§mëna. ëmat'alsob nimëde eh enΩëcunnab nipi¶e</t>
  </si>
  <si>
    <t>Show of Bedlam</t>
  </si>
  <si>
    <t>La Cathédrale Engloutie</t>
  </si>
  <si>
    <t>Experimental metal, Doom metal, Post-Hardcore</t>
  </si>
  <si>
    <t>Montréal, Canada</t>
  </si>
  <si>
    <t>Defy the Tyrants</t>
  </si>
  <si>
    <t>Metalcore, Thrash Metal</t>
  </si>
  <si>
    <t>San Diego, California</t>
  </si>
  <si>
    <t>Alyksir</t>
  </si>
  <si>
    <t>Devourer</t>
  </si>
  <si>
    <t>Montreal, Canada</t>
  </si>
  <si>
    <t>Embla</t>
  </si>
  <si>
    <t>A WAY / AWAY</t>
  </si>
  <si>
    <t>Hesychast</t>
  </si>
  <si>
    <t>For Whom We Sing New Troparia</t>
  </si>
  <si>
    <t>Schavot</t>
  </si>
  <si>
    <t>Verstrikt in Halflicht</t>
  </si>
  <si>
    <t>Venray, Netherlands</t>
  </si>
  <si>
    <t>Stress Test</t>
  </si>
  <si>
    <t>Thrash metal, Crust Punk</t>
  </si>
  <si>
    <t>Vjecna Suma</t>
  </si>
  <si>
    <t>The Stormbound Curse</t>
  </si>
  <si>
    <t>Обрій (Obrij)</t>
  </si>
  <si>
    <t>Йосип</t>
  </si>
  <si>
    <t>Death metal, Hardcore</t>
  </si>
  <si>
    <t>Uzhhorod, Ukraine</t>
  </si>
  <si>
    <t>Primrose Path</t>
  </si>
  <si>
    <t>Ruminations</t>
  </si>
  <si>
    <t>Hartlight</t>
  </si>
  <si>
    <t>The Triumph of Metal</t>
  </si>
  <si>
    <t>Avignon, France</t>
  </si>
  <si>
    <t>Grave Infestation</t>
  </si>
  <si>
    <t>Carnage Gathers</t>
  </si>
  <si>
    <t>Vancouver, Canada</t>
  </si>
  <si>
    <t>Ritual Ascension</t>
  </si>
  <si>
    <t>Profanation of the Adamic Covenant</t>
  </si>
  <si>
    <t>Voodus</t>
  </si>
  <si>
    <t>Emanating Sparks</t>
  </si>
  <si>
    <t>Kungälv, Sweden</t>
  </si>
  <si>
    <t>Caustic Phlegm</t>
  </si>
  <si>
    <t>Purulent Apocalypse</t>
  </si>
  <si>
    <t>Dunfermline, Scotland</t>
  </si>
  <si>
    <t>Ruinous Power</t>
  </si>
  <si>
    <t>EXTREME DANGER: Prototype Weaponry</t>
  </si>
  <si>
    <t>Death metal, Black metal</t>
  </si>
  <si>
    <t>Sleep Paralysis</t>
  </si>
  <si>
    <t>Avant-Garde Black metal, Classical Jazz, Electronic</t>
  </si>
  <si>
    <t>Venomous Echoes</t>
  </si>
  <si>
    <t>Dysmor</t>
  </si>
  <si>
    <t>Avant-Garde metal, Dissonant Black metal</t>
  </si>
  <si>
    <t>Kettering, OH</t>
  </si>
  <si>
    <t>Christian Mistress</t>
  </si>
  <si>
    <t>Children Of The Earth</t>
  </si>
  <si>
    <t>Olympia, WA</t>
  </si>
  <si>
    <t>Light Dweller</t>
  </si>
  <si>
    <t>The Subjugate</t>
  </si>
  <si>
    <t>Dissonant Death metal</t>
  </si>
  <si>
    <t>Tempe, AZ</t>
  </si>
  <si>
    <t>Vacuous</t>
  </si>
  <si>
    <t>In His Blood</t>
  </si>
  <si>
    <t>Celestial Scourge</t>
  </si>
  <si>
    <t>Observers of The Inevitable</t>
  </si>
  <si>
    <t>Architects</t>
  </si>
  <si>
    <t>The Sky, The Earth and All Between</t>
  </si>
  <si>
    <t>Brighton, UK</t>
  </si>
  <si>
    <t>Brainstorm</t>
  </si>
  <si>
    <t>Plague of Rats</t>
  </si>
  <si>
    <t>Heidenheim, Germany</t>
  </si>
  <si>
    <t>Havukruunu</t>
  </si>
  <si>
    <t>Tavastland</t>
  </si>
  <si>
    <t>Riihimäki, Finland</t>
  </si>
  <si>
    <t>Sepulchral Curse</t>
  </si>
  <si>
    <t>Crimson Moon Evocations</t>
  </si>
  <si>
    <t>Black Metal, Death Metal</t>
  </si>
  <si>
    <t>Serenity In Murder</t>
  </si>
  <si>
    <t>Timeless Reverie</t>
  </si>
  <si>
    <t>Red Eye</t>
  </si>
  <si>
    <t>III</t>
  </si>
  <si>
    <t>Crown of Madness</t>
  </si>
  <si>
    <t>Memories Fragmented</t>
  </si>
  <si>
    <t>British Columbia, Canada</t>
  </si>
  <si>
    <t>Ter Ziele</t>
  </si>
  <si>
    <t>Embodiment Of Death</t>
  </si>
  <si>
    <t>Grima</t>
  </si>
  <si>
    <t>Nightside</t>
  </si>
  <si>
    <t>Year of the Cobra</t>
  </si>
  <si>
    <t>Bronco</t>
  </si>
  <si>
    <t>Wilmington, NC</t>
  </si>
  <si>
    <t>Exhalus</t>
  </si>
  <si>
    <t>Inexorable Decay</t>
  </si>
  <si>
    <t>Oversize</t>
  </si>
  <si>
    <t>Vital Signs</t>
  </si>
  <si>
    <t>Post-Hardcore, Shoegaze, Emo, Alternative</t>
  </si>
  <si>
    <t>England, UK</t>
  </si>
  <si>
    <t>Metaphobic</t>
  </si>
  <si>
    <t>Deranged Excruciations</t>
  </si>
  <si>
    <t>Avantasia</t>
  </si>
  <si>
    <t>Here Be Dragons</t>
  </si>
  <si>
    <t>Fulda, Germany</t>
  </si>
  <si>
    <t>Dimman</t>
  </si>
  <si>
    <t>Consciousness</t>
  </si>
  <si>
    <t>Owlbear</t>
  </si>
  <si>
    <t>Feather &amp; Claw</t>
  </si>
  <si>
    <t>Benthic</t>
  </si>
  <si>
    <t>Sanguine</t>
  </si>
  <si>
    <t>Chemicide</t>
  </si>
  <si>
    <t>Violence Prevails</t>
  </si>
  <si>
    <t>San José, Costa Rica</t>
  </si>
  <si>
    <t>Ocultum</t>
  </si>
  <si>
    <t>Buena Muerte</t>
  </si>
  <si>
    <t>Stoner metal, Sludge metal</t>
  </si>
  <si>
    <t>Santiago, Chile</t>
  </si>
  <si>
    <t>Dark Chapel</t>
  </si>
  <si>
    <t>Spirit in The Glass</t>
  </si>
  <si>
    <t>Heavy metal, Blues rock</t>
  </si>
  <si>
    <t>Las Vegas, NV</t>
  </si>
  <si>
    <t>Act of Impalement</t>
  </si>
  <si>
    <t>Profane Altar</t>
  </si>
  <si>
    <t>Death metal, Black metal, Sludge metal</t>
  </si>
  <si>
    <t>Nashville, TN</t>
  </si>
  <si>
    <t>Toughness</t>
  </si>
  <si>
    <t>Black Respite of Oblivion</t>
  </si>
  <si>
    <t>Pulawy, Poland</t>
  </si>
  <si>
    <t>Hirax</t>
  </si>
  <si>
    <t>Faster Than Death</t>
  </si>
  <si>
    <t>Tharsh metal, Speed metal</t>
  </si>
  <si>
    <t>Buena Park, CA</t>
  </si>
  <si>
    <t>Insanity Cult</t>
  </si>
  <si>
    <t>Κ​ά​θ​ο​δ​ο​ς</t>
  </si>
  <si>
    <t>Unholy Impurity</t>
  </si>
  <si>
    <t>Oculus Mortis</t>
  </si>
  <si>
    <t>Ossi, Italy</t>
  </si>
  <si>
    <t>Hand of The Wicked</t>
  </si>
  <si>
    <t>Videam Dolorem</t>
  </si>
  <si>
    <t>Symphonic Black metal, Death metal</t>
  </si>
  <si>
    <t>Arkansas, AR</t>
  </si>
  <si>
    <t>Scimitar</t>
  </si>
  <si>
    <t>Scimitarium I</t>
  </si>
  <si>
    <t>Rylos</t>
  </si>
  <si>
    <t>Signs of Life</t>
  </si>
  <si>
    <t>Jaundice</t>
  </si>
  <si>
    <t>Infernal Demise</t>
  </si>
  <si>
    <t>Hail Conjurer</t>
  </si>
  <si>
    <t>Order of Disgrace</t>
  </si>
  <si>
    <t>Void Revenant</t>
  </si>
  <si>
    <t>Celestial Procession</t>
  </si>
  <si>
    <t>Pariah</t>
  </si>
  <si>
    <t>Violence Is A Curse</t>
  </si>
  <si>
    <t>Mathcore, Powerviolence</t>
  </si>
  <si>
    <t>Buried Faith</t>
  </si>
  <si>
    <t>Blackened Skies, Open Graves</t>
  </si>
  <si>
    <t>Boise, ID</t>
  </si>
  <si>
    <t>The Grey</t>
  </si>
  <si>
    <t>KODOK</t>
  </si>
  <si>
    <t>Instru./Harsh</t>
  </si>
  <si>
    <t>Cambridge, UK</t>
  </si>
  <si>
    <t>ORT</t>
  </si>
  <si>
    <t>Sperrwerk</t>
  </si>
  <si>
    <t>Dortmund, Germany</t>
  </si>
  <si>
    <t>Lost Sanctuary</t>
  </si>
  <si>
    <t>Harbinger Of Chaos</t>
  </si>
  <si>
    <t>Heavy metal, Power metal, Thrash metal</t>
  </si>
  <si>
    <t>Awakeness</t>
  </si>
  <si>
    <t>Low Spirits</t>
  </si>
  <si>
    <t>Emissary</t>
  </si>
  <si>
    <t>Eldritch</t>
  </si>
  <si>
    <t>Black metal, Death metal, Thrash metal</t>
  </si>
  <si>
    <t>Barcelona, Spain</t>
  </si>
  <si>
    <t>Küenring</t>
  </si>
  <si>
    <t>In Search of Paradise</t>
  </si>
  <si>
    <t>Heavy metal, Hard rock</t>
  </si>
  <si>
    <t>Vienna, Austria</t>
  </si>
  <si>
    <t>Bulletsbetweentongues</t>
  </si>
  <si>
    <t>Fragility</t>
  </si>
  <si>
    <t>Melodic Hardcore, Emoviolence</t>
  </si>
  <si>
    <t>Denton, Texas</t>
  </si>
  <si>
    <t>Cenozoa</t>
  </si>
  <si>
    <t>In Bloom</t>
  </si>
  <si>
    <t>Hallucivore</t>
  </si>
  <si>
    <t>Shrouded in Exogaian Petrichor</t>
  </si>
  <si>
    <t>Telma</t>
  </si>
  <si>
    <t>Awakening</t>
  </si>
  <si>
    <t>Alt-metal, Groove metal</t>
  </si>
  <si>
    <t>Larissa, Greece</t>
  </si>
  <si>
    <t>Uncle Woe</t>
  </si>
  <si>
    <t>Folded in Smoke, Soaked and Bound</t>
  </si>
  <si>
    <t>Bancroft, Canada</t>
  </si>
  <si>
    <t>Avulsed</t>
  </si>
  <si>
    <t>Phoenix Cryptobiosis</t>
  </si>
  <si>
    <t>Phantom Druid</t>
  </si>
  <si>
    <t>The Edge of Oblivion</t>
  </si>
  <si>
    <t>Traditional Doom metal</t>
  </si>
  <si>
    <t>Istapp</t>
  </si>
  <si>
    <t>Sól Tér Sortna</t>
  </si>
  <si>
    <t>...But the Shadows Have Foes</t>
  </si>
  <si>
    <t>Look With Pity Upon the Sallow Face of God, For We Have Built Hells Beyond His Imagining</t>
  </si>
  <si>
    <t>Blackened Hardcore, Post-metal, Neocrust</t>
  </si>
  <si>
    <t>Illinois, IL</t>
  </si>
  <si>
    <t>La Torture Des Ténèbres</t>
  </si>
  <si>
    <t>Episode VII - Revenge Of Unfailing Valor</t>
  </si>
  <si>
    <t>Atmospheric Black metal, Black Noise</t>
  </si>
  <si>
    <t>Ottawa, Canada</t>
  </si>
  <si>
    <t>Smiqra</t>
  </si>
  <si>
    <t>Rɡyaɡ̇dźé!</t>
  </si>
  <si>
    <t>Avant-Garde metal, Mathcore, Thrash metal</t>
  </si>
  <si>
    <t>Harvest of Ash</t>
  </si>
  <si>
    <t>Castaway</t>
  </si>
  <si>
    <t>Post-metal, Doom metal, Sludge metal</t>
  </si>
  <si>
    <t>March of Scylla</t>
  </si>
  <si>
    <t>Andromeda</t>
  </si>
  <si>
    <t>Prog-metal, Groove metal, Metalcore</t>
  </si>
  <si>
    <t>Amiens, France</t>
  </si>
  <si>
    <t>Spider God</t>
  </si>
  <si>
    <t>Possess the Devil: The Original Album</t>
  </si>
  <si>
    <t>Melodic Black metal, Metalcore</t>
  </si>
  <si>
    <t>Imminence</t>
  </si>
  <si>
    <t>The Return of The Black</t>
  </si>
  <si>
    <t>Metalcore, Symphonic Metal</t>
  </si>
  <si>
    <t>Trelleborg, Sweden</t>
  </si>
  <si>
    <t>Zac Leaser</t>
  </si>
  <si>
    <t>Ascension to Light</t>
  </si>
  <si>
    <t>Fort Worth, TX</t>
  </si>
  <si>
    <t>SKLOSS</t>
  </si>
  <si>
    <t>The Pattern Speaks</t>
  </si>
  <si>
    <t>Post-metal, Stoner metal, Heavy Psych</t>
  </si>
  <si>
    <t>Frogg</t>
  </si>
  <si>
    <t>Eclipse</t>
  </si>
  <si>
    <t>Prog-metal, Djent, Metalcore</t>
  </si>
  <si>
    <t>Druma</t>
  </si>
  <si>
    <t>Sores Of Our Time</t>
  </si>
  <si>
    <t>Hermyth</t>
  </si>
  <si>
    <t>Aether</t>
  </si>
  <si>
    <t>Biella, Italy</t>
  </si>
  <si>
    <t>Throne of Iron</t>
  </si>
  <si>
    <t>Adventure Two</t>
  </si>
  <si>
    <t>Heavy metal, Power metal</t>
  </si>
  <si>
    <t>Bloomington, IN</t>
  </si>
  <si>
    <t>Adamantis</t>
  </si>
  <si>
    <t>Reforged</t>
  </si>
  <si>
    <t>Nephylim</t>
  </si>
  <si>
    <t>Circuition</t>
  </si>
  <si>
    <t>Lights Of Skadi</t>
  </si>
  <si>
    <t>A Cinematic Experience</t>
  </si>
  <si>
    <t>Dawn of Ouroboros</t>
  </si>
  <si>
    <t>Bioluminescence</t>
  </si>
  <si>
    <t>Prog-metal, Melodic Death metal, Post-metal, Blackgaze</t>
  </si>
  <si>
    <t>Oakland, CA</t>
  </si>
  <si>
    <t>Guiltless</t>
  </si>
  <si>
    <t>Teeth To Sky</t>
  </si>
  <si>
    <t>Whitechapel</t>
  </si>
  <si>
    <t>Hymns in Dissonance</t>
  </si>
  <si>
    <t>K L P S</t>
  </si>
  <si>
    <t>Helsingborg, Sweden</t>
  </si>
  <si>
    <t>Spiritbox</t>
  </si>
  <si>
    <t>Tsunami Sea</t>
  </si>
  <si>
    <t>The Unguided</t>
  </si>
  <si>
    <t>Hellven</t>
  </si>
  <si>
    <t>Falkenberg, Sweden</t>
  </si>
  <si>
    <t>Cryptosis</t>
  </si>
  <si>
    <t>Celestial Death</t>
  </si>
  <si>
    <t>Enschede, Netherlands</t>
  </si>
  <si>
    <t>Scalpture</t>
  </si>
  <si>
    <t>Landkrieg</t>
  </si>
  <si>
    <t>This Gift Is A Curse</t>
  </si>
  <si>
    <t>Heir</t>
  </si>
  <si>
    <t>Black metal, Post-metal, Sludge metal</t>
  </si>
  <si>
    <t>Destruction</t>
  </si>
  <si>
    <t>Birth Of Malice</t>
  </si>
  <si>
    <t>Shrine of Denial</t>
  </si>
  <si>
    <t>I, Moloch</t>
  </si>
  <si>
    <t>Turkey</t>
  </si>
  <si>
    <t>Impurity</t>
  </si>
  <si>
    <t>The Eternal Sleep</t>
  </si>
  <si>
    <t>Grey Mountain</t>
  </si>
  <si>
    <t>Holy Death</t>
  </si>
  <si>
    <t>Paradice</t>
  </si>
  <si>
    <t>Death metal, Sludge metal</t>
  </si>
  <si>
    <t>Long Beach, CA</t>
  </si>
  <si>
    <t>Crown Magnatar</t>
  </si>
  <si>
    <t>Punishment</t>
  </si>
  <si>
    <t>Colorado Springs, CO</t>
  </si>
  <si>
    <t>Edge of Paradise</t>
  </si>
  <si>
    <t>Prophecy</t>
  </si>
  <si>
    <t>Alt-metal, Symphonic metal, Electropop</t>
  </si>
  <si>
    <t>Hollywood, CA</t>
  </si>
  <si>
    <t>Droni Eye Omi</t>
  </si>
  <si>
    <t>Liminal Mass</t>
  </si>
  <si>
    <t>Sadist</t>
  </si>
  <si>
    <t>Something to Pierce</t>
  </si>
  <si>
    <t>Genova, Italy</t>
  </si>
  <si>
    <t>Voidchaser</t>
  </si>
  <si>
    <t>Trust</t>
  </si>
  <si>
    <t>Corporal Punishment</t>
  </si>
  <si>
    <t>Inverted Demise</t>
  </si>
  <si>
    <t>Ingrown</t>
  </si>
  <si>
    <t>Idaho</t>
  </si>
  <si>
    <t>Necrambulant</t>
  </si>
  <si>
    <t>Upheaval of Malignant Necrambulance</t>
  </si>
  <si>
    <t>Phoenix, AZ</t>
  </si>
  <si>
    <t>Deathless Legacy</t>
  </si>
  <si>
    <t>Damnatio Aeterna</t>
  </si>
  <si>
    <t>Pisa, Italy</t>
  </si>
  <si>
    <t>Combust</t>
  </si>
  <si>
    <t>Belly of the Beast</t>
  </si>
  <si>
    <t>Hardcore, Metalcore</t>
  </si>
  <si>
    <t>Moros</t>
  </si>
  <si>
    <t>Recrudescent Horror</t>
  </si>
  <si>
    <t>Death metal, Doom metal, Sludge metal</t>
  </si>
  <si>
    <t>Reekmind</t>
  </si>
  <si>
    <t>Mired in the Reek of Grief</t>
  </si>
  <si>
    <t>Sydney, Australia</t>
  </si>
  <si>
    <t>Balance Breach</t>
  </si>
  <si>
    <t>Save Our Souls</t>
  </si>
  <si>
    <t>Mikkeli, Finland</t>
  </si>
  <si>
    <t>Pyres</t>
  </si>
  <si>
    <t>YUN</t>
  </si>
  <si>
    <t>Bleeding Edge</t>
  </si>
  <si>
    <t>The Devil's Door</t>
  </si>
  <si>
    <t>War Magic</t>
  </si>
  <si>
    <t>Atomic Rites</t>
  </si>
  <si>
    <t>Carnal Forge</t>
  </si>
  <si>
    <t>The Fractured Process</t>
  </si>
  <si>
    <t>Mortuaire</t>
  </si>
  <si>
    <t>Monde Vide</t>
  </si>
  <si>
    <t>Ladeûlas</t>
  </si>
  <si>
    <t>Experimental Black metal, Heavy Psych, Free Improv</t>
  </si>
  <si>
    <t>RIFFT</t>
  </si>
  <si>
    <t>Death Peace</t>
  </si>
  <si>
    <t>Stoner metal, Doom metal, Post-metal</t>
  </si>
  <si>
    <t>The Death Wheelers</t>
  </si>
  <si>
    <t>The Ecstasy Of Möld</t>
  </si>
  <si>
    <t>Stoner metal, Stoner rock</t>
  </si>
  <si>
    <t>Nekyros</t>
  </si>
  <si>
    <t>Nyxian Path</t>
  </si>
  <si>
    <t>Edyakaran</t>
  </si>
  <si>
    <t>Pantheon</t>
  </si>
  <si>
    <t>Instru./Mixed</t>
  </si>
  <si>
    <t>Selvforakt</t>
  </si>
  <si>
    <t>Ormstukken</t>
  </si>
  <si>
    <t>Tromsø, Norway</t>
  </si>
  <si>
    <t>Irony Of Fate</t>
  </si>
  <si>
    <t>Equinox</t>
  </si>
  <si>
    <t>Bern, Switzerland</t>
  </si>
  <si>
    <t>The Vice</t>
  </si>
  <si>
    <t>A Great Unrest</t>
  </si>
  <si>
    <t>Black 'n' Roll</t>
  </si>
  <si>
    <t>Ninkharsag</t>
  </si>
  <si>
    <t>The Black Swords of Winter</t>
  </si>
  <si>
    <t>Dead Hour Noise</t>
  </si>
  <si>
    <t>Slow Burn</t>
  </si>
  <si>
    <t>Mathcore</t>
  </si>
  <si>
    <t>Lansing, MI</t>
  </si>
  <si>
    <t>Niveous</t>
  </si>
  <si>
    <t>Endless Snowfall</t>
  </si>
  <si>
    <t>Erocis</t>
  </si>
  <si>
    <t>The Sunken Lands</t>
  </si>
  <si>
    <t>Melodic Death metal, Folk metal</t>
  </si>
  <si>
    <t>Hypermass</t>
  </si>
  <si>
    <t>Apparition Day</t>
  </si>
  <si>
    <t>Trondheim, Norway</t>
  </si>
  <si>
    <t>Idmon's Aegis</t>
  </si>
  <si>
    <t>Under the Auspices of Idmon</t>
  </si>
  <si>
    <t>Myriad Drone</t>
  </si>
  <si>
    <t>A World Without Us</t>
  </si>
  <si>
    <t>Prog-metal, Post-metal</t>
  </si>
  <si>
    <t>Obsidian Fall</t>
  </si>
  <si>
    <t>Elegy From A Dying World</t>
  </si>
  <si>
    <t>Terror Corpse</t>
  </si>
  <si>
    <t>Systems of Apocalypse</t>
  </si>
  <si>
    <t>Irradiant</t>
  </si>
  <si>
    <t>Chapter III - Conditioning</t>
  </si>
  <si>
    <t>Uruguay</t>
  </si>
  <si>
    <t>I Dreamt The Sea</t>
  </si>
  <si>
    <t>Self-Titled</t>
  </si>
  <si>
    <t>Melodic Hardcore, Post-Hardcore</t>
  </si>
  <si>
    <t>Visions of Atlantis</t>
  </si>
  <si>
    <t>Armada live Over Europe</t>
  </si>
  <si>
    <t>Symphonic metal, Power metal</t>
  </si>
  <si>
    <t>Austria</t>
  </si>
  <si>
    <t>Tentacult</t>
  </si>
  <si>
    <t>Untamed Revulsion</t>
  </si>
  <si>
    <t>Rotting in Dirt</t>
  </si>
  <si>
    <t>Anabiosis</t>
  </si>
  <si>
    <t>Greensboro, NC</t>
  </si>
  <si>
    <t>Warhammer</t>
  </si>
  <si>
    <t>Total Maniac</t>
  </si>
  <si>
    <t>Death metal, Doom metal, Thrash metal</t>
  </si>
  <si>
    <t>Rhûn</t>
  </si>
  <si>
    <t>Burial Pact</t>
  </si>
  <si>
    <t>Psychedelic Black metal</t>
  </si>
  <si>
    <t>Portland, ME</t>
  </si>
  <si>
    <t>Fange</t>
  </si>
  <si>
    <t>Purulences</t>
  </si>
  <si>
    <t>Sludge metal, Hardcore, Industrial</t>
  </si>
  <si>
    <t>Brittany, France</t>
  </si>
  <si>
    <t>Manntra</t>
  </si>
  <si>
    <t>Titans</t>
  </si>
  <si>
    <t>Umag, Croatia</t>
  </si>
  <si>
    <t>Nasty</t>
  </si>
  <si>
    <t>Black My Heart</t>
  </si>
  <si>
    <t>Beatdown Hardcore, Metalcore</t>
  </si>
  <si>
    <t>Red Fang</t>
  </si>
  <si>
    <t>Deep Cuts</t>
  </si>
  <si>
    <t>Stoner metal, Stoner rock, Sludge metal</t>
  </si>
  <si>
    <t>Hanging Garden</t>
  </si>
  <si>
    <t>The Unending</t>
  </si>
  <si>
    <t>Ainsoph</t>
  </si>
  <si>
    <t>Affection &amp; Vengeance</t>
  </si>
  <si>
    <t>Prog-metal, Avant-Garde metal, Post-Punk</t>
  </si>
  <si>
    <t>Rwake</t>
  </si>
  <si>
    <t>The Return Of Magik</t>
  </si>
  <si>
    <t>Prog-metal, Sludge metal, Doom metal</t>
  </si>
  <si>
    <t>The Body &amp; Intensive Care</t>
  </si>
  <si>
    <t>Was I Good Enough?</t>
  </si>
  <si>
    <t>Drone metal, Sludge metal, Noise rock</t>
  </si>
  <si>
    <t>US / Canada</t>
  </si>
  <si>
    <t>Guts Club</t>
  </si>
  <si>
    <t>Please Come Back To The Farm</t>
  </si>
  <si>
    <t>Doomgaze, Drone metal</t>
  </si>
  <si>
    <t>New Orleans, LA</t>
  </si>
  <si>
    <t>Mikau</t>
  </si>
  <si>
    <t>Agartha</t>
  </si>
  <si>
    <t>Metalcore, Post-Hardcore</t>
  </si>
  <si>
    <t>Nomadic Rituals</t>
  </si>
  <si>
    <t>Fust</t>
  </si>
  <si>
    <t>Sludge metal, Doom metal</t>
  </si>
  <si>
    <t>Belfast, Northern Ireland</t>
  </si>
  <si>
    <t>Tiktaalika</t>
  </si>
  <si>
    <t>Gods of Pangaea</t>
  </si>
  <si>
    <t>Dessiderium</t>
  </si>
  <si>
    <t>Keys To The Palace</t>
  </si>
  <si>
    <t>Prog-metal, Melodic Death metal</t>
  </si>
  <si>
    <t>Bruised Core</t>
  </si>
  <si>
    <t>Cloaked World</t>
  </si>
  <si>
    <t>Embrium</t>
  </si>
  <si>
    <t>Timekeeper</t>
  </si>
  <si>
    <t>Nite</t>
  </si>
  <si>
    <t>Cult of the Serpent Sun</t>
  </si>
  <si>
    <t>Purified In Blood</t>
  </si>
  <si>
    <t>Primal Pulse Thunder</t>
  </si>
  <si>
    <t>Stavanger, Norway</t>
  </si>
  <si>
    <t>Warbringer</t>
  </si>
  <si>
    <t>Wrath And Ruin</t>
  </si>
  <si>
    <t>Ventura, CA</t>
  </si>
  <si>
    <t>SOM</t>
  </si>
  <si>
    <t>Let The Light In</t>
  </si>
  <si>
    <t>Post-metal, Alt-metal, Shoegaze</t>
  </si>
  <si>
    <t>Ade</t>
  </si>
  <si>
    <t>Supplicium</t>
  </si>
  <si>
    <t>Seeds Of Torment</t>
  </si>
  <si>
    <t>Those Who Feed the Maw</t>
  </si>
  <si>
    <t>Downpour</t>
  </si>
  <si>
    <t>Where There Is Life, There Is Hope</t>
  </si>
  <si>
    <t>Post-Hardcore, Melodic Hardcore</t>
  </si>
  <si>
    <t>Kerberos</t>
  </si>
  <si>
    <t>Apostle to the Malevolent</t>
  </si>
  <si>
    <t>Prog-metal, Symphonic Death metal</t>
  </si>
  <si>
    <t>Winterthur, Switzerland</t>
  </si>
  <si>
    <t>Nightstalker</t>
  </si>
  <si>
    <t>Return From The Point Of No Return</t>
  </si>
  <si>
    <t>Trold</t>
  </si>
  <si>
    <t>I Skovens Rige</t>
  </si>
  <si>
    <t>Museum of Light</t>
  </si>
  <si>
    <t>Diviner</t>
  </si>
  <si>
    <t>Temperance</t>
  </si>
  <si>
    <t>From Hermitage To Europe</t>
  </si>
  <si>
    <t>Milan, Italy</t>
  </si>
  <si>
    <t>Cartilage</t>
  </si>
  <si>
    <t>Tales From The Entrails: A Necrology</t>
  </si>
  <si>
    <t>Death metal, Deathgrind</t>
  </si>
  <si>
    <t>Sanhedrin</t>
  </si>
  <si>
    <t>Heat Lightning</t>
  </si>
  <si>
    <t>Brooklyn, NY</t>
  </si>
  <si>
    <t>Heathen</t>
  </si>
  <si>
    <t>Bleed the World: Live</t>
  </si>
  <si>
    <t>Helvitnir</t>
  </si>
  <si>
    <t>Wolves of the Underworld</t>
  </si>
  <si>
    <t>Ciconia</t>
  </si>
  <si>
    <t>Synaesthetic Garbage</t>
  </si>
  <si>
    <t>Depraver</t>
  </si>
  <si>
    <t>Necrocryptic Obliteration</t>
  </si>
  <si>
    <t>Crushuman</t>
  </si>
  <si>
    <t>Besides</t>
  </si>
  <si>
    <t>Grindcore, Death metal, Hardcore Punk</t>
  </si>
  <si>
    <t>Déhà</t>
  </si>
  <si>
    <t>Nethermost &amp; Absolute Comfort</t>
  </si>
  <si>
    <t>Funeral Doom metal</t>
  </si>
  <si>
    <t>Moonlit Monolith</t>
  </si>
  <si>
    <t>No Space To Grow</t>
  </si>
  <si>
    <t>Pittsburgh, PA</t>
  </si>
  <si>
    <t>Cepheide</t>
  </si>
  <si>
    <t>Exauce</t>
  </si>
  <si>
    <t>Monna</t>
  </si>
  <si>
    <t>Formed In Fractures</t>
  </si>
  <si>
    <t>Aura Fragment</t>
  </si>
  <si>
    <t>Aura Fragment II</t>
  </si>
  <si>
    <t>Eisbrecher</t>
  </si>
  <si>
    <t>Kaltfront</t>
  </si>
  <si>
    <t>Industrial metal, Neue Deutsche Härte</t>
  </si>
  <si>
    <t>Alzhagoth</t>
  </si>
  <si>
    <t>Ad Finem</t>
  </si>
  <si>
    <t>Melodic Death metal, Symphonic Death metal</t>
  </si>
  <si>
    <t>Padua, Italy</t>
  </si>
  <si>
    <t>Wombbath</t>
  </si>
  <si>
    <t>Beyond The Abyss</t>
  </si>
  <si>
    <t>Seth</t>
  </si>
  <si>
    <t>The Schism</t>
  </si>
  <si>
    <t>An Evening With Knives</t>
  </si>
  <si>
    <t>End of Time</t>
  </si>
  <si>
    <t>Post-metal, Sludge metal, Stoner metal</t>
  </si>
  <si>
    <t>Eindhoven, Netherlands</t>
  </si>
  <si>
    <t>Midnight Jazz Club</t>
  </si>
  <si>
    <t>Obelisks</t>
  </si>
  <si>
    <t>Chaosmic</t>
  </si>
  <si>
    <t>Remind Death We Fight</t>
  </si>
  <si>
    <t>Prog-metal, Doom metal, Heavy rock</t>
  </si>
  <si>
    <t>Temperer</t>
  </si>
  <si>
    <t>QAD</t>
  </si>
  <si>
    <t>Pyre</t>
  </si>
  <si>
    <t>This Is How We Lose Fullness</t>
  </si>
  <si>
    <t>Screamo, Emoviolence</t>
  </si>
  <si>
    <t>Heathen Heretic</t>
  </si>
  <si>
    <t>Whispers from the Abyss</t>
  </si>
  <si>
    <t>Zürich, Switzerland</t>
  </si>
  <si>
    <t>At First, At First</t>
  </si>
  <si>
    <t>The Courage of Shutting Up</t>
  </si>
  <si>
    <t>Emoviolence, Screamo</t>
  </si>
  <si>
    <t>Denton, TX</t>
  </si>
  <si>
    <t>Dione</t>
  </si>
  <si>
    <t>Astrolatry</t>
  </si>
  <si>
    <t>Caesar Augustus</t>
  </si>
  <si>
    <t>The Ides of March</t>
  </si>
  <si>
    <t>Screamo, Mathcore</t>
  </si>
  <si>
    <t>Arvada, CO</t>
  </si>
  <si>
    <t>Ursa</t>
  </si>
  <si>
    <t>Call of the Infinite</t>
  </si>
  <si>
    <t>Ronin, IN</t>
  </si>
  <si>
    <t>Animo As Static</t>
  </si>
  <si>
    <t>India</t>
  </si>
  <si>
    <t>Moulk</t>
  </si>
  <si>
    <t>Moulk Reloadah</t>
  </si>
  <si>
    <t>Prog-metal, Melodic Death metal, Folk metal</t>
  </si>
  <si>
    <t>Predator</t>
  </si>
  <si>
    <t>Unsafe Space</t>
  </si>
  <si>
    <t>Hermosa Beach, CA</t>
  </si>
  <si>
    <t>Pyramid Mass</t>
  </si>
  <si>
    <t>Gargling Rot</t>
  </si>
  <si>
    <t>Prog-metal, Death metal, Experimental</t>
  </si>
  <si>
    <t>Chiasma</t>
  </si>
  <si>
    <t>Reaches</t>
  </si>
  <si>
    <t>Sculforge</t>
  </si>
  <si>
    <t>Cosmic Crusade Chronicles</t>
  </si>
  <si>
    <t>Sergeant Thunderhoof</t>
  </si>
  <si>
    <t>Avon Calling</t>
  </si>
  <si>
    <t>Stoner metal, Heavy Psych</t>
  </si>
  <si>
    <t>Bath, UK</t>
  </si>
  <si>
    <t>XX</t>
  </si>
  <si>
    <t>Extreme Prog-metal</t>
  </si>
  <si>
    <t>Akershus, Norway</t>
  </si>
  <si>
    <t>Avenc</t>
  </si>
  <si>
    <t>Pòstums</t>
  </si>
  <si>
    <t>Black metal, Skramz</t>
  </si>
  <si>
    <t>Secret Cutter</t>
  </si>
  <si>
    <t>///</t>
  </si>
  <si>
    <t>Sludge metal, Grindcore</t>
  </si>
  <si>
    <t>Bethlehem, PA</t>
  </si>
  <si>
    <t>Contemplation</t>
  </si>
  <si>
    <t>Au Bord du Précipice</t>
  </si>
  <si>
    <t>Doom metal, Death metal, Dub</t>
  </si>
  <si>
    <t>No Hand Path</t>
  </si>
  <si>
    <t>Μυστικισμός της Ενηλικίωσης</t>
  </si>
  <si>
    <t>Dimhall</t>
  </si>
  <si>
    <t>Himlakroppar</t>
  </si>
  <si>
    <t>Malmö, Sweden</t>
  </si>
  <si>
    <t>Lordi</t>
  </si>
  <si>
    <t>Limited Deadition</t>
  </si>
  <si>
    <t>Glam metal, Hard rock</t>
  </si>
  <si>
    <t>Disarmonia Mundi</t>
  </si>
  <si>
    <t>The Dormant Stranger</t>
  </si>
  <si>
    <t>Turin, Italy</t>
  </si>
  <si>
    <t>Corpus Offal</t>
  </si>
  <si>
    <t>A Day to Remember</t>
  </si>
  <si>
    <t>Big Ole Album Vol. 1</t>
  </si>
  <si>
    <t>Alt-metal, Pop Punk, Metalcore</t>
  </si>
  <si>
    <t>Ocala, FL</t>
  </si>
  <si>
    <t>Tower</t>
  </si>
  <si>
    <t>Let There Be Dark</t>
  </si>
  <si>
    <t>Burning Palace</t>
  </si>
  <si>
    <t>Elegy</t>
  </si>
  <si>
    <t>Santa Rosa, CA</t>
  </si>
  <si>
    <t>Sunvher</t>
  </si>
  <si>
    <t>AROVMIA</t>
  </si>
  <si>
    <t>Post-Black metal, Blackgaze</t>
  </si>
  <si>
    <t>Coquimbo, Chile</t>
  </si>
  <si>
    <t>Iron Form</t>
  </si>
  <si>
    <t>Cut From Cold Blood</t>
  </si>
  <si>
    <t>Kazea</t>
  </si>
  <si>
    <t>I. Ancestral</t>
  </si>
  <si>
    <t>Sometime in February</t>
  </si>
  <si>
    <t>Where Mountains Hide</t>
  </si>
  <si>
    <t>Charlotte, NC</t>
  </si>
  <si>
    <t>Bloodywood</t>
  </si>
  <si>
    <t>Nu Delhi</t>
  </si>
  <si>
    <t>Nu metal, Rap metal, Metalcore</t>
  </si>
  <si>
    <t>New Delhi, India</t>
  </si>
  <si>
    <t>Ghostsmoker</t>
  </si>
  <si>
    <t>Inertia Cult</t>
  </si>
  <si>
    <t>Black metal, Doom metal, Sludge metal</t>
  </si>
  <si>
    <t>Dissocia</t>
  </si>
  <si>
    <t>To Lift The Veil</t>
  </si>
  <si>
    <t>Spain / US</t>
  </si>
  <si>
    <t>As the World Dies</t>
  </si>
  <si>
    <t>Nebula</t>
  </si>
  <si>
    <t>Imperial Triumphant</t>
  </si>
  <si>
    <t>Goldstar</t>
  </si>
  <si>
    <t>Avant-Garde Black metal, Technical Death metal</t>
  </si>
  <si>
    <t>Stormo</t>
  </si>
  <si>
    <t>Tagli / Talee</t>
  </si>
  <si>
    <t>SpiritWorld</t>
  </si>
  <si>
    <t>Helldorado</t>
  </si>
  <si>
    <t>Metalcore, Crossover Thrash, Western</t>
  </si>
  <si>
    <t>Calyces</t>
  </si>
  <si>
    <t>Fleshy Waves of Probability</t>
  </si>
  <si>
    <t>Prog-metal, Sludge metal</t>
  </si>
  <si>
    <t>Diatheke</t>
  </si>
  <si>
    <t>...And The Word Was God</t>
  </si>
  <si>
    <t>Tiberius</t>
  </si>
  <si>
    <t>Singing for Company</t>
  </si>
  <si>
    <t>Aversed</t>
  </si>
  <si>
    <t>Erasure of Color</t>
  </si>
  <si>
    <t>Cradle of Filth</t>
  </si>
  <si>
    <t>The Screaming of the Valkyries</t>
  </si>
  <si>
    <t>Symphonic Black Metal</t>
  </si>
  <si>
    <t>Euphrosyne</t>
  </si>
  <si>
    <t>Morus</t>
  </si>
  <si>
    <t>Post-Black metal, Doom metal</t>
  </si>
  <si>
    <t>Noisepicker</t>
  </si>
  <si>
    <t>The Earth Will Swallow The Sun</t>
  </si>
  <si>
    <t>Damon Systema</t>
  </si>
  <si>
    <t>Ate</t>
  </si>
  <si>
    <t>Dark Driven</t>
  </si>
  <si>
    <t>From The Unbeliever</t>
  </si>
  <si>
    <t>Gothic metal, Doom metal</t>
  </si>
  <si>
    <t>Bodybox</t>
  </si>
  <si>
    <t>Pop Evil</t>
  </si>
  <si>
    <t>What Remains</t>
  </si>
  <si>
    <t>North Muskegon, MI</t>
  </si>
  <si>
    <t>Gates to Hell</t>
  </si>
  <si>
    <t>Death Comes To All</t>
  </si>
  <si>
    <t>Deathcore, Metalcore</t>
  </si>
  <si>
    <t>Katla</t>
  </si>
  <si>
    <t>Scandinavian Pain</t>
  </si>
  <si>
    <t>BÅKÜ</t>
  </si>
  <si>
    <t>SOMA</t>
  </si>
  <si>
    <t>U Kronakh</t>
  </si>
  <si>
    <t>Archaic Dance of the Winds</t>
  </si>
  <si>
    <t>Atmospheric Black metal, Death metal</t>
  </si>
  <si>
    <t>Oobris Ios</t>
  </si>
  <si>
    <t>Vospat</t>
  </si>
  <si>
    <t>Dissonant Death metal, Black metal</t>
  </si>
  <si>
    <t>That Who Sat Upon Him, Was Death</t>
  </si>
  <si>
    <t>Jackson, MI</t>
  </si>
  <si>
    <t>Defender</t>
  </si>
  <si>
    <t>Dying to Live</t>
  </si>
  <si>
    <t>Thrash metal, Speed metal</t>
  </si>
  <si>
    <t>Balingen, Germany</t>
  </si>
  <si>
    <t>Amammoth</t>
  </si>
  <si>
    <t>Distant Skies and the Ocean Flies</t>
  </si>
  <si>
    <t>Wythersake</t>
  </si>
  <si>
    <t>At War With Their Divinity</t>
  </si>
  <si>
    <t>Ashes In The Fall</t>
  </si>
  <si>
    <t>Where Serenity Prevails</t>
  </si>
  <si>
    <t>Prog-metal, Death metal, Post-metal</t>
  </si>
  <si>
    <t>Rothadás</t>
  </si>
  <si>
    <t>Töviskert... a kísértés örök érzete... lidércharang</t>
  </si>
  <si>
    <t>Szeged, Hungary</t>
  </si>
  <si>
    <t>Marble Orchard</t>
  </si>
  <si>
    <t>Ruminations of Ruin</t>
  </si>
  <si>
    <t>San Antonio, TX</t>
  </si>
  <si>
    <t>Hidden Intent</t>
  </si>
  <si>
    <t>Terrorform</t>
  </si>
  <si>
    <t>Neroth</t>
  </si>
  <si>
    <t>Transcendence</t>
  </si>
  <si>
    <t>Soul Demise</t>
  </si>
  <si>
    <t>Against The Abyss</t>
  </si>
  <si>
    <t>Psyclon Nine</t>
  </si>
  <si>
    <t>And Then Oblivion</t>
  </si>
  <si>
    <t>Industrial metal, Dark Electro</t>
  </si>
  <si>
    <t>Embrional</t>
  </si>
  <si>
    <t>Inherited Tendencies for Self-Destruction</t>
  </si>
  <si>
    <t>Starved of Light</t>
  </si>
  <si>
    <t>Into Early Mourning</t>
  </si>
  <si>
    <t>Eternal White Trees</t>
  </si>
  <si>
    <t>Prelude Of Loss</t>
  </si>
  <si>
    <t>Calathea</t>
  </si>
  <si>
    <t>Flowers &amp; Knives</t>
  </si>
  <si>
    <t>Bizkaia, Spain</t>
  </si>
  <si>
    <t>High Grind</t>
  </si>
  <si>
    <t>War On Drugs</t>
  </si>
  <si>
    <t>Serial Hawk</t>
  </si>
  <si>
    <t>Psychic Pain</t>
  </si>
  <si>
    <t>Azshara</t>
  </si>
  <si>
    <t>Ashen Skies</t>
  </si>
  <si>
    <t>Syracuse, NY</t>
  </si>
  <si>
    <t>Last</t>
  </si>
  <si>
    <t>Flanders, Belgium</t>
  </si>
  <si>
    <t>Euphoria's Embrace</t>
  </si>
  <si>
    <t>Radiance</t>
  </si>
  <si>
    <t>Blossom &amp; Wither</t>
  </si>
  <si>
    <t>Nevermore</t>
  </si>
  <si>
    <t>Leeuwarden, Netherlands</t>
  </si>
  <si>
    <t>Pestifere</t>
  </si>
  <si>
    <t>There Was Never Light</t>
  </si>
  <si>
    <t>Melodic Black metal, Death metal</t>
  </si>
  <si>
    <t>Minneapolis, MN</t>
  </si>
  <si>
    <t>Rancid Cadaver</t>
  </si>
  <si>
    <t>Mortality Denied</t>
  </si>
  <si>
    <t>Crossed</t>
  </si>
  <si>
    <t>Realismo Ausente</t>
  </si>
  <si>
    <t>Metalcore, Noise Rock</t>
  </si>
  <si>
    <t>Psalm</t>
  </si>
  <si>
    <t>Doom metal, Post-metal, Sludge metal</t>
  </si>
  <si>
    <t>Cabal</t>
  </si>
  <si>
    <t>Everything Rots</t>
  </si>
  <si>
    <t>Deathcore, Metalcore, Djent</t>
  </si>
  <si>
    <t>Cabinet</t>
  </si>
  <si>
    <t>Mammoth Lakes, CA</t>
  </si>
  <si>
    <t>Citadel</t>
  </si>
  <si>
    <t>Descension</t>
  </si>
  <si>
    <t>Secaucus, NJ</t>
  </si>
  <si>
    <t>Void Spectrum</t>
  </si>
  <si>
    <t>Drown In Utopia</t>
  </si>
  <si>
    <t>Rotten Moon</t>
  </si>
  <si>
    <t>Marred Earth</t>
  </si>
  <si>
    <t>Beyond The Animus</t>
  </si>
  <si>
    <t>Somber</t>
  </si>
  <si>
    <t>Trinidad and Tobago</t>
  </si>
  <si>
    <t>Mechina</t>
  </si>
  <si>
    <t>Bellum Interruptum</t>
  </si>
  <si>
    <t>Symphonic metal, Cyber metal</t>
  </si>
  <si>
    <t>Grapefruit Astronauts</t>
  </si>
  <si>
    <t>Czechia</t>
  </si>
  <si>
    <t>Apparitions</t>
  </si>
  <si>
    <t>Volcanic Reality</t>
  </si>
  <si>
    <t>Experimental Drone metal</t>
  </si>
  <si>
    <t>Rattenburcht</t>
  </si>
  <si>
    <t>Vampyric Vessel</t>
  </si>
  <si>
    <t>Black metal, Punk</t>
  </si>
  <si>
    <t>Chris Beernink</t>
  </si>
  <si>
    <t>The Chimera Suite</t>
  </si>
  <si>
    <t>Prog-metal, Extreme metal, Big Band Jazz</t>
  </si>
  <si>
    <t>New Zealand</t>
  </si>
  <si>
    <t>The Glorious Winds Of Astral Sorrow</t>
  </si>
  <si>
    <t>Steal The Dream Of The Starclouds</t>
  </si>
  <si>
    <t>Cult of Fire</t>
  </si>
  <si>
    <t>The One, Who is Made of Smoke</t>
  </si>
  <si>
    <t>Atmospheric Black metal, Melodic Black metal</t>
  </si>
  <si>
    <t>Nothing</t>
  </si>
  <si>
    <t>The Self Repair Manifesto</t>
  </si>
  <si>
    <t>Prog-metal, Death metal, Thrash metal</t>
  </si>
  <si>
    <t>Spiine</t>
  </si>
  <si>
    <t>Tetraptych</t>
  </si>
  <si>
    <t>Australia</t>
  </si>
  <si>
    <t>Vintras</t>
  </si>
  <si>
    <t>Timescarred</t>
  </si>
  <si>
    <t>Within Fractals</t>
  </si>
  <si>
    <t>Samsara</t>
  </si>
  <si>
    <t>Pontarlier, France</t>
  </si>
  <si>
    <t>Unsolicited</t>
  </si>
  <si>
    <t>Life Energies</t>
  </si>
  <si>
    <t>Eternal Gaze</t>
  </si>
  <si>
    <t>Swing Thy Sickle And Reap</t>
  </si>
  <si>
    <t>Acid Age</t>
  </si>
  <si>
    <t>Perilous Compulsion</t>
  </si>
  <si>
    <t>Prog-metal, Thrash metal</t>
  </si>
  <si>
    <t>Sick Puppies</t>
  </si>
  <si>
    <t>Wave the Bull</t>
  </si>
  <si>
    <t>Alt-metal, Post-Grunge</t>
  </si>
  <si>
    <t>Varia</t>
  </si>
  <si>
    <t>The Changing of Tides</t>
  </si>
  <si>
    <t>Raccoon City</t>
  </si>
  <si>
    <t>Fugue</t>
  </si>
  <si>
    <t>Satsuma</t>
  </si>
  <si>
    <t>This Is My Outside Voice</t>
  </si>
  <si>
    <t>Kalamazoo, MI</t>
  </si>
  <si>
    <t>Symbiotic Growth</t>
  </si>
  <si>
    <t>Beyond The Sleepless Aether</t>
  </si>
  <si>
    <t>Sudbury, Canada</t>
  </si>
  <si>
    <t>Vish Kumar</t>
  </si>
  <si>
    <t>Chrysalis</t>
  </si>
  <si>
    <t>Bengaluru, India</t>
  </si>
  <si>
    <t>Vale</t>
  </si>
  <si>
    <t>No Tomorrow Worth Knowing</t>
  </si>
  <si>
    <t>Atmospheric Black metal, Post-rock</t>
  </si>
  <si>
    <t>Ingurgitating Oblivion</t>
  </si>
  <si>
    <t>Cadence and Perspective in Desolation</t>
  </si>
  <si>
    <t>Avant-Garde metal, Technical Death metal</t>
  </si>
  <si>
    <t>Nospūn</t>
  </si>
  <si>
    <t>Ozai</t>
  </si>
  <si>
    <t>Labyrinthine Heirs</t>
  </si>
  <si>
    <t>The Overmold</t>
  </si>
  <si>
    <t>Doom metal, Drone metal, Experimental</t>
  </si>
  <si>
    <t>Sarmat</t>
  </si>
  <si>
    <t>Upgrade</t>
  </si>
  <si>
    <t>Prog-metal, Death metal, Jazz Fusion</t>
  </si>
  <si>
    <t>Underoath</t>
  </si>
  <si>
    <t>The Place After This One</t>
  </si>
  <si>
    <t>Sicksense</t>
  </si>
  <si>
    <t>Cross Me Twice</t>
  </si>
  <si>
    <t>Judicator</t>
  </si>
  <si>
    <t>Concord</t>
  </si>
  <si>
    <t>Autumn's Dawn</t>
  </si>
  <si>
    <t>We Lost Our Hope Along The Way</t>
  </si>
  <si>
    <t>Wollongong, Australia</t>
  </si>
  <si>
    <t>Savage Master</t>
  </si>
  <si>
    <t>Dark &amp; Dangerous</t>
  </si>
  <si>
    <t>Panthalassan</t>
  </si>
  <si>
    <t>From the Shallows of the Mantle</t>
  </si>
  <si>
    <t>Daevar</t>
  </si>
  <si>
    <t>Sub Rosa</t>
  </si>
  <si>
    <t>Cologne, Germany</t>
  </si>
  <si>
    <t>Deafheaven</t>
  </si>
  <si>
    <t>Lonely People with Power</t>
  </si>
  <si>
    <t>Silent Planet &amp; Invent Animate</t>
  </si>
  <si>
    <t>Bloom in Heaven</t>
  </si>
  <si>
    <t>Amenra</t>
  </si>
  <si>
    <t>With Fang and Claw</t>
  </si>
  <si>
    <t>Kortrijk, Belgium</t>
  </si>
  <si>
    <t>De Toorn</t>
  </si>
  <si>
    <t>Grey Aura</t>
  </si>
  <si>
    <t>Zwart vierkant: Slotstuk</t>
  </si>
  <si>
    <t>Utrecht, Netherlands</t>
  </si>
  <si>
    <t>Paths to Deliverance</t>
  </si>
  <si>
    <t>Ten</t>
  </si>
  <si>
    <t>Lille, France</t>
  </si>
  <si>
    <t>Alien Weaponry</t>
  </si>
  <si>
    <t>Te Rā</t>
  </si>
  <si>
    <t>Groove metal, Alt-metal, Thrash metal</t>
  </si>
  <si>
    <t>Telepathy</t>
  </si>
  <si>
    <t>Transmissions</t>
  </si>
  <si>
    <t>Essex, UK</t>
  </si>
  <si>
    <t>Pleiades</t>
  </si>
  <si>
    <t>If Your Roots Run Deep, You Can't Fear The Wind</t>
  </si>
  <si>
    <t>Post-Metal, Post-Rock, Post-Hardcore</t>
  </si>
  <si>
    <t>Manchester, UK</t>
  </si>
  <si>
    <t>Memphis May Fire</t>
  </si>
  <si>
    <t>Shapeshifter</t>
  </si>
  <si>
    <t>Texas, US</t>
  </si>
  <si>
    <t>Arch Enemy</t>
  </si>
  <si>
    <t>Blood Dynasty</t>
  </si>
  <si>
    <t>Halmstad, Sweden</t>
  </si>
  <si>
    <t>Mercy Ties</t>
  </si>
  <si>
    <t>Reflections and Criticisms</t>
  </si>
  <si>
    <t>Seven Sisters</t>
  </si>
  <si>
    <t>Shadow Of A Fallen Star Pt​.​2</t>
  </si>
  <si>
    <t>Vemød</t>
  </si>
  <si>
    <t>Burden</t>
  </si>
  <si>
    <t>Hexecutor</t>
  </si>
  <si>
    <t>…Where Spirit Withers in its Flesh Constraint</t>
  </si>
  <si>
    <t>Thrash metal, Black metal, Speed metal</t>
  </si>
  <si>
    <t>Rennes, France</t>
  </si>
  <si>
    <t>Lady Beast</t>
  </si>
  <si>
    <t>The Inner Alchemist</t>
  </si>
  <si>
    <t>Gallower</t>
  </si>
  <si>
    <t>Vengeance &amp; Wrath</t>
  </si>
  <si>
    <t>Tychy, Poland</t>
  </si>
  <si>
    <t>Crawling Chaos</t>
  </si>
  <si>
    <t>Wyrd</t>
  </si>
  <si>
    <t>Luicfer's Child</t>
  </si>
  <si>
    <t>The Illuminant</t>
  </si>
  <si>
    <t>Lauren Babic</t>
  </si>
  <si>
    <t>Too Much &amp; Never Enough</t>
  </si>
  <si>
    <t>Forlorn</t>
  </si>
  <si>
    <t>Chamber Mage</t>
  </si>
  <si>
    <t>By Light of Emerald Gods</t>
  </si>
  <si>
    <t>Serpent Rider</t>
  </si>
  <si>
    <t>The Ichor of Chimaera</t>
  </si>
  <si>
    <t>Doomsday</t>
  </si>
  <si>
    <t>Never Known Peace</t>
  </si>
  <si>
    <t>Crossover Thrash</t>
  </si>
  <si>
    <t>Sammale</t>
  </si>
  <si>
    <t>Ikiharmaja</t>
  </si>
  <si>
    <t>Decrepisy</t>
  </si>
  <si>
    <t>Deific Mourning</t>
  </si>
  <si>
    <t>The Warriors</t>
  </si>
  <si>
    <t>Burn Yourself Alive.</t>
  </si>
  <si>
    <t>Oxnard, CA</t>
  </si>
  <si>
    <t>Orbital Gate</t>
  </si>
  <si>
    <t>Demonstration of Post Apocalyptic Warfare</t>
  </si>
  <si>
    <t>Cary, IL</t>
  </si>
  <si>
    <t>Svartsyn</t>
  </si>
  <si>
    <t>Vortex of the Destroyer</t>
  </si>
  <si>
    <t>Teitanblood</t>
  </si>
  <si>
    <t>From the Visceral Abyss</t>
  </si>
  <si>
    <t>Industrial Puke</t>
  </si>
  <si>
    <t>Alive To No Avail</t>
  </si>
  <si>
    <t>Death metal, Hardcore, Crust</t>
  </si>
  <si>
    <t>Fleshspoil</t>
  </si>
  <si>
    <t>The Beginning Of The End</t>
  </si>
  <si>
    <t>Troy, NY</t>
  </si>
  <si>
    <t>Pillars Of Cacophony</t>
  </si>
  <si>
    <t>Paralipomena</t>
  </si>
  <si>
    <t>Technical Death metal, Dissonant Death metal</t>
  </si>
  <si>
    <t>Graz, Austria</t>
  </si>
  <si>
    <t>Elle Tea</t>
  </si>
  <si>
    <t>Into The Fall</t>
  </si>
  <si>
    <t>Florence, Italy</t>
  </si>
  <si>
    <t>Chiaroscuro</t>
  </si>
  <si>
    <t>Technical Death metal, Black metal</t>
  </si>
  <si>
    <t>Baltimore, MD</t>
  </si>
  <si>
    <t>Cerberus</t>
  </si>
  <si>
    <t>Summon</t>
  </si>
  <si>
    <t>Doom metal, Hard rock, Psychedelic rock</t>
  </si>
  <si>
    <t>Lismore, Australia</t>
  </si>
  <si>
    <t>Fonte</t>
  </si>
  <si>
    <t>The Great Red Spot</t>
  </si>
  <si>
    <t>Witchcult</t>
  </si>
  <si>
    <t>Support Local Business</t>
  </si>
  <si>
    <t>Christchurch, New Zealand</t>
  </si>
  <si>
    <t>Nortt</t>
  </si>
  <si>
    <t>Dødssang</t>
  </si>
  <si>
    <t>Funeral Doom metal, Black metal</t>
  </si>
  <si>
    <t>Odense, Denmark</t>
  </si>
  <si>
    <t>Terra Triumphans Jubila</t>
  </si>
  <si>
    <t>ATAN</t>
  </si>
  <si>
    <t>Metamorphic</t>
  </si>
  <si>
    <t>Naha</t>
  </si>
  <si>
    <t>Voiding Into the Scream</t>
  </si>
  <si>
    <t>Raw Black metal, Post-Hardcore, Skramz</t>
  </si>
  <si>
    <t>Grumo</t>
  </si>
  <si>
    <t>Sons Of Disgust</t>
  </si>
  <si>
    <t>Fugit</t>
  </si>
  <si>
    <t xml:space="preserve">Cieli di porpora </t>
  </si>
  <si>
    <t>Atmospheric Black Metal, Post-Metal</t>
  </si>
  <si>
    <t>NevBorn</t>
  </si>
  <si>
    <t>Alkaios · Part II · The Peacock</t>
  </si>
  <si>
    <t>Switzerland</t>
  </si>
  <si>
    <t>Bidirna Dhamani</t>
  </si>
  <si>
    <t>Ojash</t>
  </si>
  <si>
    <t>Kolkata, India</t>
  </si>
  <si>
    <t>Pravitas</t>
  </si>
  <si>
    <t>The Parasitic Divine</t>
  </si>
  <si>
    <t>Red Dead</t>
  </si>
  <si>
    <t>Paths Across the Graves</t>
  </si>
  <si>
    <t>Bayonne, France</t>
  </si>
  <si>
    <t>Eonian</t>
  </si>
  <si>
    <t>Born From Ice</t>
  </si>
  <si>
    <t>Fiery Serpent</t>
  </si>
  <si>
    <t>Flammae quae Ligant</t>
  </si>
  <si>
    <t>Indonesia</t>
  </si>
  <si>
    <t>Unbounded Terror</t>
  </si>
  <si>
    <t>Something is Rotten in Humanity</t>
  </si>
  <si>
    <t>L.o.W</t>
  </si>
  <si>
    <t>Burning the Cradle</t>
  </si>
  <si>
    <t>Doom metal, Sludge metal</t>
  </si>
  <si>
    <t>Szczecin, Poland</t>
  </si>
  <si>
    <t>Hunters Dream</t>
  </si>
  <si>
    <t>Verdant</t>
  </si>
  <si>
    <t>Prog-metal, Death metal, Metalcore</t>
  </si>
  <si>
    <t>Bellingham, WA</t>
  </si>
  <si>
    <t>Tyrannosatan</t>
  </si>
  <si>
    <t>Babylons Skräck</t>
  </si>
  <si>
    <t>Black metal, Thrash metal</t>
  </si>
  <si>
    <t>Zeolite</t>
  </si>
  <si>
    <t>L'Appel Du Vide</t>
  </si>
  <si>
    <t>Technical Deathcore</t>
  </si>
  <si>
    <t>Tegara</t>
  </si>
  <si>
    <t>Threnodist</t>
  </si>
  <si>
    <t>Living Tales</t>
  </si>
  <si>
    <t>Hades</t>
  </si>
  <si>
    <t>Porto, Portugal</t>
  </si>
  <si>
    <t>Grey Stag</t>
  </si>
  <si>
    <t>Mountain Breaker</t>
  </si>
  <si>
    <t>Turpitude</t>
  </si>
  <si>
    <t>Subalterne</t>
  </si>
  <si>
    <t>Quebec City, Canada</t>
  </si>
  <si>
    <t>Soulvapor</t>
  </si>
  <si>
    <t>Soulvapor II</t>
  </si>
  <si>
    <t>Prog-metal, Metalcore, Djent</t>
  </si>
  <si>
    <t>Ash Twin Project</t>
  </si>
  <si>
    <t>Tales Of A Dying Sun</t>
  </si>
  <si>
    <t>Agen, France</t>
  </si>
  <si>
    <t>Apple of Basilisk</t>
  </si>
  <si>
    <t>His Crowned Skull Raised to the Sun</t>
  </si>
  <si>
    <t>Sludge metal, Death metal, Doom metal</t>
  </si>
  <si>
    <t>LEAVE.</t>
  </si>
  <si>
    <t>The Cost of Compromise</t>
  </si>
  <si>
    <t>Leipzig, Germany</t>
  </si>
  <si>
    <t>Fluisteraars</t>
  </si>
  <si>
    <t>De Kronieken van het Verdwenen Kasteel III: Grunsfoort</t>
  </si>
  <si>
    <t>Bennekom, Netherlands</t>
  </si>
  <si>
    <t>Seven</t>
  </si>
  <si>
    <t>Interdimensional Act III: Shadows In The Sky</t>
  </si>
  <si>
    <t>Habak</t>
  </si>
  <si>
    <t>Mil orquídeas en medio del desierto</t>
  </si>
  <si>
    <t>Skramz, Post-rock, Neocrust</t>
  </si>
  <si>
    <t>Tijuana, Mexico</t>
  </si>
  <si>
    <t>Illyria</t>
  </si>
  <si>
    <t>The Walk of Atonement</t>
  </si>
  <si>
    <t>Progressive Metal, Black Metal</t>
  </si>
  <si>
    <t>Allegaeon</t>
  </si>
  <si>
    <t>The Ossuary Lens</t>
  </si>
  <si>
    <t>Prog-metal, Technical Death metal, Melodic Death metal</t>
  </si>
  <si>
    <t>Tómarúm</t>
  </si>
  <si>
    <t>Beyond Obsidian Euphoria</t>
  </si>
  <si>
    <t>Prog-metal, Death metal, Black metal</t>
  </si>
  <si>
    <t>Mizmor &amp; Hell</t>
  </si>
  <si>
    <t>Alluvion</t>
  </si>
  <si>
    <t>Thornhill</t>
  </si>
  <si>
    <t>Bodies</t>
  </si>
  <si>
    <t>Alt-metal, Metalcore, Shoegaze</t>
  </si>
  <si>
    <t>Hteththemeth</t>
  </si>
  <si>
    <t>Telluric Inharmonies</t>
  </si>
  <si>
    <t>Prog-metal, Avant-Garde metal</t>
  </si>
  <si>
    <t>Brașov, Romania</t>
  </si>
  <si>
    <t>Pigs Pigs Pigs Pigs Pigs Pigs Pigs</t>
  </si>
  <si>
    <t>Death Hilarious</t>
  </si>
  <si>
    <t>Buried Realm</t>
  </si>
  <si>
    <t>The Dormant Darkness</t>
  </si>
  <si>
    <t>Bleed From Within</t>
  </si>
  <si>
    <t>Zenith</t>
  </si>
  <si>
    <t>Deathcore, Melodic Metalcore</t>
  </si>
  <si>
    <t>Fractal Universe</t>
  </si>
  <si>
    <t>The Great Filters</t>
  </si>
  <si>
    <t>Warfield</t>
  </si>
  <si>
    <t>With The Old Breed</t>
  </si>
  <si>
    <t>Kaiserslautern, Germany</t>
  </si>
  <si>
    <t>Wrath of Logarius</t>
  </si>
  <si>
    <t>Crown of Mortis</t>
  </si>
  <si>
    <t>Luna Kills</t>
  </si>
  <si>
    <t>Deathmatch</t>
  </si>
  <si>
    <t>Alternative Metal, Nu-Metal</t>
  </si>
  <si>
    <t>Tundra</t>
  </si>
  <si>
    <t>Eternal</t>
  </si>
  <si>
    <t>Kansas City, KS</t>
  </si>
  <si>
    <t>Rotting Christ</t>
  </si>
  <si>
    <t>35 Years of Evil Existence - Live in Lycabettus</t>
  </si>
  <si>
    <t>Aldaaron</t>
  </si>
  <si>
    <t>Par-delà les cimes</t>
  </si>
  <si>
    <t>BLIGHT</t>
  </si>
  <si>
    <t>Like Me, You Will Be Empty</t>
  </si>
  <si>
    <t>Benediction</t>
  </si>
  <si>
    <t>Ravage of Empires</t>
  </si>
  <si>
    <t>Verheerer</t>
  </si>
  <si>
    <t>Urgewalt</t>
  </si>
  <si>
    <t>Flensburg, Germany</t>
  </si>
  <si>
    <t>Belnejoum</t>
  </si>
  <si>
    <t>Dark Tales of Zarathustra</t>
  </si>
  <si>
    <t>Dart</t>
  </si>
  <si>
    <t>Speed Days</t>
  </si>
  <si>
    <t>Speed metal, Hardcore Punk</t>
  </si>
  <si>
    <t>Chronepsis</t>
  </si>
  <si>
    <t>Weight of Eternity</t>
  </si>
  <si>
    <t>Clementon, NJ</t>
  </si>
  <si>
    <t>Funeral Dancer</t>
  </si>
  <si>
    <t>Fiends Of The Outer Wave</t>
  </si>
  <si>
    <t>Black 'n' Roll, Heavy metal</t>
  </si>
  <si>
    <t>Kiritsis</t>
  </si>
  <si>
    <t>Bloody Valkyria</t>
  </si>
  <si>
    <t>In Our Home, Across The Fog</t>
  </si>
  <si>
    <t>Melodic Black metal, Symphonic metal</t>
  </si>
  <si>
    <t>Eldamar</t>
  </si>
  <si>
    <t>Astral Journeys Pt. II: Dissolution</t>
  </si>
  <si>
    <t>Ursula</t>
  </si>
  <si>
    <t>I Don't Like Anything</t>
  </si>
  <si>
    <t>Apple Valley, CA</t>
  </si>
  <si>
    <t>Mountain Of Misery</t>
  </si>
  <si>
    <t>Shades Of The Ashes</t>
  </si>
  <si>
    <t>Zeegang</t>
  </si>
  <si>
    <t>Van niets uit deze wereld</t>
  </si>
  <si>
    <t>Skull Servant</t>
  </si>
  <si>
    <t>Live Magicks</t>
  </si>
  <si>
    <t>Stoner metal, Doom metal, Heavy Psych</t>
  </si>
  <si>
    <t>Chapel Hill, NC</t>
  </si>
  <si>
    <t>Atlantic</t>
  </si>
  <si>
    <t>Timeworn</t>
  </si>
  <si>
    <t>Galway, Ireland</t>
  </si>
  <si>
    <t>Pighead</t>
  </si>
  <si>
    <t>Relapse Into Absurdity</t>
  </si>
  <si>
    <t>Slam Death metal, Brutal Death metal</t>
  </si>
  <si>
    <t>Mathcore, Free Improvisation</t>
  </si>
  <si>
    <t>Pestifer</t>
  </si>
  <si>
    <t>Ravaging Fury</t>
  </si>
  <si>
    <t>Wurmian</t>
  </si>
  <si>
    <t>Immemorial Shrine</t>
  </si>
  <si>
    <t>Clermont Ferrand, France</t>
  </si>
  <si>
    <t>Valtari</t>
  </si>
  <si>
    <t>Emperor</t>
  </si>
  <si>
    <t>Gràtfall</t>
  </si>
  <si>
    <t>Thanatopsis</t>
  </si>
  <si>
    <t>Intrascendence</t>
  </si>
  <si>
    <t>Chile</t>
  </si>
  <si>
    <t>Ryoji Shinomoto</t>
  </si>
  <si>
    <t>Children Of Bushido</t>
  </si>
  <si>
    <t>Samurai metal, Symphonic metal, Heavy metal</t>
  </si>
  <si>
    <t>Hokkaido, Japan</t>
  </si>
  <si>
    <t>Caronte</t>
  </si>
  <si>
    <t>Spiritvs</t>
  </si>
  <si>
    <t>Epic Doom metal</t>
  </si>
  <si>
    <t>Parma, Italy</t>
  </si>
  <si>
    <t>Clay Birds</t>
  </si>
  <si>
    <t>A Seperation From Vanity</t>
  </si>
  <si>
    <t>Skramz</t>
  </si>
  <si>
    <t>Mission Viejo, CA</t>
  </si>
  <si>
    <t>Ashbringer</t>
  </si>
  <si>
    <t>Vacant (2025 Remaster)</t>
  </si>
  <si>
    <t>Minnesota, MN</t>
  </si>
  <si>
    <t>Burden of Despair</t>
  </si>
  <si>
    <t>原罪神授 -Confutatis-</t>
  </si>
  <si>
    <t>Osaka, Japan</t>
  </si>
  <si>
    <t>Myrddin</t>
  </si>
  <si>
    <t>Mabinogion</t>
  </si>
  <si>
    <t>Prog-metal, Black metal, Heavy metal, Folk</t>
  </si>
  <si>
    <t>Life</t>
  </si>
  <si>
    <t>...and still it flutters</t>
  </si>
  <si>
    <t>Blackgaze, Skramz</t>
  </si>
  <si>
    <t>Ordos</t>
  </si>
  <si>
    <t>Fire</t>
  </si>
  <si>
    <t>Uppsala, Sweden</t>
  </si>
  <si>
    <t>Cytotoxin</t>
  </si>
  <si>
    <t>Biographyte</t>
  </si>
  <si>
    <t>Technical Death metal, Brutal Death metal</t>
  </si>
  <si>
    <t>Soliloquium</t>
  </si>
  <si>
    <t>Famine</t>
  </si>
  <si>
    <t>Prog-metal, Melodic Doom metal, Death metal</t>
  </si>
  <si>
    <t>Limbo</t>
  </si>
  <si>
    <t>Elicit</t>
  </si>
  <si>
    <t>Fryktelig Støy</t>
  </si>
  <si>
    <t>Incandescent</t>
  </si>
  <si>
    <t>Neptunian Maximalism</t>
  </si>
  <si>
    <t>Le Sacre Du Soleil Invaincu</t>
  </si>
  <si>
    <t>Avant-Garde metal, Doom metal, Classical, Heavy Psych</t>
  </si>
  <si>
    <t>Slough Feg</t>
  </si>
  <si>
    <t>Traveller Supplement 1: The Ephemeral Glades</t>
  </si>
  <si>
    <t>The Birthday Massacre</t>
  </si>
  <si>
    <t>Pathways</t>
  </si>
  <si>
    <t>Alt-metal, Industrial metal, Synthpop</t>
  </si>
  <si>
    <t>High Council</t>
  </si>
  <si>
    <t>Cruel and Unusual</t>
  </si>
  <si>
    <t>Prog-metal, Epic Doom metal, Heavy metal</t>
  </si>
  <si>
    <t>Blood Abscission</t>
  </si>
  <si>
    <t>II</t>
  </si>
  <si>
    <t>Epica</t>
  </si>
  <si>
    <t>Aspiral</t>
  </si>
  <si>
    <t>Benthos</t>
  </si>
  <si>
    <t>From Nothing</t>
  </si>
  <si>
    <t>Idle Heirs</t>
  </si>
  <si>
    <t>Life is Violence</t>
  </si>
  <si>
    <t>Messa</t>
  </si>
  <si>
    <t>The Spin</t>
  </si>
  <si>
    <t>In the Woods...</t>
  </si>
  <si>
    <t>Otra</t>
  </si>
  <si>
    <t>Kristiansand, Norway</t>
  </si>
  <si>
    <t>Flummox</t>
  </si>
  <si>
    <t>Southern Progress</t>
  </si>
  <si>
    <t>Avant-Garde Metal, Progressive Metal</t>
  </si>
  <si>
    <t>Tennessee, US</t>
  </si>
  <si>
    <t>Annisokay</t>
  </si>
  <si>
    <t>Abyss Pt. 2</t>
  </si>
  <si>
    <t>Saale, Germany</t>
  </si>
  <si>
    <t>Within Destruction</t>
  </si>
  <si>
    <t>Animetal</t>
  </si>
  <si>
    <t>Metalcore, Deathcore, Melodic Death Metal</t>
  </si>
  <si>
    <t>Sonum</t>
  </si>
  <si>
    <t>The Obscure Light Awaits</t>
  </si>
  <si>
    <t>Prog-metal, Dissonant Death metal</t>
  </si>
  <si>
    <t>Vicenza, Italy</t>
  </si>
  <si>
    <t>Imperishable</t>
  </si>
  <si>
    <t>Swallowing The World</t>
  </si>
  <si>
    <t>Elvenking</t>
  </si>
  <si>
    <t>Reader of the Runes - Luna</t>
  </si>
  <si>
    <t>Power metal, Folk metal</t>
  </si>
  <si>
    <t>Miss Vain</t>
  </si>
  <si>
    <t>Sempiternal Drive</t>
  </si>
  <si>
    <t>Håndgemeng</t>
  </si>
  <si>
    <t>Satanic Panic Attack</t>
  </si>
  <si>
    <t>Drøbak, Norway</t>
  </si>
  <si>
    <t>Final Dose</t>
  </si>
  <si>
    <t>Under the Eternal Shadow</t>
  </si>
  <si>
    <t>Black metal, Hardcore Punk</t>
  </si>
  <si>
    <t>Stander</t>
  </si>
  <si>
    <t>Collapsing</t>
  </si>
  <si>
    <t>Vulvectomy</t>
  </si>
  <si>
    <t>Aberrant Vaginal Gestation</t>
  </si>
  <si>
    <t>Putrid Offal</t>
  </si>
  <si>
    <t>Obliterated Life</t>
  </si>
  <si>
    <t>Valenciennes, France</t>
  </si>
  <si>
    <t>The Man-Eating Tree</t>
  </si>
  <si>
    <t>Night Verses</t>
  </si>
  <si>
    <t>The Infernal Deceit</t>
  </si>
  <si>
    <t>The True Harmful Black</t>
  </si>
  <si>
    <t>Fuzzripper</t>
  </si>
  <si>
    <t>Poltergeist</t>
  </si>
  <si>
    <t>Heavy metal, Synthwave</t>
  </si>
  <si>
    <t>Clarksville, TN</t>
  </si>
  <si>
    <t>Seraphlesh</t>
  </si>
  <si>
    <t>Effigy</t>
  </si>
  <si>
    <t>Normal Creatures</t>
  </si>
  <si>
    <t>Fluorescent Black</t>
  </si>
  <si>
    <t>Alt-metal, Rap rock</t>
  </si>
  <si>
    <t>Rýr</t>
  </si>
  <si>
    <t>Dislodged</t>
  </si>
  <si>
    <t>Diabolizer</t>
  </si>
  <si>
    <t>Murderous Revelations</t>
  </si>
  <si>
    <t>İstanbul, Turkey</t>
  </si>
  <si>
    <t>Gabestok</t>
  </si>
  <si>
    <t>Alle Dør I Fremtiden</t>
  </si>
  <si>
    <t>Black metal, Heavy metal, Garage Punk</t>
  </si>
  <si>
    <t>Nydvind</t>
  </si>
  <si>
    <t>Tetramental II - Telluria</t>
  </si>
  <si>
    <t>Black metal, Pagan metal</t>
  </si>
  <si>
    <t>Sumerian Tombs</t>
  </si>
  <si>
    <t>Age Of Eternal Night</t>
  </si>
  <si>
    <t>Epic Vampyric Black Metal</t>
  </si>
  <si>
    <t>Elephantus</t>
  </si>
  <si>
    <t>Solstício</t>
  </si>
  <si>
    <t>Blumenau, Brazil</t>
  </si>
  <si>
    <t>Vortex</t>
  </si>
  <si>
    <t>Alien Realms</t>
  </si>
  <si>
    <t>Lurid</t>
  </si>
  <si>
    <t>The Fool Provokes</t>
  </si>
  <si>
    <t>CBZK</t>
  </si>
  <si>
    <t>Dybuctwo</t>
  </si>
  <si>
    <t>Black metal, Hip-Hop, Industrial</t>
  </si>
  <si>
    <t>Sanok, Poland</t>
  </si>
  <si>
    <t>Painted Life</t>
  </si>
  <si>
    <t>What You Seek Is Seeking You</t>
  </si>
  <si>
    <t>Prog-metal, Metalcore, Post-Hardcore</t>
  </si>
  <si>
    <t>Hartford, CT</t>
  </si>
  <si>
    <t>Valhalore</t>
  </si>
  <si>
    <t>Beyond The Stars</t>
  </si>
  <si>
    <t>Symphonic Folk metal, Melodic Death metal, Power metal</t>
  </si>
  <si>
    <t>Davaar</t>
  </si>
  <si>
    <t>State of Feeling</t>
  </si>
  <si>
    <t>Elderwind</t>
  </si>
  <si>
    <t>Древнее Древних/Older than Ancient</t>
  </si>
  <si>
    <t>Daughter Chaos</t>
  </si>
  <si>
    <t>Noble Rot</t>
  </si>
  <si>
    <t>Kveldstimer</t>
  </si>
  <si>
    <t>The Cursed Oak</t>
  </si>
  <si>
    <t>Derhead</t>
  </si>
  <si>
    <t>Irrational II</t>
  </si>
  <si>
    <t>RawFoil</t>
  </si>
  <si>
    <t>Where Malice Converges</t>
  </si>
  <si>
    <t>Technical Thrash metal</t>
  </si>
  <si>
    <t>Haeresian</t>
  </si>
  <si>
    <t>Erebus</t>
  </si>
  <si>
    <t>Ciudad Real, Spain</t>
  </si>
  <si>
    <t>Teardrinker</t>
  </si>
  <si>
    <t>Killing the Flowers Will Not Delay Spring</t>
  </si>
  <si>
    <t>Ecstatic Black metal, Screamo, Post-Hardcore, Sludge metal</t>
  </si>
  <si>
    <t>Rotterdam, Netherlands</t>
  </si>
  <si>
    <t>Ukakuja</t>
  </si>
  <si>
    <t>Kōbi no gishiki</t>
  </si>
  <si>
    <t>Avant-Garde metal, Jazzgrind</t>
  </si>
  <si>
    <t>US / UK</t>
  </si>
  <si>
    <t>Voluptas</t>
  </si>
  <si>
    <t>Where Celestial Bodies Guide Not</t>
  </si>
  <si>
    <t>Prague, Czech Republic</t>
  </si>
  <si>
    <t>Skin Thief</t>
  </si>
  <si>
    <t>Frozen in the Act of Breaking</t>
  </si>
  <si>
    <t>Cave Sermon</t>
  </si>
  <si>
    <t>Fragile Wings</t>
  </si>
  <si>
    <t>Anoxia</t>
  </si>
  <si>
    <t>Revel in Sin</t>
  </si>
  <si>
    <t>Red Moon Architect</t>
  </si>
  <si>
    <t>October Decay</t>
  </si>
  <si>
    <t>Brain Stem</t>
  </si>
  <si>
    <t>Nullified</t>
  </si>
  <si>
    <t>Edmonton, Canada</t>
  </si>
  <si>
    <t>Black Band Shirt</t>
  </si>
  <si>
    <t>You Will Never Know Me</t>
  </si>
  <si>
    <t>Blackgaze, Screamo, Pop Punk</t>
  </si>
  <si>
    <t>Easthampton, MA</t>
  </si>
  <si>
    <t>Kaikkivaltias</t>
  </si>
  <si>
    <t>Routaa ja rautaa</t>
  </si>
  <si>
    <t>Zeicrydeus</t>
  </si>
  <si>
    <t>La Grande Heresie</t>
  </si>
  <si>
    <t>Melodic Black metal, Thrash metal, Heavy metal</t>
  </si>
  <si>
    <t>Inoculation</t>
  </si>
  <si>
    <t>Actuality</t>
  </si>
  <si>
    <t>The Sword</t>
  </si>
  <si>
    <t>Warp Riders (15th Anniversary Edition)</t>
  </si>
  <si>
    <t>Gama Bomb</t>
  </si>
  <si>
    <t>Necronomicon Automaton</t>
  </si>
  <si>
    <t>Cold Ceiling</t>
  </si>
  <si>
    <t>I Must Be Closer</t>
  </si>
  <si>
    <t>Couch Slut</t>
  </si>
  <si>
    <t>Live at Roadburn 2024 the Couch Slut Brunch Hour</t>
  </si>
  <si>
    <t>Noise rock, Sludge metal, Pigfuck</t>
  </si>
  <si>
    <t>Chat Pile</t>
  </si>
  <si>
    <t>Live at Roadburn 2023</t>
  </si>
  <si>
    <t>Noise rock, Sludge metal</t>
  </si>
  <si>
    <t>Oklahoma City, OK</t>
  </si>
  <si>
    <t>Empyrean Sanctum</t>
  </si>
  <si>
    <t>Detachment From Reality</t>
  </si>
  <si>
    <t>The Harmony Machine</t>
  </si>
  <si>
    <t>Tribunal</t>
  </si>
  <si>
    <t>In Penitence and Ruin</t>
  </si>
  <si>
    <t>LIK</t>
  </si>
  <si>
    <t>Necro</t>
  </si>
  <si>
    <t>Ostraca</t>
  </si>
  <si>
    <t>Eventualities</t>
  </si>
  <si>
    <t>Screamo, Post-metal</t>
  </si>
  <si>
    <t>Lux Terminus</t>
  </si>
  <si>
    <t>Cinder</t>
  </si>
  <si>
    <t>Prog-metal, Jazz Fusion</t>
  </si>
  <si>
    <t>Ancient Death</t>
  </si>
  <si>
    <t>Ego Dissolution</t>
  </si>
  <si>
    <t>Melvins</t>
  </si>
  <si>
    <t>Thunderball</t>
  </si>
  <si>
    <t>Sludge metal, Alt-rock, Grunge</t>
  </si>
  <si>
    <t>Dormant Ordeal</t>
  </si>
  <si>
    <t>Tooth and Nail</t>
  </si>
  <si>
    <t>Kraków, Poland</t>
  </si>
  <si>
    <t>Crypts of Despair</t>
  </si>
  <si>
    <t>We Belong In The Grave</t>
  </si>
  <si>
    <t>Lithuania</t>
  </si>
  <si>
    <t>Divide and Dissolve</t>
  </si>
  <si>
    <t>Insatiable</t>
  </si>
  <si>
    <t>Atmospheric Sludge metal, Drone metal</t>
  </si>
  <si>
    <t>SVNTH</t>
  </si>
  <si>
    <t>Pink Noise Youth</t>
  </si>
  <si>
    <t>Blackgaze, Post-Hardcore</t>
  </si>
  <si>
    <t>Ayreon</t>
  </si>
  <si>
    <t>The Human Equation (Remixed &amp; Remastered)</t>
  </si>
  <si>
    <t>Prog-metal, Rock Opera</t>
  </si>
  <si>
    <t>Ashenheart</t>
  </si>
  <si>
    <t>Tales From Eternal Dusk</t>
  </si>
  <si>
    <t>Michigan, MI</t>
  </si>
  <si>
    <t>Ungraven</t>
  </si>
  <si>
    <t>Hollows Made Homes In Their Sunken Cheeks</t>
  </si>
  <si>
    <t>Liverpool, UK</t>
  </si>
  <si>
    <t>Kexelür</t>
  </si>
  <si>
    <t>Epigrama de un pasado perdido</t>
  </si>
  <si>
    <t>Karg</t>
  </si>
  <si>
    <t>Marodeur</t>
  </si>
  <si>
    <t>Blackgaze, Atmospheric Black metal</t>
  </si>
  <si>
    <t>Horrid Human Condition</t>
  </si>
  <si>
    <t>Perpetual Imbalance</t>
  </si>
  <si>
    <t>Grindcore, Crust Punk</t>
  </si>
  <si>
    <t>Exterminatus</t>
  </si>
  <si>
    <t>Echoes From A Distant Star Part I</t>
  </si>
  <si>
    <t>Tetramorphe Impure</t>
  </si>
  <si>
    <t>The Sunset Of Being</t>
  </si>
  <si>
    <t>Alessandria, Italy</t>
  </si>
  <si>
    <t>RuinsZu</t>
  </si>
  <si>
    <t>Jazzisdead Live</t>
  </si>
  <si>
    <t>Jazzcore, Mathcore</t>
  </si>
  <si>
    <t>Ancestor Of Kaos</t>
  </si>
  <si>
    <t>Animal Ritual</t>
  </si>
  <si>
    <t>Miami, FL</t>
  </si>
  <si>
    <t>Mo'ynoq / Urocyon</t>
  </si>
  <si>
    <t>Split 2025</t>
  </si>
  <si>
    <t>CHOP CHOP CHOP CHOP CHOP CHOP CHOP</t>
  </si>
  <si>
    <t>Become Nothing</t>
  </si>
  <si>
    <t>Grindcore, Noisecore, Powerviolence</t>
  </si>
  <si>
    <t>New Haven, CT</t>
  </si>
  <si>
    <t>Serpentes</t>
  </si>
  <si>
    <t>Desert Psalms</t>
  </si>
  <si>
    <t>Portugal</t>
  </si>
  <si>
    <t>Backgrounds</t>
  </si>
  <si>
    <t>Pale Empathy</t>
  </si>
  <si>
    <t>St.Paul, MN</t>
  </si>
  <si>
    <t>Silver Knife</t>
  </si>
  <si>
    <t>Brussel, Belgium</t>
  </si>
  <si>
    <t>Lhaäd</t>
  </si>
  <si>
    <t>Beyond</t>
  </si>
  <si>
    <t>Veil of Ash</t>
  </si>
  <si>
    <t>Autumnal Mould</t>
  </si>
  <si>
    <t>Parity</t>
  </si>
  <si>
    <t>Zero-Sum Game</t>
  </si>
  <si>
    <t>Luxembourg</t>
  </si>
  <si>
    <t>Strandhem</t>
  </si>
  <si>
    <t>The Silence of Snow</t>
  </si>
  <si>
    <t>Heavy Heavy Low Low</t>
  </si>
  <si>
    <t>Pain Olympics</t>
  </si>
  <si>
    <t>Mathcore, Sasscore</t>
  </si>
  <si>
    <t>San Jose, CA</t>
  </si>
  <si>
    <t>Parthian</t>
  </si>
  <si>
    <t>Mortuorum</t>
  </si>
  <si>
    <t>Wichita, KS</t>
  </si>
  <si>
    <t>Archdruid</t>
  </si>
  <si>
    <t>Aortes</t>
  </si>
  <si>
    <t>Carrion</t>
  </si>
  <si>
    <t>Vilnius, Lithuania</t>
  </si>
  <si>
    <t>Teraset</t>
  </si>
  <si>
    <t>Crossface</t>
  </si>
  <si>
    <t>Vakker</t>
  </si>
  <si>
    <t>What Will Become of Our Pain</t>
  </si>
  <si>
    <t>Reno, NV</t>
  </si>
  <si>
    <t>Carian</t>
  </si>
  <si>
    <t>Saranhedra</t>
  </si>
  <si>
    <t>Provo, UT</t>
  </si>
  <si>
    <t>Morbific</t>
  </si>
  <si>
    <t>Bloom of the Abnormal Flesh</t>
  </si>
  <si>
    <t>Kitee, Finland</t>
  </si>
  <si>
    <t>Insineratehymn</t>
  </si>
  <si>
    <t>Irreverence of the Divine</t>
  </si>
  <si>
    <t>Sunpocrisy</t>
  </si>
  <si>
    <t>Live at Bloom</t>
  </si>
  <si>
    <t>Brescia, Italy</t>
  </si>
  <si>
    <t>Epic Death</t>
  </si>
  <si>
    <t>The Seer</t>
  </si>
  <si>
    <t>Symphonic Death metal, Black metal</t>
  </si>
  <si>
    <t>Tribal</t>
  </si>
  <si>
    <t>Totem</t>
  </si>
  <si>
    <t>Curitiba, Brazil</t>
  </si>
  <si>
    <t>Capitan</t>
  </si>
  <si>
    <t>Facing Currents</t>
  </si>
  <si>
    <t>Monarchist</t>
  </si>
  <si>
    <t>Life Noir</t>
  </si>
  <si>
    <t>Düsseldorf, Germany</t>
  </si>
  <si>
    <t>Wretched Blessing</t>
  </si>
  <si>
    <t>Psychic Barriers to Entry</t>
  </si>
  <si>
    <t>My Heart the Dreaming Memory</t>
  </si>
  <si>
    <t>Blackgaze, Screamo</t>
  </si>
  <si>
    <t>Panzerballett</t>
  </si>
  <si>
    <t>Übercode Œuvre</t>
  </si>
  <si>
    <t>München, Germany</t>
  </si>
  <si>
    <t>Urisk</t>
  </si>
  <si>
    <t>Shrivelling Lights</t>
  </si>
  <si>
    <t>Bonn, Germany</t>
  </si>
  <si>
    <t>I Am Your God</t>
  </si>
  <si>
    <t>△ (Trinity)</t>
  </si>
  <si>
    <t>Rovaniemi, Finland</t>
  </si>
  <si>
    <t>Cirith Ungol</t>
  </si>
  <si>
    <t>Live at the Roxy</t>
  </si>
  <si>
    <t>Heavy metal, US Power metal</t>
  </si>
  <si>
    <t>Cineastre</t>
  </si>
  <si>
    <t>Fortgang</t>
  </si>
  <si>
    <t>Kassel, Germany</t>
  </si>
  <si>
    <t>Martlet</t>
  </si>
  <si>
    <t>Hexe</t>
  </si>
  <si>
    <t>Caustic Wound</t>
  </si>
  <si>
    <t>Grinding Mechanism Of Torment</t>
  </si>
  <si>
    <t>Deathgrind</t>
  </si>
  <si>
    <t>Tuscoma</t>
  </si>
  <si>
    <t>Mal de Amores</t>
  </si>
  <si>
    <t>Black metal, Hardcore Punk, Post-metal</t>
  </si>
  <si>
    <t>Wellington, New Zealand</t>
  </si>
  <si>
    <t>Ahamkara</t>
  </si>
  <si>
    <t>The Harrow of the Lost</t>
  </si>
  <si>
    <t>Cramlington, UK</t>
  </si>
  <si>
    <t>The Great Sea</t>
  </si>
  <si>
    <t>Noble Art Of Desolation</t>
  </si>
  <si>
    <t>Cancer</t>
  </si>
  <si>
    <t>Inverted World</t>
  </si>
  <si>
    <t>Imminent Sonic Destruction</t>
  </si>
  <si>
    <t>Floodgate</t>
  </si>
  <si>
    <t>Detroit, MI</t>
  </si>
  <si>
    <t>EYES</t>
  </si>
  <si>
    <t>Spinner</t>
  </si>
  <si>
    <t>Metalcore, Mathcore, Noise rock</t>
  </si>
  <si>
    <t>Machine Head</t>
  </si>
  <si>
    <t>Unatoned</t>
  </si>
  <si>
    <t>BIG|BRAVE</t>
  </si>
  <si>
    <t>OST</t>
  </si>
  <si>
    <t>Drone metal, Post-rock, Noise rock</t>
  </si>
  <si>
    <t>Wednesday 13</t>
  </si>
  <si>
    <t>Mid Death Crisis</t>
  </si>
  <si>
    <t>Alt-metal, Horror Punk</t>
  </si>
  <si>
    <t>Lexington, NC</t>
  </si>
  <si>
    <t>Changeling</t>
  </si>
  <si>
    <t>ORIA</t>
  </si>
  <si>
    <t>This Future Wants Us Dead</t>
  </si>
  <si>
    <t>Prog-metal, Groove metal</t>
  </si>
  <si>
    <t>Thessaloniki, Greece</t>
  </si>
  <si>
    <t>Saetia</t>
  </si>
  <si>
    <t>Tendrils</t>
  </si>
  <si>
    <t>Felgrave</t>
  </si>
  <si>
    <t>Otherlike Darknesses</t>
  </si>
  <si>
    <t>Prog-metal, Avant-Garde Death metal, Black metal, Doom metal</t>
  </si>
  <si>
    <t>Employed To Serve</t>
  </si>
  <si>
    <t>Fallen Star</t>
  </si>
  <si>
    <t>Woking, UK</t>
  </si>
  <si>
    <t>Conan</t>
  </si>
  <si>
    <t>Violence Dimension</t>
  </si>
  <si>
    <t>SUMAC and Moor Mother</t>
  </si>
  <si>
    <t>The Film</t>
  </si>
  <si>
    <t>Atmospheric Sludge metal, Free Improv, Jazz Poetry</t>
  </si>
  <si>
    <t>Landmvrks</t>
  </si>
  <si>
    <t>The Darkest Place I've Ever Been</t>
  </si>
  <si>
    <t>Metalcore, Hip-Hop, Nu-Metal</t>
  </si>
  <si>
    <t xml:space="preserve">Marseille, France </t>
  </si>
  <si>
    <t>Kardashev</t>
  </si>
  <si>
    <t>Alunea</t>
  </si>
  <si>
    <t>Prog-metal, Deathcore, Post-metal</t>
  </si>
  <si>
    <t>Arizona, United States</t>
  </si>
  <si>
    <t>Opia</t>
  </si>
  <si>
    <t>I Welcome Thee, Eternal Sleep</t>
  </si>
  <si>
    <t>Eluveitie</t>
  </si>
  <si>
    <t>Ànv</t>
  </si>
  <si>
    <t>Melodic Death metal, Celtic metal, Folk metal</t>
  </si>
  <si>
    <t>Ancient Bards</t>
  </si>
  <si>
    <t>Artifex</t>
  </si>
  <si>
    <t>Rimini, Italy</t>
  </si>
  <si>
    <t>Caliban</t>
  </si>
  <si>
    <t>Back From Hell</t>
  </si>
  <si>
    <t>Essen, Germany</t>
  </si>
  <si>
    <t>Listless</t>
  </si>
  <si>
    <t>Depressive Black metal</t>
  </si>
  <si>
    <t>Victoria, Canada</t>
  </si>
  <si>
    <t>Behölder</t>
  </si>
  <si>
    <t>In the Temple of the Tyrant</t>
  </si>
  <si>
    <t>Big Trouble</t>
  </si>
  <si>
    <t>Deserted Fear</t>
  </si>
  <si>
    <t>Veins of Fire</t>
  </si>
  <si>
    <t>Eisenberg, Germany</t>
  </si>
  <si>
    <t>Inhuman Nature</t>
  </si>
  <si>
    <t>Greater Than Death</t>
  </si>
  <si>
    <t>Thrash metal, Heavy metal, Crossover</t>
  </si>
  <si>
    <t>Sacred Steel</t>
  </si>
  <si>
    <t>Ritual Supremacy</t>
  </si>
  <si>
    <t>Ludwigsburg, Germany</t>
  </si>
  <si>
    <t>Hallowed Hands</t>
  </si>
  <si>
    <t>Rot Economy</t>
  </si>
  <si>
    <t>Death metal, Chiptune</t>
  </si>
  <si>
    <t>Pagan Altar</t>
  </si>
  <si>
    <t>Never Quite Dead</t>
  </si>
  <si>
    <t>Venator</t>
  </si>
  <si>
    <t>Psychodrome</t>
  </si>
  <si>
    <t>Linz, Austria</t>
  </si>
  <si>
    <t>BARK</t>
  </si>
  <si>
    <t>The Time has Come</t>
  </si>
  <si>
    <t>Groove metal, Death metal</t>
  </si>
  <si>
    <t>Antwerp, Belgium</t>
  </si>
  <si>
    <t>Hyena</t>
  </si>
  <si>
    <t>About Rock and Roll</t>
  </si>
  <si>
    <t>Cajamarca, Peru</t>
  </si>
  <si>
    <t>Trick or Treat</t>
  </si>
  <si>
    <t>Ghosted</t>
  </si>
  <si>
    <t>Sijjin</t>
  </si>
  <si>
    <t>Helljjin Combat</t>
  </si>
  <si>
    <t>Aeonyzhar</t>
  </si>
  <si>
    <t>The Profane Era</t>
  </si>
  <si>
    <t>Game Over</t>
  </si>
  <si>
    <t>Face The End</t>
  </si>
  <si>
    <t>Heavy metal, Thrash metal</t>
  </si>
  <si>
    <t>Ferrara, Italy</t>
  </si>
  <si>
    <t>Blister Brigade</t>
  </si>
  <si>
    <t>A Rioting New Breed</t>
  </si>
  <si>
    <t>Skellefteå, Sweden</t>
  </si>
  <si>
    <t>Martoriator</t>
  </si>
  <si>
    <t>Bloodpainted Visions of Perpetual Conflict</t>
  </si>
  <si>
    <t>Disfuneral</t>
  </si>
  <si>
    <t>In Horror, Reborn</t>
  </si>
  <si>
    <t>Nancy, France</t>
  </si>
  <si>
    <t>Cadaver</t>
  </si>
  <si>
    <t>Hymns of Misanthropy</t>
  </si>
  <si>
    <t>Oslo, Norway</t>
  </si>
  <si>
    <t>Elan</t>
  </si>
  <si>
    <t>Elan Vs Elan</t>
  </si>
  <si>
    <t>Norwich, UK</t>
  </si>
  <si>
    <t>Kanonenfieber</t>
  </si>
  <si>
    <t>Live in Oberhausen</t>
  </si>
  <si>
    <t>Bamberg, Germany</t>
  </si>
  <si>
    <t>Onsetter</t>
  </si>
  <si>
    <t>Malice</t>
  </si>
  <si>
    <t>Sludge metal, Hardcore</t>
  </si>
  <si>
    <t>Supreme Void</t>
  </si>
  <si>
    <t>Towards Oblivion</t>
  </si>
  <si>
    <t>Of the Muses</t>
  </si>
  <si>
    <t>Underheavens— Of Blood, Ghosts and Saltwater</t>
  </si>
  <si>
    <t>Blackgaze, Alt-rock, Dream Pop</t>
  </si>
  <si>
    <t>Family Garden</t>
  </si>
  <si>
    <t>Dreams Beyond Control</t>
  </si>
  <si>
    <t>Black metal, Heavy metal, Crust Punk</t>
  </si>
  <si>
    <t>Structure</t>
  </si>
  <si>
    <t>Heritage</t>
  </si>
  <si>
    <t>Doom Death metal</t>
  </si>
  <si>
    <t>Wisdom &amp; Fools</t>
  </si>
  <si>
    <t>Samiarus</t>
  </si>
  <si>
    <t>Reign Destroyer</t>
  </si>
  <si>
    <t>Echoes of the Extinct</t>
  </si>
  <si>
    <t>Era of Darkness</t>
  </si>
  <si>
    <t>Jyväskylä, Finland</t>
  </si>
  <si>
    <t>Voland</t>
  </si>
  <si>
    <t>The Grieving Fields</t>
  </si>
  <si>
    <t>Melodic Black metal, Symphonic metal, Folk metal</t>
  </si>
  <si>
    <t>Phantom</t>
  </si>
  <si>
    <t>Tyrants of Wrath</t>
  </si>
  <si>
    <t>Guadalajara, Mexico</t>
  </si>
  <si>
    <t>Higher Walls</t>
  </si>
  <si>
    <t>No End</t>
  </si>
  <si>
    <t>Hardcore, Mathcore</t>
  </si>
  <si>
    <t>Atrate</t>
  </si>
  <si>
    <t>Beyond Depth. Beyond Thought. Beyond Self</t>
  </si>
  <si>
    <t>Indar</t>
  </si>
  <si>
    <t>Anlage</t>
  </si>
  <si>
    <t>Prog-metal, Post-metal, Alt-metal</t>
  </si>
  <si>
    <t>Morna</t>
  </si>
  <si>
    <t>Swan Song</t>
  </si>
  <si>
    <t>Point Mort</t>
  </si>
  <si>
    <t>Le point de non-retour</t>
  </si>
  <si>
    <t>Post-metal, Metalcore, Neocrust</t>
  </si>
  <si>
    <t>Greengoat</t>
  </si>
  <si>
    <t>Aloft</t>
  </si>
  <si>
    <t>Prog-metal, Stoner metal, Doom metal</t>
  </si>
  <si>
    <t>Valdivium</t>
  </si>
  <si>
    <t>Novi Sad, Serbia</t>
  </si>
  <si>
    <t>The Conduit</t>
  </si>
  <si>
    <t>Conquest</t>
  </si>
  <si>
    <t>Venice, FL</t>
  </si>
  <si>
    <t>Emma Goldman</t>
  </si>
  <si>
    <t>All You Are Is We</t>
  </si>
  <si>
    <t>Skramz, Sasscore</t>
  </si>
  <si>
    <t>Dispyt</t>
  </si>
  <si>
    <t>Från Melankoli till Meningslöshet</t>
  </si>
  <si>
    <t>Jakobstad, Finland</t>
  </si>
  <si>
    <t>Slow Draw</t>
  </si>
  <si>
    <t>The People's Department of Governmental Checks &amp; Balances</t>
  </si>
  <si>
    <t>Drone metal, Ambient Psychedelia</t>
  </si>
  <si>
    <t>Hurst, TX</t>
  </si>
  <si>
    <t>Demonic Death Judge</t>
  </si>
  <si>
    <t>Absolutely Launched</t>
  </si>
  <si>
    <t>Sludge metal, Stoner metal</t>
  </si>
  <si>
    <t>Kymenlaakso, Finland</t>
  </si>
  <si>
    <t>Soulreapers</t>
  </si>
  <si>
    <t>Melody of Chaos</t>
  </si>
  <si>
    <t>Lightless</t>
  </si>
  <si>
    <t>A Foreseen Loss</t>
  </si>
  <si>
    <t>Dresden, Germany</t>
  </si>
  <si>
    <t>Ka'aper</t>
  </si>
  <si>
    <t>While Flows The Nile</t>
  </si>
  <si>
    <t>Cyprus</t>
  </si>
  <si>
    <t>Hemlokk &amp; Hyrde</t>
  </si>
  <si>
    <t>Feohland</t>
  </si>
  <si>
    <t>Black metal, Neofolk</t>
  </si>
  <si>
    <t>Tree of Hell</t>
  </si>
  <si>
    <t>The Spire in the Hull</t>
  </si>
  <si>
    <t>Cedarville, CA</t>
  </si>
  <si>
    <t>Pathologically Explicit</t>
  </si>
  <si>
    <t>Murdered -The Brutal Gore Grotesque</t>
  </si>
  <si>
    <t>Loghyr</t>
  </si>
  <si>
    <t>And Now We Reap The Fruit From Our Seeds Of Distrust</t>
  </si>
  <si>
    <t>Prog-metal, Post-Black metal</t>
  </si>
  <si>
    <t>Hayward, CA</t>
  </si>
  <si>
    <t>Leather Hearse</t>
  </si>
  <si>
    <t>Burn In Heaven I</t>
  </si>
  <si>
    <t>Prog-metal, Math metal</t>
  </si>
  <si>
    <t>Pallbearer</t>
  </si>
  <si>
    <t>Live at JJ's</t>
  </si>
  <si>
    <t>DVNE</t>
  </si>
  <si>
    <t>Live at the Biscuit Factory</t>
  </si>
  <si>
    <t>Firmament</t>
  </si>
  <si>
    <t>A New World If You Can Take It</t>
  </si>
  <si>
    <t>Metalcore, Post-Hardcore, Alt-rock</t>
  </si>
  <si>
    <t>Canton, OH</t>
  </si>
  <si>
    <t>Uxia</t>
  </si>
  <si>
    <t>Leper Colony</t>
  </si>
  <si>
    <t>Those Of The Morbid</t>
  </si>
  <si>
    <t>Khôra</t>
  </si>
  <si>
    <t>Ananke</t>
  </si>
  <si>
    <t>Arv</t>
  </si>
  <si>
    <t>Curse &amp; Courage</t>
  </si>
  <si>
    <t>Labyrinthus Stellarum</t>
  </si>
  <si>
    <t>Rift in Reality</t>
  </si>
  <si>
    <t>Atmospheric Black metal, Cosmic Black metal</t>
  </si>
  <si>
    <t>A Flock Named Murder</t>
  </si>
  <si>
    <t>Incendiary Sanctum</t>
  </si>
  <si>
    <t>Maestrick</t>
  </si>
  <si>
    <t>Espresso Della Vita: Lunare</t>
  </si>
  <si>
    <t>São Paulo, Brazil</t>
  </si>
  <si>
    <t>Palantyr</t>
  </si>
  <si>
    <t>The Ascent &amp; The Hunger</t>
  </si>
  <si>
    <t>fallfiftyfeet</t>
  </si>
  <si>
    <t>Counterfeit Recollections</t>
  </si>
  <si>
    <t>Metalcore, Mathcore</t>
  </si>
  <si>
    <t>Wheeling, WV</t>
  </si>
  <si>
    <t>Bleed</t>
  </si>
  <si>
    <t>Alt-metal, Nu metal</t>
  </si>
  <si>
    <t>Propagandhi</t>
  </si>
  <si>
    <t>At Peace</t>
  </si>
  <si>
    <t>Winnipeg, Canada</t>
  </si>
  <si>
    <t>Acres</t>
  </si>
  <si>
    <t>The Host</t>
  </si>
  <si>
    <t>Portsmouth, UK</t>
  </si>
  <si>
    <t>Pyramids</t>
  </si>
  <si>
    <t>Pythagoras</t>
  </si>
  <si>
    <t>Alt-Pop, Shoegaze, Reggaetón</t>
  </si>
  <si>
    <t>Herta</t>
  </si>
  <si>
    <t>Crossing The Illusion</t>
  </si>
  <si>
    <t>Prog-metal, Groove metal, Djent</t>
  </si>
  <si>
    <t>Your Spirit Dies</t>
  </si>
  <si>
    <t>My Gnawing Pains Will Never Rest</t>
  </si>
  <si>
    <t>Columbia, SC</t>
  </si>
  <si>
    <t>Nightfall</t>
  </si>
  <si>
    <t>Children of Eve</t>
  </si>
  <si>
    <t>Under Ruins</t>
  </si>
  <si>
    <t>Age Of The Void</t>
  </si>
  <si>
    <t>Alukta</t>
  </si>
  <si>
    <t>Merok</t>
  </si>
  <si>
    <t>France / Belgium</t>
  </si>
  <si>
    <t>Catalyst Symphony</t>
  </si>
  <si>
    <t>The Light Inside</t>
  </si>
  <si>
    <t>Acceptance</t>
  </si>
  <si>
    <t>Crucifixion of Orchids</t>
  </si>
  <si>
    <t>Atmospheric Black metal, Post-metal</t>
  </si>
  <si>
    <t>Namebearer</t>
  </si>
  <si>
    <t>Industries of the Fading Sun</t>
  </si>
  <si>
    <t>Maine, ME</t>
  </si>
  <si>
    <t>Amalekim</t>
  </si>
  <si>
    <t>Shir Hashirim</t>
  </si>
  <si>
    <t>Misfire</t>
  </si>
  <si>
    <t>Product of the Environment</t>
  </si>
  <si>
    <t>XIAO</t>
  </si>
  <si>
    <t>Control</t>
  </si>
  <si>
    <t>Powerviolence, Hardcore Punk</t>
  </si>
  <si>
    <t>Melting</t>
  </si>
  <si>
    <t>You Exist Because We Allow It</t>
  </si>
  <si>
    <t>Metalcore, Deathcore</t>
  </si>
  <si>
    <t>Power Surge</t>
  </si>
  <si>
    <t>Shadows Warning</t>
  </si>
  <si>
    <t>Firienholt</t>
  </si>
  <si>
    <t>Night Eternal</t>
  </si>
  <si>
    <t>Epic Black metal, Dungeon Synth</t>
  </si>
  <si>
    <t>Hate</t>
  </si>
  <si>
    <t>Bellum Regiis</t>
  </si>
  <si>
    <t>No Heroes</t>
  </si>
  <si>
    <t>Brood Eternal</t>
  </si>
  <si>
    <t>Metalcore, Hardcore, Blackened Crust</t>
  </si>
  <si>
    <t>Abyssal Vacuum</t>
  </si>
  <si>
    <t>Falling From Grace</t>
  </si>
  <si>
    <t>At The Edge</t>
  </si>
  <si>
    <t>Groove metal, Thrash metal</t>
  </si>
  <si>
    <t>Vantaa, Finland</t>
  </si>
  <si>
    <t>Brzask</t>
  </si>
  <si>
    <t>Der Wanderer im Riesengebirge</t>
  </si>
  <si>
    <t>Kalaveraztekah</t>
  </si>
  <si>
    <t>Nikan Axkan</t>
  </si>
  <si>
    <t>Aguascalientes, Mexico</t>
  </si>
  <si>
    <t>Portent</t>
  </si>
  <si>
    <t>Nauseating the Inner Temple</t>
  </si>
  <si>
    <t>FloodGate</t>
  </si>
  <si>
    <t>Horizons</t>
  </si>
  <si>
    <t>Kelowna, Canada</t>
  </si>
  <si>
    <t>Asthénie</t>
  </si>
  <si>
    <t>Iridescence</t>
  </si>
  <si>
    <t>Strasbourg, France</t>
  </si>
  <si>
    <t>RYE</t>
  </si>
  <si>
    <t>Знание</t>
  </si>
  <si>
    <t>Blackgaze, Doom metal, Ambient</t>
  </si>
  <si>
    <t>Blame</t>
  </si>
  <si>
    <t>This Garden Hides A Snake Beneath The Rose</t>
  </si>
  <si>
    <t>Melodic Metalcore, Post-Hardcore</t>
  </si>
  <si>
    <t>Phrymerial</t>
  </si>
  <si>
    <t>Earth Wonderland</t>
  </si>
  <si>
    <t>Technical Death metal, Deathcore, Slam Death metal</t>
  </si>
  <si>
    <t>My Dementia</t>
  </si>
  <si>
    <t>Premonição: só me arrependo do que não</t>
  </si>
  <si>
    <t>Lisbon, Portugal</t>
  </si>
  <si>
    <t>Vauruvã</t>
  </si>
  <si>
    <t>Mar da Deriva</t>
  </si>
  <si>
    <t>Rio De Janeiro, Brazil</t>
  </si>
  <si>
    <t>Telos</t>
  </si>
  <si>
    <t>What They Built</t>
  </si>
  <si>
    <t>Black metal, Post-metal, Mathcore</t>
  </si>
  <si>
    <t>Dagdrøm</t>
  </si>
  <si>
    <t>Schauder</t>
  </si>
  <si>
    <t>Black metal, Metalcore</t>
  </si>
  <si>
    <t>Würzburg, Germany</t>
  </si>
  <si>
    <t>Lust Hag</t>
  </si>
  <si>
    <t>Irrevocably Drubbed</t>
  </si>
  <si>
    <t>Missoula, MT</t>
  </si>
  <si>
    <t>Cavern Deep</t>
  </si>
  <si>
    <t>Part III - The Bodiless</t>
  </si>
  <si>
    <t>Psychedelic Doom metal, Stoner metal</t>
  </si>
  <si>
    <t>Umeå, Sweden</t>
  </si>
  <si>
    <t>Shores of Null</t>
  </si>
  <si>
    <t>Beauty Over Europe</t>
  </si>
  <si>
    <t>Crimson Crown</t>
  </si>
  <si>
    <t>Vae Victis</t>
  </si>
  <si>
    <t>Steve Dadaian</t>
  </si>
  <si>
    <t>Revenant City</t>
  </si>
  <si>
    <t>Cresskill, NJ</t>
  </si>
  <si>
    <t>Candlemass</t>
  </si>
  <si>
    <t>Doom metal, Heavy metal</t>
  </si>
  <si>
    <t>Jade</t>
  </si>
  <si>
    <t>Mysteries Of A Flowery Dream</t>
  </si>
  <si>
    <t>Slumbering Sun</t>
  </si>
  <si>
    <t>Starmony</t>
  </si>
  <si>
    <t>Ominous Ruin</t>
  </si>
  <si>
    <t>Requiem</t>
  </si>
  <si>
    <t>Haken</t>
  </si>
  <si>
    <t>Liveforms: An Evening With Haken (Live in London 2024)</t>
  </si>
  <si>
    <t>Ghost Bath</t>
  </si>
  <si>
    <t>Rose Thorn Necklace</t>
  </si>
  <si>
    <t>Blackgaze, DSBM</t>
  </si>
  <si>
    <t>Tetrarch</t>
  </si>
  <si>
    <t>The Ugly Side of Me</t>
  </si>
  <si>
    <t>Alt-metal, Metalcore, Nu metal</t>
  </si>
  <si>
    <t>You Win Again Gravity</t>
  </si>
  <si>
    <t>Don't Leave Me Here Pt. 1</t>
  </si>
  <si>
    <t>Progressive Post-Hardcore</t>
  </si>
  <si>
    <t>Windsor, UK</t>
  </si>
  <si>
    <t>Lloth</t>
  </si>
  <si>
    <t>Archees Legeones (Ancient Legions)</t>
  </si>
  <si>
    <t>Skaphos</t>
  </si>
  <si>
    <t>Cult of Uzura</t>
  </si>
  <si>
    <t>Exilium Noctis</t>
  </si>
  <si>
    <t>Pactum Diaboli</t>
  </si>
  <si>
    <t>An Tóramh</t>
  </si>
  <si>
    <t>Echoes of Eternal Night</t>
  </si>
  <si>
    <t>Meatwound</t>
  </si>
  <si>
    <t>Macho</t>
  </si>
  <si>
    <t>Devine Defilement</t>
  </si>
  <si>
    <t>Ruthless</t>
  </si>
  <si>
    <t>Reykjavík, Iceland</t>
  </si>
  <si>
    <t>Sleep Token</t>
  </si>
  <si>
    <t>Even In Arcadia</t>
  </si>
  <si>
    <t>Alternative Metal, Progressive Metal</t>
  </si>
  <si>
    <t>London, United Kingdom</t>
  </si>
  <si>
    <t>Elusive God</t>
  </si>
  <si>
    <t>Ambis</t>
  </si>
  <si>
    <t>Croatia</t>
  </si>
  <si>
    <t>Mütterlein</t>
  </si>
  <si>
    <t>Amidst the Flames, May Our Organs Resound</t>
  </si>
  <si>
    <t>Post-metal, Industrial Noise, Darkwave</t>
  </si>
  <si>
    <t>Svarta Havet</t>
  </si>
  <si>
    <t>Månen ska lysa din väg</t>
  </si>
  <si>
    <t>Turku, Finland</t>
  </si>
  <si>
    <t>Escarnium</t>
  </si>
  <si>
    <t>Inexorable Entropy</t>
  </si>
  <si>
    <t>Roxxcalibur</t>
  </si>
  <si>
    <t>NWOBHM From The Vaults</t>
  </si>
  <si>
    <t>Gimbsheim, Germany</t>
  </si>
  <si>
    <t>For the Pyres</t>
  </si>
  <si>
    <t>At the Pyres of Sin</t>
  </si>
  <si>
    <t>Borås, Sweden</t>
  </si>
  <si>
    <t>Esox</t>
  </si>
  <si>
    <t>Watery Grave</t>
  </si>
  <si>
    <t>Atmospheric Black metal, Ambient, Neofolk</t>
  </si>
  <si>
    <t>Prophetic Suffering</t>
  </si>
  <si>
    <t>Rivalry of Thyself</t>
  </si>
  <si>
    <t>Cocaine Culture</t>
  </si>
  <si>
    <t>Black metal, Death metal, Sludge metal</t>
  </si>
  <si>
    <t>Muncie, IN</t>
  </si>
  <si>
    <t>The Sun’s Journey Through The Night</t>
  </si>
  <si>
    <t>Demo III</t>
  </si>
  <si>
    <t>Black metal, Ambient</t>
  </si>
  <si>
    <t>Sold Soul</t>
  </si>
  <si>
    <t>Just Like That, I Disappear Entirely</t>
  </si>
  <si>
    <t>North Carolina, NC</t>
  </si>
  <si>
    <t>Godot</t>
  </si>
  <si>
    <t>Fever Songs</t>
  </si>
  <si>
    <t>Mathcore, Sludge metal</t>
  </si>
  <si>
    <t>Wealder</t>
  </si>
  <si>
    <t>A Long-Awaited Arrival</t>
  </si>
  <si>
    <t>Geremiah</t>
  </si>
  <si>
    <t>Worldtree</t>
  </si>
  <si>
    <t>EchoSoul</t>
  </si>
  <si>
    <t>Time Of The Dragon</t>
  </si>
  <si>
    <t>Indiana, IN</t>
  </si>
  <si>
    <t>Baan</t>
  </si>
  <si>
    <t>Neumann</t>
  </si>
  <si>
    <t>Skramz, Doomgaze</t>
  </si>
  <si>
    <t>Busan, South Korea</t>
  </si>
  <si>
    <t>Alessandro Zilio</t>
  </si>
  <si>
    <t>Here, Now</t>
  </si>
  <si>
    <t>Full of Hell</t>
  </si>
  <si>
    <t>Broken Sword, Rotten Shield</t>
  </si>
  <si>
    <t>Metalcore, Sludge metal, Post-Industrial</t>
  </si>
  <si>
    <t>Ocean City, MD</t>
  </si>
  <si>
    <t>Lástima</t>
  </si>
  <si>
    <t>A Pain Bloomed From My Lungs</t>
  </si>
  <si>
    <t>Blackgaze, Post-Hardcore, Screamo</t>
  </si>
  <si>
    <t>Gutrectomy</t>
  </si>
  <si>
    <t>Angst</t>
  </si>
  <si>
    <t>Deathcore, Slam Death metal</t>
  </si>
  <si>
    <t>Lörrach, Germany</t>
  </si>
  <si>
    <t>Wounded Touch</t>
  </si>
  <si>
    <t>A Vivid Depiction of Collapse</t>
  </si>
  <si>
    <t>Blood Monolith</t>
  </si>
  <si>
    <t>The Calling Of Fire</t>
  </si>
  <si>
    <t>Pridian</t>
  </si>
  <si>
    <t>Venetian Dark</t>
  </si>
  <si>
    <t>Prog-metal, Metalcore, Industrial metal</t>
  </si>
  <si>
    <t>Estonia</t>
  </si>
  <si>
    <t>The Callous Daoboys</t>
  </si>
  <si>
    <t>I Don’t Want to See You in Heaven</t>
  </si>
  <si>
    <t>Mathcore, Metalcore, Alt-metal</t>
  </si>
  <si>
    <t>Pelican</t>
  </si>
  <si>
    <t>Flickering Resonance</t>
  </si>
  <si>
    <t>Mares Of Thrace</t>
  </si>
  <si>
    <t>The Loss</t>
  </si>
  <si>
    <t>Sludge metal, Post-metal</t>
  </si>
  <si>
    <t>Bury Tomorrow</t>
  </si>
  <si>
    <t>Will You Haunt Me, With That Same Patience</t>
  </si>
  <si>
    <t>Joviac</t>
  </si>
  <si>
    <t>Autofiction Pt. 1: Shards</t>
  </si>
  <si>
    <t>Novelists</t>
  </si>
  <si>
    <t>Coda</t>
  </si>
  <si>
    <t>Metalcore, Alt-metal</t>
  </si>
  <si>
    <t>Antropomorphia</t>
  </si>
  <si>
    <t>Devoid of Light</t>
  </si>
  <si>
    <t>Dead Chasm</t>
  </si>
  <si>
    <t>Spectral Tyranny</t>
  </si>
  <si>
    <t>Sleep Theory</t>
  </si>
  <si>
    <t>Afterglow</t>
  </si>
  <si>
    <t>Alternative Metal</t>
  </si>
  <si>
    <t>Larcenia Roe</t>
  </si>
  <si>
    <t>Extraction</t>
  </si>
  <si>
    <t>Root Zero</t>
  </si>
  <si>
    <t>Dark Rainbow</t>
  </si>
  <si>
    <t>Cardiff, Wales</t>
  </si>
  <si>
    <t>Drouth</t>
  </si>
  <si>
    <t>The Teeth of Time</t>
  </si>
  <si>
    <t>Pandemia</t>
  </si>
  <si>
    <t>Darkened Devotion</t>
  </si>
  <si>
    <t>Hellgrammites</t>
  </si>
  <si>
    <t>Ethos</t>
  </si>
  <si>
    <t>Crossover Thrash, Hardcore Punk</t>
  </si>
  <si>
    <t>Clamfight</t>
  </si>
  <si>
    <t>Ondfødt</t>
  </si>
  <si>
    <t>Dimsvall</t>
  </si>
  <si>
    <t>Ostrobothnia, Finland</t>
  </si>
  <si>
    <t>Nvage</t>
  </si>
  <si>
    <t>Self Titled</t>
  </si>
  <si>
    <t>Death Whore</t>
  </si>
  <si>
    <t>Blood Washes Everything Away</t>
  </si>
  <si>
    <t>Death metal, Crust Punk</t>
  </si>
  <si>
    <t>Ephemeral &amp; Domhain</t>
  </si>
  <si>
    <t>Of Pine and Oak</t>
  </si>
  <si>
    <t>Blackgaze, Post-metal, Dark Folk</t>
  </si>
  <si>
    <t>Ireland / Germany</t>
  </si>
  <si>
    <t>Eleventh Ray</t>
  </si>
  <si>
    <t>Reviving Tehom</t>
  </si>
  <si>
    <t>Stress Positions</t>
  </si>
  <si>
    <t>Human Zoo</t>
  </si>
  <si>
    <t>Thrashcore, Hardcore Punk</t>
  </si>
  <si>
    <t>No Raza</t>
  </si>
  <si>
    <t>Tyrona</t>
  </si>
  <si>
    <t>Bello, Colombia</t>
  </si>
  <si>
    <t>Rëigncoät</t>
  </si>
  <si>
    <t>Prog-metal, Heavy metal</t>
  </si>
  <si>
    <t>GaiaBeta</t>
  </si>
  <si>
    <t>Gate of GaiaBeta</t>
  </si>
  <si>
    <t>Au Clair de Lune</t>
  </si>
  <si>
    <t>In The Wake of Dusk</t>
  </si>
  <si>
    <t>Grave Speaker</t>
  </si>
  <si>
    <t>Rays of the Emerald Sun</t>
  </si>
  <si>
    <t>Anubis</t>
  </si>
  <si>
    <t>The Puppeteers</t>
  </si>
  <si>
    <t>Fen Magus</t>
  </si>
  <si>
    <t>Offering</t>
  </si>
  <si>
    <t>Anatomize</t>
  </si>
  <si>
    <t>Systematic Torture</t>
  </si>
  <si>
    <t>Bell of Mimir</t>
  </si>
  <si>
    <t>Nocturne</t>
  </si>
  <si>
    <t>Gigafauna</t>
  </si>
  <si>
    <t>Eye to Windward</t>
  </si>
  <si>
    <t>dianacrawls</t>
  </si>
  <si>
    <t>Both Indistinct</t>
  </si>
  <si>
    <t>Emoviolence, Sasscore</t>
  </si>
  <si>
    <t>Slow Fall</t>
  </si>
  <si>
    <t>Blood Eclipse</t>
  </si>
  <si>
    <t>Détresse</t>
  </si>
  <si>
    <t>Pessimismes</t>
  </si>
  <si>
    <t>Genune</t>
  </si>
  <si>
    <t>Infinite Presence</t>
  </si>
  <si>
    <t>Martikor</t>
  </si>
  <si>
    <t>A Portrait</t>
  </si>
  <si>
    <t>葬火(okuribi)</t>
  </si>
  <si>
    <t>徒花(adabana)</t>
  </si>
  <si>
    <t>Sudden Death</t>
  </si>
  <si>
    <t>In Sinner Hate</t>
  </si>
  <si>
    <t>Where Waters Mingle</t>
  </si>
  <si>
    <t>Anatomy Of A Murder</t>
  </si>
  <si>
    <t>Love Like Misanthropy</t>
  </si>
  <si>
    <t>Moberly, MO</t>
  </si>
  <si>
    <t>Thorndike</t>
  </si>
  <si>
    <t>Scrimshaw Talisman</t>
  </si>
  <si>
    <t>Unentity</t>
  </si>
  <si>
    <t>Demon Head</t>
  </si>
  <si>
    <t>Ride the Wilderness (10th Anniversary Remaster)</t>
  </si>
  <si>
    <t>Traditional Doom metal, Heavy Psych</t>
  </si>
  <si>
    <t>Agonize</t>
  </si>
  <si>
    <t>Highest Form</t>
  </si>
  <si>
    <t>Savannah, GA</t>
  </si>
  <si>
    <t>Nik Nocturnal</t>
  </si>
  <si>
    <t>The Lost Chapters</t>
  </si>
  <si>
    <t>Melodic Metalcore</t>
  </si>
  <si>
    <t>Watcher</t>
  </si>
  <si>
    <t>Chains of Crystal</t>
  </si>
  <si>
    <t>Psudoku</t>
  </si>
  <si>
    <t>Psudoktrination</t>
  </si>
  <si>
    <t>Grindcore, Brutal Prog, Avant-Garde metal</t>
  </si>
  <si>
    <t>Signum Regis</t>
  </si>
  <si>
    <t>The Eyes of Power</t>
  </si>
  <si>
    <t>Senec, Slovakia</t>
  </si>
  <si>
    <t>Sylvanshine</t>
  </si>
  <si>
    <t>The Offering</t>
  </si>
  <si>
    <t>Bucharest, Romania</t>
  </si>
  <si>
    <t>Myth of I</t>
  </si>
  <si>
    <t>Stream</t>
  </si>
  <si>
    <t>Hangmoon</t>
  </si>
  <si>
    <t>Horizon</t>
  </si>
  <si>
    <t>Post-metal, Atmospheric rock</t>
  </si>
  <si>
    <t>Year of No Light</t>
  </si>
  <si>
    <t>Les Maîtres Fous</t>
  </si>
  <si>
    <t>Drone Doom, Ambient</t>
  </si>
  <si>
    <t>Chepang</t>
  </si>
  <si>
    <t>Jhyappa</t>
  </si>
  <si>
    <t>Grindcore</t>
  </si>
  <si>
    <t>Queens, NY</t>
  </si>
  <si>
    <t>Drifter</t>
  </si>
  <si>
    <t>Grigori</t>
  </si>
  <si>
    <t>Post-metal, Sludge metal, Doom metal</t>
  </si>
  <si>
    <t>Feversea</t>
  </si>
  <si>
    <t>Man Under Erasure</t>
  </si>
  <si>
    <t>Midnight</t>
  </si>
  <si>
    <t>Steel, Rust and Disgust</t>
  </si>
  <si>
    <t>Heavy metal, Speed metal</t>
  </si>
  <si>
    <t>Ossuary</t>
  </si>
  <si>
    <t>Abhorrent Worship</t>
  </si>
  <si>
    <t>Fragments of Unbecoming</t>
  </si>
  <si>
    <t>Dawnbringer</t>
  </si>
  <si>
    <t>Unmerciful</t>
  </si>
  <si>
    <t>Devouring Darkness</t>
  </si>
  <si>
    <t>Brutal Death metal, Technical Death metal</t>
  </si>
  <si>
    <t>Topeka, KS</t>
  </si>
  <si>
    <t>Eudaemon</t>
  </si>
  <si>
    <t>Spiritual Anguish</t>
  </si>
  <si>
    <t>Thus Spoke Zarathustra</t>
  </si>
  <si>
    <t>I’m Done With Self Care, It’s Time For Others' Harm</t>
  </si>
  <si>
    <t>Elkton, MD</t>
  </si>
  <si>
    <t>House of Protection</t>
  </si>
  <si>
    <t>Outrun You All</t>
  </si>
  <si>
    <t>Post-Hardcore, Alt-metal</t>
  </si>
  <si>
    <t>Senna</t>
  </si>
  <si>
    <t>Stranger To Love</t>
  </si>
  <si>
    <t>Post-Hardcore, Metalcore</t>
  </si>
  <si>
    <t>...And Oceans</t>
  </si>
  <si>
    <t>The Regeneration Itinerary</t>
  </si>
  <si>
    <t>Melodic Black metal, Symphonic Black metal</t>
  </si>
  <si>
    <t>Entheomorphosis</t>
  </si>
  <si>
    <t>Pyhä Kuilu</t>
  </si>
  <si>
    <t>Avant-Garde metal, Ritual Ambient, Drone, Sludge metal</t>
  </si>
  <si>
    <t>Brutal Sphincter</t>
  </si>
  <si>
    <t>Sphinct-Earth Society</t>
  </si>
  <si>
    <t>Liège, Belgium</t>
  </si>
  <si>
    <t>Ceresian Valot</t>
  </si>
  <si>
    <t>Uumen</t>
  </si>
  <si>
    <t>Spiralist</t>
  </si>
  <si>
    <t>Violent Feathers</t>
  </si>
  <si>
    <t>Mathcore, Industrial Noise, Alt-metal</t>
  </si>
  <si>
    <t>FLY!</t>
  </si>
  <si>
    <t>...or Die!</t>
  </si>
  <si>
    <t>Heavy metal, Speed metal, Hard rock</t>
  </si>
  <si>
    <t>Hellcrash</t>
  </si>
  <si>
    <t>Inferno Crematörio</t>
  </si>
  <si>
    <t>Black metal, Speed metal, Thrash metal</t>
  </si>
  <si>
    <t>Animalize</t>
  </si>
  <si>
    <t>Verminateur</t>
  </si>
  <si>
    <t>Bent By Sorrow</t>
  </si>
  <si>
    <t>Sakura</t>
  </si>
  <si>
    <t>Witchrot</t>
  </si>
  <si>
    <t>Soul Cellar</t>
  </si>
  <si>
    <t>Crystal Spiders</t>
  </si>
  <si>
    <t>Metanoia</t>
  </si>
  <si>
    <t>Moonlight Haze</t>
  </si>
  <si>
    <t>Age of Apocalypse</t>
  </si>
  <si>
    <t>In Oblivion</t>
  </si>
  <si>
    <t>Metallic Hardcore, Hardcore Punk, Alt-metal</t>
  </si>
  <si>
    <t>Madrost</t>
  </si>
  <si>
    <t>Imagination Theory</t>
  </si>
  <si>
    <t>Lake Forest, CA</t>
  </si>
  <si>
    <t>Balmog</t>
  </si>
  <si>
    <t>Laio</t>
  </si>
  <si>
    <t>Illusion</t>
  </si>
  <si>
    <t>Stages Of Self-Destruction</t>
  </si>
  <si>
    <t>Pythia</t>
  </si>
  <si>
    <t>V PT.1: Unhallowed</t>
  </si>
  <si>
    <t>As the Sun Falls</t>
  </si>
  <si>
    <t>Pohjoisen Sydän</t>
  </si>
  <si>
    <t>Nummela, Finland</t>
  </si>
  <si>
    <t>Goot</t>
  </si>
  <si>
    <t>The Toll Remains The Same</t>
  </si>
  <si>
    <t>Hexerei</t>
  </si>
  <si>
    <t>Realms.....</t>
  </si>
  <si>
    <t>Xenos A.D.</t>
  </si>
  <si>
    <t>Reqviem For The Oppressor</t>
  </si>
  <si>
    <t>Lähdön Aika</t>
  </si>
  <si>
    <t>Mustalle Maalle</t>
  </si>
  <si>
    <t>Sludge metal, Doom metal, Crust</t>
  </si>
  <si>
    <t>Serapis Project</t>
  </si>
  <si>
    <t>Side Stories</t>
  </si>
  <si>
    <t>Tassi</t>
  </si>
  <si>
    <t>Idamon Novasah-Liva</t>
  </si>
  <si>
    <t>Beijing, China</t>
  </si>
  <si>
    <t>Upper Decker</t>
  </si>
  <si>
    <t>The Scatonomicon</t>
  </si>
  <si>
    <t>Brutal Death metal, Deathcore</t>
  </si>
  <si>
    <t>Occitanie, France</t>
  </si>
  <si>
    <t>Valatie</t>
  </si>
  <si>
    <t>Dragged Through the Garden</t>
  </si>
  <si>
    <t>Screamo, Nu-gaze</t>
  </si>
  <si>
    <t>Pluvia</t>
  </si>
  <si>
    <t>Saturne Furie</t>
  </si>
  <si>
    <t>Aexylium</t>
  </si>
  <si>
    <t>Myth of Mankind</t>
  </si>
  <si>
    <t>Varese, Italy</t>
  </si>
  <si>
    <t>Animate</t>
  </si>
  <si>
    <t>Laudanum</t>
  </si>
  <si>
    <t>Nebiru</t>
  </si>
  <si>
    <t>Kontrast</t>
  </si>
  <si>
    <t>Delitzsch, Germany</t>
  </si>
  <si>
    <t>Ms. Kaplan</t>
  </si>
  <si>
    <t>Heavy. Eternal. Ache.</t>
  </si>
  <si>
    <t>Alt-metal, Nu-metal, Heavy metal</t>
  </si>
  <si>
    <t>İstanbul, Turkey</t>
  </si>
  <si>
    <t>Mossback</t>
  </si>
  <si>
    <t>Black Canyon City</t>
  </si>
  <si>
    <t>Stoner metal, Trap metal, Country Blues, Sludge metal</t>
  </si>
  <si>
    <t>Skyraid</t>
  </si>
  <si>
    <t>Kingdom of Thall</t>
  </si>
  <si>
    <t>Chronazura</t>
  </si>
  <si>
    <t>The Time Fusion</t>
  </si>
  <si>
    <t>Yarostan</t>
  </si>
  <si>
    <t>Post-Hardcore, Sludge metal</t>
  </si>
  <si>
    <t>Marseille, France</t>
  </si>
  <si>
    <t>Walg</t>
  </si>
  <si>
    <t>V</t>
  </si>
  <si>
    <t>Groningen, Netherlands</t>
  </si>
  <si>
    <t>Antisoph</t>
  </si>
  <si>
    <t>Ateos</t>
  </si>
  <si>
    <t>Quintum Element</t>
  </si>
  <si>
    <t>The Frost Guardian's Quest</t>
  </si>
  <si>
    <t>Witch Hound</t>
  </si>
  <si>
    <t>Mountain Knows</t>
  </si>
  <si>
    <t>Traditional Heavy metal, Doom metal</t>
  </si>
  <si>
    <t>Andthecanaryfell.</t>
  </si>
  <si>
    <t>As The Ice Melts</t>
  </si>
  <si>
    <t>Black Metal, Hardcore</t>
  </si>
  <si>
    <t>Despot</t>
  </si>
  <si>
    <t>Tangled in the Fabric Halfway to the Floor</t>
  </si>
  <si>
    <t>Screamo, Sasscore</t>
  </si>
  <si>
    <t>Onw</t>
  </si>
  <si>
    <t>Ersatz Soul</t>
  </si>
  <si>
    <t>Obstruktion</t>
  </si>
  <si>
    <t>The End Takes Form</t>
  </si>
  <si>
    <t>Maps And Foils</t>
  </si>
  <si>
    <t>Nulle part</t>
  </si>
  <si>
    <t>Cave</t>
  </si>
  <si>
    <t>Cave IV</t>
  </si>
  <si>
    <t>Gulfport, MS</t>
  </si>
  <si>
    <t>Vile Haint</t>
  </si>
  <si>
    <t>Abound with Malice</t>
  </si>
  <si>
    <t>Bleeth</t>
  </si>
  <si>
    <t>Marionette</t>
  </si>
  <si>
    <t>Ailifdopa</t>
  </si>
  <si>
    <t>Dinochrist</t>
  </si>
  <si>
    <t>Avant-Garde metal, Metalcore, Alt-metal</t>
  </si>
  <si>
    <t>Syncatto</t>
  </si>
  <si>
    <t>Memento</t>
  </si>
  <si>
    <t>Prog-metal, Jazz Fusion, Djent</t>
  </si>
  <si>
    <t>Fresno, CA</t>
  </si>
  <si>
    <t>Stray From the Path</t>
  </si>
  <si>
    <t>Clockworked</t>
  </si>
  <si>
    <t>Metalcore, Rap metal</t>
  </si>
  <si>
    <t>Vader</t>
  </si>
  <si>
    <t>Humanihility</t>
  </si>
  <si>
    <t>Olsztyn, Poland</t>
  </si>
  <si>
    <t>Neurotech</t>
  </si>
  <si>
    <t>Exo Escapism</t>
  </si>
  <si>
    <t>Cyber metal</t>
  </si>
  <si>
    <t>Othiel</t>
  </si>
  <si>
    <t>World's Fastest Car</t>
  </si>
  <si>
    <t>Screamo, Post-Hardcore</t>
  </si>
  <si>
    <t>Pomona, CA</t>
  </si>
  <si>
    <t>Sombretour</t>
  </si>
  <si>
    <t>To any World beyond the Tomb</t>
  </si>
  <si>
    <t>Blackgaze, Doom metal, Melodic Death metal</t>
  </si>
  <si>
    <t>Kilter</t>
  </si>
  <si>
    <t>La Suspendida LIVE</t>
  </si>
  <si>
    <t>Avant-Garde metal, Avant-Garde Jazz</t>
  </si>
  <si>
    <t>Needless</t>
  </si>
  <si>
    <t>Premonition</t>
  </si>
  <si>
    <t>Prog-metal, Melodic Death metal, Thrash metal</t>
  </si>
  <si>
    <t>Dánszentmiklós, Hungary</t>
  </si>
  <si>
    <t>Onirik</t>
  </si>
  <si>
    <t>Curling Serpents Under Stone</t>
  </si>
  <si>
    <t>Lisboa, Portugal</t>
  </si>
  <si>
    <t>Weeping Sores</t>
  </si>
  <si>
    <t>The Convalescence Agonies</t>
  </si>
  <si>
    <t>Prog-metal, Death Doom metal</t>
  </si>
  <si>
    <t>Body Minus Head</t>
  </si>
  <si>
    <t>An Exercise In Self-Sufficiency</t>
  </si>
  <si>
    <t>Screamo, Hardcore Punk, Crust Punk</t>
  </si>
  <si>
    <t>Kitchener, Canada</t>
  </si>
  <si>
    <t>Obsidian Tongue</t>
  </si>
  <si>
    <t>Eclipsing Worlds Of Scorn</t>
  </si>
  <si>
    <t>Wormrot</t>
  </si>
  <si>
    <t>TNT</t>
  </si>
  <si>
    <t>Singapore</t>
  </si>
  <si>
    <t>Grin</t>
  </si>
  <si>
    <t>Acid Gods</t>
  </si>
  <si>
    <t>Sludge metal, Doom metal, Stoner metal</t>
  </si>
  <si>
    <t>Quadvium</t>
  </si>
  <si>
    <t>Tetradōm</t>
  </si>
  <si>
    <t>US / Netherlands</t>
  </si>
  <si>
    <t>The Haunted</t>
  </si>
  <si>
    <t>Songs Of Last Resort</t>
  </si>
  <si>
    <t>Planning For Burial</t>
  </si>
  <si>
    <t>It's Closeness, It's Easy</t>
  </si>
  <si>
    <t>Doomgaze, Post-metal</t>
  </si>
  <si>
    <t>Wilkes-Barre, PA</t>
  </si>
  <si>
    <t>Eschaton</t>
  </si>
  <si>
    <t>Techtalitarian</t>
  </si>
  <si>
    <t>Vildhjarta</t>
  </si>
  <si>
    <t>där skogen sjunger under evighetens grana</t>
  </si>
  <si>
    <t>Hudiksvall, Sweden</t>
  </si>
  <si>
    <t>Rivers of Nihil</t>
  </si>
  <si>
    <t>Wolves At The Gate</t>
  </si>
  <si>
    <t>Wasteland</t>
  </si>
  <si>
    <t>Ohio, US</t>
  </si>
  <si>
    <t>Coltsblood</t>
  </si>
  <si>
    <t>Obscured Into Nebulous Dusk</t>
  </si>
  <si>
    <t>Low Before The Breeze</t>
  </si>
  <si>
    <t>A Hole Beneath the Home We Shared</t>
  </si>
  <si>
    <t>Blackened Hardcore, Screamo</t>
  </si>
  <si>
    <t>Graceless</t>
  </si>
  <si>
    <t>Icons of Ruins</t>
  </si>
  <si>
    <t>Death Rattle</t>
  </si>
  <si>
    <t>The Moral Chokehold</t>
  </si>
  <si>
    <t>No Horizon</t>
  </si>
  <si>
    <t>Metalcore, Djent, Post-Hardcore</t>
  </si>
  <si>
    <t>Ogden, Utah</t>
  </si>
  <si>
    <t>Gridiron</t>
  </si>
  <si>
    <t>Poetry From Pain</t>
  </si>
  <si>
    <t>Hardcore Rap, Rap metal</t>
  </si>
  <si>
    <t>Boyertown, PA</t>
  </si>
  <si>
    <t>Cwfen</t>
  </si>
  <si>
    <t>Sorrows</t>
  </si>
  <si>
    <t>Lord Vigo</t>
  </si>
  <si>
    <t>Walk The Shadows</t>
  </si>
  <si>
    <t>Epic Doom metal, Heavy metal</t>
  </si>
  <si>
    <t>Puteraeon</t>
  </si>
  <si>
    <t>Mountains Of Madness</t>
  </si>
  <si>
    <t>Furnace</t>
  </si>
  <si>
    <t>Eternally Enthroned</t>
  </si>
  <si>
    <t>Golem Of Gore</t>
  </si>
  <si>
    <t>Ultimo Mondo Cane</t>
  </si>
  <si>
    <t>Goregrind</t>
  </si>
  <si>
    <t>Anzv</t>
  </si>
  <si>
    <t>Kur</t>
  </si>
  <si>
    <t>Svart Vinter</t>
  </si>
  <si>
    <t>Isvind</t>
  </si>
  <si>
    <t>Diesect</t>
  </si>
  <si>
    <t>Hide From The Light</t>
  </si>
  <si>
    <t>Metalcore, Deathcore, Nu-metal</t>
  </si>
  <si>
    <t>Goath</t>
  </si>
  <si>
    <t>IV: Silencing The Prophets Of Deceit</t>
  </si>
  <si>
    <t>Zig Zags</t>
  </si>
  <si>
    <t>Deadbeat At Dawn</t>
  </si>
  <si>
    <t>Speed metal, Garage Punk</t>
  </si>
  <si>
    <t>Strychnos</t>
  </si>
  <si>
    <t>Sig nærmer Døden</t>
  </si>
  <si>
    <t>Uendelig Begravelsesmarch</t>
  </si>
  <si>
    <t>Bloodhorse</t>
  </si>
  <si>
    <t>A Malign Star</t>
  </si>
  <si>
    <t>Blisterer</t>
  </si>
  <si>
    <t>Surunaamio</t>
  </si>
  <si>
    <t>ButcherBird</t>
  </si>
  <si>
    <t>Drought/Deluge</t>
  </si>
  <si>
    <t>Aconitum</t>
  </si>
  <si>
    <t>Monkshood</t>
  </si>
  <si>
    <t>Grindcore, Mathgrind</t>
  </si>
  <si>
    <t>Hexecutioner</t>
  </si>
  <si>
    <t>Tornit</t>
  </si>
  <si>
    <t>Sludge metal, Stoner metal, Doom metal</t>
  </si>
  <si>
    <t>Krocophile</t>
  </si>
  <si>
    <t>Sewer King, King of the Sewer</t>
  </si>
  <si>
    <t>Killiad</t>
  </si>
  <si>
    <t>Asheville, NC</t>
  </si>
  <si>
    <t>Eye of Autumn</t>
  </si>
  <si>
    <t>Kaleidoscope</t>
  </si>
  <si>
    <t>Fargo, ND</t>
  </si>
  <si>
    <t>Calamity Vessel</t>
  </si>
  <si>
    <t>Visions From the Peak of Dawn</t>
  </si>
  <si>
    <t>Façade</t>
  </si>
  <si>
    <t>Radiant</t>
  </si>
  <si>
    <t>Post-metal, Death Doom metal</t>
  </si>
  <si>
    <t>Dordrecht, Netherlands</t>
  </si>
  <si>
    <t>Aphonic Threnody</t>
  </si>
  <si>
    <t>A Silence Too Old</t>
  </si>
  <si>
    <t>Funeral Doom metal, Death Doom metal</t>
  </si>
  <si>
    <t>Helioscope</t>
  </si>
  <si>
    <t>Swansong</t>
  </si>
  <si>
    <t>Imipolex</t>
  </si>
  <si>
    <t>Acts of Vulgar Piety</t>
  </si>
  <si>
    <t>Psychedelic Death metal, Black metal</t>
  </si>
  <si>
    <t>Axis of Light</t>
  </si>
  <si>
    <t>To the Great Unbearing North</t>
  </si>
  <si>
    <t>Ghosts of the Sun</t>
  </si>
  <si>
    <t>Animist</t>
  </si>
  <si>
    <t>Eau Claire, WI</t>
  </si>
  <si>
    <t>Dimscûa</t>
  </si>
  <si>
    <t>Dust Eater</t>
  </si>
  <si>
    <t>Berkshire, UK</t>
  </si>
  <si>
    <t>Xiraleth</t>
  </si>
  <si>
    <t>Stellar Worship</t>
  </si>
  <si>
    <t>Avant-Garde Black metal, Cosmic Black metal</t>
  </si>
  <si>
    <t>Tesa</t>
  </si>
  <si>
    <t>Interval</t>
  </si>
  <si>
    <t>Rīga, Latvia</t>
  </si>
  <si>
    <t>Marsh Tea</t>
  </si>
  <si>
    <t>Disturbances In Movements</t>
  </si>
  <si>
    <t>Panacea</t>
  </si>
  <si>
    <t>Diagonal Path</t>
  </si>
  <si>
    <t>This Was an Ocean</t>
  </si>
  <si>
    <t>Giant's Knife</t>
  </si>
  <si>
    <t>At the End of All Things</t>
  </si>
  <si>
    <t>Stortregn</t>
  </si>
  <si>
    <t>One Eternal</t>
  </si>
  <si>
    <t>Battlesnake</t>
  </si>
  <si>
    <t>Dawn of the Exultants and the Hunt for the Shepherd</t>
  </si>
  <si>
    <t>Dahuz</t>
  </si>
  <si>
    <t>Cineres Mundi</t>
  </si>
  <si>
    <t>Aix En Provence, France</t>
  </si>
  <si>
    <t>Lera</t>
  </si>
  <si>
    <t>Rêverie</t>
  </si>
  <si>
    <t>Cagliari, Italy</t>
  </si>
  <si>
    <t>Remaining Warmth</t>
  </si>
  <si>
    <t>Before the Years</t>
  </si>
  <si>
    <t>Volkhov, Russia</t>
  </si>
  <si>
    <t>Valor</t>
  </si>
  <si>
    <t>Infinite Aura</t>
  </si>
  <si>
    <t>Edge of Sanity</t>
  </si>
  <si>
    <t>Crimson (Remix 2025)</t>
  </si>
  <si>
    <t>King Parrot</t>
  </si>
  <si>
    <t>A Young Person's Guide To</t>
  </si>
  <si>
    <t>Grindcore, Thrash metal</t>
  </si>
  <si>
    <t>Kaonashi</t>
  </si>
  <si>
    <t>I Want to Go Home</t>
  </si>
  <si>
    <t>Mathcore, Post-Hardcore</t>
  </si>
  <si>
    <t>Lacabra</t>
  </si>
  <si>
    <t>Putrescent</t>
  </si>
  <si>
    <t>Darkness Embraced</t>
  </si>
  <si>
    <t>For Your Health</t>
  </si>
  <si>
    <t>This Bitter Garden</t>
  </si>
  <si>
    <t>Screamo, Metalcore, Mathcore</t>
  </si>
  <si>
    <t>A-Z</t>
  </si>
  <si>
    <t>A2Z²</t>
  </si>
  <si>
    <t>Gruesome</t>
  </si>
  <si>
    <t>Silent Echoes</t>
  </si>
  <si>
    <t>Florida, FL</t>
  </si>
  <si>
    <t>Katatonia</t>
  </si>
  <si>
    <t>Nightmares as Extensions of the Waking State</t>
  </si>
  <si>
    <t>Volbeat</t>
  </si>
  <si>
    <t>God of Angels Trust</t>
  </si>
  <si>
    <t>Heavy metal, Rockabilly</t>
  </si>
  <si>
    <t>Autumn Nostalgie</t>
  </si>
  <si>
    <t>Slovakia</t>
  </si>
  <si>
    <t>Białywilk</t>
  </si>
  <si>
    <t>Wniebowstąpienie</t>
  </si>
  <si>
    <t>Orthodox</t>
  </si>
  <si>
    <t>A Door Left Open</t>
  </si>
  <si>
    <t>Gaahls Wyrd</t>
  </si>
  <si>
    <t>Braiding The Stories</t>
  </si>
  <si>
    <t>Phase Transition</t>
  </si>
  <si>
    <t>In Search of Being</t>
  </si>
  <si>
    <t>Austere</t>
  </si>
  <si>
    <t>The Stillness of Dissolution</t>
  </si>
  <si>
    <t>Atmospheric Black Metal</t>
  </si>
  <si>
    <t>Diabolisches Werk</t>
  </si>
  <si>
    <t>Against All Gods</t>
  </si>
  <si>
    <t>Kiel, Germany</t>
  </si>
  <si>
    <t>Dissonant Seepage</t>
  </si>
  <si>
    <t>Dystopian Putrescence</t>
  </si>
  <si>
    <t>Slam Death metal</t>
  </si>
  <si>
    <t>Rochester, NY</t>
  </si>
  <si>
    <t>Bear Mace</t>
  </si>
  <si>
    <t>Slaves Of The Wolf</t>
  </si>
  <si>
    <t>Lazer Throne</t>
  </si>
  <si>
    <t>Tomb of the Lunar Oracle</t>
  </si>
  <si>
    <t>Sin Deliverance</t>
  </si>
  <si>
    <t>Universe of Nightmares</t>
  </si>
  <si>
    <t>Symphonic Deathcore</t>
  </si>
  <si>
    <t>Turian</t>
  </si>
  <si>
    <t>Blood Quantum Blues</t>
  </si>
  <si>
    <t>Post-Hardcore, Metalcore, Crossover Thrash</t>
  </si>
  <si>
    <t>Thomas Carlsen's Transmission</t>
  </si>
  <si>
    <t>Clockwork Sky</t>
  </si>
  <si>
    <t>HolyRoller</t>
  </si>
  <si>
    <t>Rat King</t>
  </si>
  <si>
    <t>Winston Salem, NC</t>
  </si>
  <si>
    <t>Refusal</t>
  </si>
  <si>
    <t>Venomous Human Concept</t>
  </si>
  <si>
    <t>Dawn of Ashes</t>
  </si>
  <si>
    <t>Infecting The Scars</t>
  </si>
  <si>
    <t>Aganoor</t>
  </si>
  <si>
    <t>Doomerism</t>
  </si>
  <si>
    <t>Bury Me in the Desert</t>
  </si>
  <si>
    <t>Pilgrim</t>
  </si>
  <si>
    <t>Doom metal, Stoner metal, Sludge metal</t>
  </si>
  <si>
    <t>Warm</t>
  </si>
  <si>
    <t>Fastidium</t>
  </si>
  <si>
    <t>Experimental metal, Post-metal</t>
  </si>
  <si>
    <t>Cromlech</t>
  </si>
  <si>
    <t>Of Owls And Eels</t>
  </si>
  <si>
    <t>Obsidian Scapes</t>
  </si>
  <si>
    <t>Death Chants Echo From Aphotic Void</t>
  </si>
  <si>
    <t>Zwickau, Germany</t>
  </si>
  <si>
    <t>Darkenhöld</t>
  </si>
  <si>
    <t>Le Fléau du Rocher</t>
  </si>
  <si>
    <t>Nice, France</t>
  </si>
  <si>
    <t>Empeiria</t>
  </si>
  <si>
    <t>The Ascent: Szenen der Katharsis</t>
  </si>
  <si>
    <t>Owls</t>
  </si>
  <si>
    <t>Une Toile de Plus à Brûler</t>
  </si>
  <si>
    <t>Tours, France</t>
  </si>
  <si>
    <t>Inhale</t>
  </si>
  <si>
    <t>At The Bottom Of The Lake</t>
  </si>
  <si>
    <t>Tomsk, Russia</t>
  </si>
  <si>
    <t>Deathgoat</t>
  </si>
  <si>
    <t>Dragged Into Realms Below</t>
  </si>
  <si>
    <t>My Hair is a Rat's Nest</t>
  </si>
  <si>
    <t>A Life With No Caveats</t>
  </si>
  <si>
    <t>Alyvia</t>
  </si>
  <si>
    <t>Berried Alive</t>
  </si>
  <si>
    <t>WRATHBERRY</t>
  </si>
  <si>
    <t>Metalcore, Rap metal, Djent, Trap</t>
  </si>
  <si>
    <t>Wizzo</t>
  </si>
  <si>
    <t>Place of the Chosen Lords</t>
  </si>
  <si>
    <t>Alt-metal, Post-Grunge, Stoner rock</t>
  </si>
  <si>
    <t>Converge &amp; Coalesce</t>
  </si>
  <si>
    <t>Live at CBGBs</t>
  </si>
  <si>
    <t>Mathcore, Metalcore</t>
  </si>
  <si>
    <t>Selardi</t>
  </si>
  <si>
    <t>Prog-metal, Metalcore, Groove metal, Ethnic Folk</t>
  </si>
  <si>
    <t>Yerevan, Armenia</t>
  </si>
  <si>
    <t>Paleskin</t>
  </si>
  <si>
    <t>Euphoric End</t>
  </si>
  <si>
    <t>Our Earth Is A Tomb</t>
  </si>
  <si>
    <t>Flowers of Faith // Dregs of Black</t>
  </si>
  <si>
    <t>Bloodwood</t>
  </si>
  <si>
    <t>Dark Simulator</t>
  </si>
  <si>
    <t>Post-metal, Stoner rock, Psychedelic rock</t>
  </si>
  <si>
    <t>The Lotus Matter</t>
  </si>
  <si>
    <t>In Limbo Pt.1</t>
  </si>
  <si>
    <t>Sigh</t>
  </si>
  <si>
    <t>I Saw The World End (Hangman's Hymn MMXXV)</t>
  </si>
  <si>
    <t>Prog-metal, Symphonic Black metal, Thrash metal</t>
  </si>
  <si>
    <t>Bocc</t>
  </si>
  <si>
    <t>Obrint El Taüt</t>
  </si>
  <si>
    <t>Death metal, Death Doom metal</t>
  </si>
  <si>
    <t>Erebe</t>
  </si>
  <si>
    <t>Duolithe</t>
  </si>
  <si>
    <t>Lights of Vimana</t>
  </si>
  <si>
    <t>Neopolis</t>
  </si>
  <si>
    <t>Atmospheric Doom metal, Gothic metal</t>
  </si>
  <si>
    <t>Row of Ashes</t>
  </si>
  <si>
    <t>Tide Into Ruin</t>
  </si>
  <si>
    <t>Atmospheric Sludge metal, Post-Hardcore</t>
  </si>
  <si>
    <t>Dark Matter Secret</t>
  </si>
  <si>
    <t>New Matter</t>
  </si>
  <si>
    <t>Dolven</t>
  </si>
  <si>
    <t>In My Grave...Silence</t>
  </si>
  <si>
    <t>Acoustic Doom metal</t>
  </si>
  <si>
    <t>King Gizzard &amp; the Lizard Wizard</t>
  </si>
  <si>
    <t>Phantom Island</t>
  </si>
  <si>
    <t>Progressive Metal, Thrash Metal, Avant-Garde Metal</t>
  </si>
  <si>
    <t>Byzantine</t>
  </si>
  <si>
    <t>Harbingers</t>
  </si>
  <si>
    <t>Charleston, WV</t>
  </si>
  <si>
    <t>Avkrvst</t>
  </si>
  <si>
    <t>Waving at the Sky</t>
  </si>
  <si>
    <t>Afargang</t>
  </si>
  <si>
    <t>Andvake</t>
  </si>
  <si>
    <t>Hexvessel</t>
  </si>
  <si>
    <t>Black metal, Doom metal, Occult rock</t>
  </si>
  <si>
    <t>Agabas</t>
  </si>
  <si>
    <t>Hard Anger</t>
  </si>
  <si>
    <t>Prog-metal, Deathjazz</t>
  </si>
  <si>
    <t>Fallujah</t>
  </si>
  <si>
    <t>Xenotaph</t>
  </si>
  <si>
    <t>Technical Death Metal, Deathcore</t>
  </si>
  <si>
    <t>Goya</t>
  </si>
  <si>
    <t>In the Dawn of November</t>
  </si>
  <si>
    <t>Byonoisegenerator</t>
  </si>
  <si>
    <t>Subnormal Dives</t>
  </si>
  <si>
    <t>Mathgrind, Jazzgrind</t>
  </si>
  <si>
    <t>Nightbearer</t>
  </si>
  <si>
    <t>Defiance</t>
  </si>
  <si>
    <t>Phantomy</t>
  </si>
  <si>
    <t>From The Wild</t>
  </si>
  <si>
    <t>North Savo, Finland</t>
  </si>
  <si>
    <t>Sun After Dark</t>
  </si>
  <si>
    <t>Tatkraft</t>
  </si>
  <si>
    <t>Black metal, Folk metal</t>
  </si>
  <si>
    <t>Rosenheim, Germany</t>
  </si>
  <si>
    <t>Evadne</t>
  </si>
  <si>
    <t>The Fragile Light Of Fireflies</t>
  </si>
  <si>
    <t>Dark Folk</t>
  </si>
  <si>
    <t>Signeri</t>
  </si>
  <si>
    <t>Heavy metal, Death metal, Occult metal</t>
  </si>
  <si>
    <t>Dalarna, Sweden</t>
  </si>
  <si>
    <t>Outergods</t>
  </si>
  <si>
    <t>Dethroned &amp; Devoured</t>
  </si>
  <si>
    <t>Death metal, Black metal, Grindcore</t>
  </si>
  <si>
    <t>Nottingham, UK</t>
  </si>
  <si>
    <t>The Risen Dread</t>
  </si>
  <si>
    <t>Death From Above</t>
  </si>
  <si>
    <t>Groove metal, Death metal, Heavy metal</t>
  </si>
  <si>
    <t>Sargassus</t>
  </si>
  <si>
    <t>Vitruvian Rays</t>
  </si>
  <si>
    <t>Charontid</t>
  </si>
  <si>
    <t>Eumenides</t>
  </si>
  <si>
    <t>Ultrablut</t>
  </si>
  <si>
    <t>Tja</t>
  </si>
  <si>
    <t>Hardcore Punk, Noise rock, Black metal</t>
  </si>
  <si>
    <t>Skyborne Reveries</t>
  </si>
  <si>
    <t>Atmospheric Black metal, Melodic Black metal, Folk metal</t>
  </si>
  <si>
    <t>Memories of a Lost Soul</t>
  </si>
  <si>
    <t>Songs From The Restless Oblivion</t>
  </si>
  <si>
    <t>The Harrowing Path Between Loathing and Love</t>
  </si>
  <si>
    <t>Blind Watchmaker</t>
  </si>
  <si>
    <t>Shadows Over Elysium</t>
  </si>
  <si>
    <t>Brooklyn, MI</t>
  </si>
  <si>
    <t>Professor Emeritus</t>
  </si>
  <si>
    <t>A Land Long Gone</t>
  </si>
  <si>
    <t>The Biscuit Merchant</t>
  </si>
  <si>
    <t>Tempora</t>
  </si>
  <si>
    <t>Ann Arbor, MI</t>
  </si>
  <si>
    <t>Lipoma</t>
  </si>
  <si>
    <t>No Cure for the Sick</t>
  </si>
  <si>
    <t>Melodic Death metal, Goregrind</t>
  </si>
  <si>
    <t>Spectral Armour</t>
  </si>
  <si>
    <t>Phantasm</t>
  </si>
  <si>
    <t>Grindcore, Hardcore</t>
  </si>
  <si>
    <t>Execrari</t>
  </si>
  <si>
    <t>Desolation Manifest</t>
  </si>
  <si>
    <t>di nido jad - ◊untwan law¶ur dëhajt◊ejn - a∫ëtana lín bë</t>
  </si>
  <si>
    <t>Atmospheric Black metal, Skramz</t>
  </si>
  <si>
    <t>Entity Of Chaos</t>
  </si>
  <si>
    <t>Spectral Echoes</t>
  </si>
  <si>
    <t>Ars Moriendi</t>
  </si>
  <si>
    <t>Leur esprit marche dans les ténèbres</t>
  </si>
  <si>
    <t>Prog-metal, Atmospheric Black metal, Melodic Black metal</t>
  </si>
  <si>
    <t>Answer From Cygnus</t>
  </si>
  <si>
    <t>Des Cendres</t>
  </si>
  <si>
    <t>Atmospheric Black metal, Blackgaze</t>
  </si>
  <si>
    <t>Anathematise</t>
  </si>
  <si>
    <t>Corrosive Reflection</t>
  </si>
  <si>
    <t>Winterblind</t>
  </si>
  <si>
    <t>Ego</t>
  </si>
  <si>
    <t>Vinnum Sabbathi</t>
  </si>
  <si>
    <t>Intersatelital</t>
  </si>
  <si>
    <t>Vanishing Earth</t>
  </si>
  <si>
    <t>The Boundless</t>
  </si>
  <si>
    <t>Black metal, Post-rock, Neofolk</t>
  </si>
  <si>
    <t>Inception of Fall</t>
  </si>
  <si>
    <t>Ruin</t>
  </si>
  <si>
    <t>Zlin Region, Czechia</t>
  </si>
  <si>
    <t>Invalid Yellow</t>
  </si>
  <si>
    <t>Old Shuck</t>
  </si>
  <si>
    <t>York, UK</t>
  </si>
  <si>
    <t>A Colossal Hand</t>
  </si>
  <si>
    <t>The Last Good Days</t>
  </si>
  <si>
    <t>Greenville, SC</t>
  </si>
  <si>
    <t>Violent Bliss</t>
  </si>
  <si>
    <t>The Jnana Veils</t>
  </si>
  <si>
    <t>Lausanne, Switzerland</t>
  </si>
  <si>
    <t>Destroyer Destroyer</t>
  </si>
  <si>
    <t>Void</t>
  </si>
  <si>
    <t>Returning</t>
  </si>
  <si>
    <t>Numinous</t>
  </si>
  <si>
    <t>Witherer</t>
  </si>
  <si>
    <t>Shadow Without a Horizon</t>
  </si>
  <si>
    <t>Haggus</t>
  </si>
  <si>
    <t>Destination Extinction</t>
  </si>
  <si>
    <t>Grindcore, Goregrind, Mincecore</t>
  </si>
  <si>
    <t>Tenebrae In Perpetuum</t>
  </si>
  <si>
    <t>Vacuum Coeli</t>
  </si>
  <si>
    <t>Valdrin</t>
  </si>
  <si>
    <t>Apex Violator</t>
  </si>
  <si>
    <t>Black Majesty</t>
  </si>
  <si>
    <t>Oceans Of Black</t>
  </si>
  <si>
    <t>Helheim</t>
  </si>
  <si>
    <t>HrabnaR / Ad vesa</t>
  </si>
  <si>
    <t>Skjolden</t>
  </si>
  <si>
    <t>Insouciant Metaphysical Grandeur</t>
  </si>
  <si>
    <t>Varhara</t>
  </si>
  <si>
    <t>Первый вздох после (The First Breath After)</t>
  </si>
  <si>
    <t>Saint Petersburg, Russia</t>
  </si>
  <si>
    <t>Cocojoey</t>
  </si>
  <si>
    <t>Stars</t>
  </si>
  <si>
    <t>Cybergrind, Hyperpop, Bitprog</t>
  </si>
  <si>
    <t>Joliette</t>
  </si>
  <si>
    <t>Pérdidas Variables</t>
  </si>
  <si>
    <t>Mexico City, Mexico</t>
  </si>
  <si>
    <t>Patristic</t>
  </si>
  <si>
    <t>Catechesis</t>
  </si>
  <si>
    <t>Cryptopsy</t>
  </si>
  <si>
    <t>An Insatiable Violence</t>
  </si>
  <si>
    <t>Alestorm</t>
  </si>
  <si>
    <t>The Thunderfist Chronicles</t>
  </si>
  <si>
    <t>Malevolence</t>
  </si>
  <si>
    <t>Where Only The Truth Is Spoken</t>
  </si>
  <si>
    <t>Metalcore, Groove Metal</t>
  </si>
  <si>
    <t>Sheffield, UK</t>
  </si>
  <si>
    <t>Imha Tarikat</t>
  </si>
  <si>
    <t>Confessing Darkness</t>
  </si>
  <si>
    <t>Death Pill</t>
  </si>
  <si>
    <t>Sologamy</t>
  </si>
  <si>
    <t>Hardcore Punk, Thrash metal, Riot Grrrl</t>
  </si>
  <si>
    <t>Kyiv, Ukraine</t>
  </si>
  <si>
    <t>Helms Deep</t>
  </si>
  <si>
    <t>Chasing the Dragon</t>
  </si>
  <si>
    <t>US Power metal</t>
  </si>
  <si>
    <t>Mugshot</t>
  </si>
  <si>
    <t>All The Devils Are Here</t>
  </si>
  <si>
    <t>Metalcore, Beatdown Hardcore</t>
  </si>
  <si>
    <t>Cherrri</t>
  </si>
  <si>
    <t>Eye Teeth</t>
  </si>
  <si>
    <t>Cybergrind, Digital Hardcore</t>
  </si>
  <si>
    <t>Grand Rapids, MI</t>
  </si>
  <si>
    <t>Alkemia</t>
  </si>
  <si>
    <t>Depulsus</t>
  </si>
  <si>
    <t>Gylt</t>
  </si>
  <si>
    <t>I Will Commit A Holy Crime: Tandem</t>
  </si>
  <si>
    <t>Ravine</t>
  </si>
  <si>
    <t>Chaos and Catastrophes</t>
  </si>
  <si>
    <t>Sludge metal, Groove metal, Heavy Blues</t>
  </si>
  <si>
    <t>Maunah</t>
  </si>
  <si>
    <t>Heimaland</t>
  </si>
  <si>
    <t>Prog-metal, Doom metal</t>
  </si>
  <si>
    <t>Nuée Ardente</t>
  </si>
  <si>
    <t>Le Carillion des Eaux Sacrées</t>
  </si>
  <si>
    <t>Aetos</t>
  </si>
  <si>
    <t>Ancient Power</t>
  </si>
  <si>
    <t>Barren Altar</t>
  </si>
  <si>
    <t>Bound By Impermanence</t>
  </si>
  <si>
    <t>Alcyone</t>
  </si>
  <si>
    <t>Cult Of Kukulkan [2025 Remix/Remaster]</t>
  </si>
  <si>
    <t>Providence, RI</t>
  </si>
  <si>
    <t>Sempervirens</t>
  </si>
  <si>
    <t>Sword Ferns</t>
  </si>
  <si>
    <t>Upon Stone</t>
  </si>
  <si>
    <t>End Time Lightning</t>
  </si>
  <si>
    <t>Mantra</t>
  </si>
  <si>
    <t>Celestial</t>
  </si>
  <si>
    <t>Torizon</t>
  </si>
  <si>
    <t>Meliora</t>
  </si>
  <si>
    <t>Constant Torment</t>
  </si>
  <si>
    <t>Suspended in Desolate Permanence</t>
  </si>
  <si>
    <t>Cape Girardeau, MO</t>
  </si>
  <si>
    <t>Ophelion</t>
  </si>
  <si>
    <t>The Jaunt</t>
  </si>
  <si>
    <t>Deciduous Forest</t>
  </si>
  <si>
    <t>Fields of Yore</t>
  </si>
  <si>
    <t>Isiliel</t>
  </si>
  <si>
    <t>Moonbow Rebellion</t>
  </si>
  <si>
    <t>Venus</t>
  </si>
  <si>
    <t>Uploaded Brains</t>
  </si>
  <si>
    <t>Palsied</t>
  </si>
  <si>
    <t>Legendary Hatreds</t>
  </si>
  <si>
    <t>Dymna Lotva</t>
  </si>
  <si>
    <t>Live At Dark Easter Metal Meeting 2025</t>
  </si>
  <si>
    <t>Doom metal, Gothic metal, Black metal</t>
  </si>
  <si>
    <t>Belarus</t>
  </si>
  <si>
    <t>Analtopsy</t>
  </si>
  <si>
    <t>Intense Digestive Release</t>
  </si>
  <si>
    <t>Uboa</t>
  </si>
  <si>
    <t>All the Dead Melt Down as Rain</t>
  </si>
  <si>
    <t>Dark Ambient, Death Industrial</t>
  </si>
  <si>
    <t>Angel of Damnation</t>
  </si>
  <si>
    <t>Ethereal Blasphemy</t>
  </si>
  <si>
    <t>Morbyda</t>
  </si>
  <si>
    <t>Under the Spell</t>
  </si>
  <si>
    <t>Skräcken</t>
  </si>
  <si>
    <t>Echoes from the Void</t>
  </si>
  <si>
    <t>Lucille</t>
  </si>
  <si>
    <t>Dawn of Destruction</t>
  </si>
  <si>
    <t>Arch Echo</t>
  </si>
  <si>
    <t>3X3: Catalyst</t>
  </si>
  <si>
    <t>Nefas</t>
  </si>
  <si>
    <t>Oblation ov Obliteration</t>
  </si>
  <si>
    <t>Technical Death metal, Deathgrind</t>
  </si>
  <si>
    <t>Breaths</t>
  </si>
  <si>
    <t>Death Can Wait</t>
  </si>
  <si>
    <t>Post-metal, Doomgaze, Post-Hardcore</t>
  </si>
  <si>
    <t>Fer de Lance</t>
  </si>
  <si>
    <t>Fires on the Mountainside</t>
  </si>
  <si>
    <t>Epic Heavy metal, Doom metal</t>
  </si>
  <si>
    <t>Mizmor</t>
  </si>
  <si>
    <t>Mnemonic: Ambient Mosaic</t>
  </si>
  <si>
    <t>Drone metal, Ambient</t>
  </si>
  <si>
    <t>Noise Trail Immersion</t>
  </si>
  <si>
    <t>Tutta La Morte In Un Solo Punto</t>
  </si>
  <si>
    <t>Prog-metal, Dissonant Black metal, Post-metal</t>
  </si>
  <si>
    <t>Thanatorean</t>
  </si>
  <si>
    <t>Ekstasis Of Subterranean Currents</t>
  </si>
  <si>
    <t>Shadow of Intent</t>
  </si>
  <si>
    <t>Imperium Delirium</t>
  </si>
  <si>
    <t>Grace Hayhurst</t>
  </si>
  <si>
    <t>The World is Dying</t>
  </si>
  <si>
    <t>Botch</t>
  </si>
  <si>
    <t>061524 (Live)</t>
  </si>
  <si>
    <t>Tacoma, WA</t>
  </si>
  <si>
    <t>Upon A Fields Whisper</t>
  </si>
  <si>
    <t>Rejuvenation</t>
  </si>
  <si>
    <t>Atmospheric Black metal, Crust Punk</t>
  </si>
  <si>
    <t>Stephen O’Malley</t>
  </si>
  <si>
    <t>But Remember What You Have Had</t>
  </si>
  <si>
    <t>Deadguy</t>
  </si>
  <si>
    <t>Near-Death Travel Services</t>
  </si>
  <si>
    <t>Putridity</t>
  </si>
  <si>
    <t>Morbid Ataraxia</t>
  </si>
  <si>
    <t>Domkraft</t>
  </si>
  <si>
    <t>Stoner metal, Sludge metal, Heavy Psych</t>
  </si>
  <si>
    <t>Sodom</t>
  </si>
  <si>
    <t>The Arsonist</t>
  </si>
  <si>
    <t>Heaven Shall Burn</t>
  </si>
  <si>
    <t>Heimat</t>
  </si>
  <si>
    <t>Melodic Death metal, Metalcore</t>
  </si>
  <si>
    <t>All Men Unto Me</t>
  </si>
  <si>
    <t>Experimental metal, Avant-Garde, Noise rock</t>
  </si>
  <si>
    <t>Ready for Death</t>
  </si>
  <si>
    <t>Pay With Your Face</t>
  </si>
  <si>
    <t>Serpent Corpse</t>
  </si>
  <si>
    <t>Retaliate</t>
  </si>
  <si>
    <t>Inhuman Condition</t>
  </si>
  <si>
    <t>Mind Trap</t>
  </si>
  <si>
    <t>Anfauglir</t>
  </si>
  <si>
    <t>Akallabêth</t>
  </si>
  <si>
    <t>Montana, MT</t>
  </si>
  <si>
    <t>Lord Belial</t>
  </si>
  <si>
    <t>Unholy Trinity</t>
  </si>
  <si>
    <t>Indemon</t>
  </si>
  <si>
    <t>Reclaiming Chaos</t>
  </si>
  <si>
    <t>Spider Kitten</t>
  </si>
  <si>
    <t>The Truth Is Caustic To Love</t>
  </si>
  <si>
    <t>Pig Pen</t>
  </si>
  <si>
    <t>Mental Madness</t>
  </si>
  <si>
    <t>King Witch</t>
  </si>
  <si>
    <t>Nihtdraca</t>
  </si>
  <si>
    <t>Vampyric Black metal</t>
  </si>
  <si>
    <t>The Bleak Picture</t>
  </si>
  <si>
    <t>Shades Of Life</t>
  </si>
  <si>
    <t>Drawn and Quartered</t>
  </si>
  <si>
    <t>Lord of Two Horns</t>
  </si>
  <si>
    <t>King</t>
  </si>
  <si>
    <t>K</t>
  </si>
  <si>
    <t>Medellín, Colombia</t>
  </si>
  <si>
    <t>Goat Shaman</t>
  </si>
  <si>
    <t>Monkey Palace</t>
  </si>
  <si>
    <t>Rue</t>
  </si>
  <si>
    <t>Sprig of Rue</t>
  </si>
  <si>
    <t>Screamo, Emoviolence, Grindcore</t>
  </si>
  <si>
    <t>Dirty Pagans</t>
  </si>
  <si>
    <t>Forever High</t>
  </si>
  <si>
    <t>Heavy metal, Doom metal, Stoner metal</t>
  </si>
  <si>
    <t>Wanted</t>
  </si>
  <si>
    <t>Cutting Edge</t>
  </si>
  <si>
    <t>Oxford Charter, MI</t>
  </si>
  <si>
    <t>King Potenaz</t>
  </si>
  <si>
    <t>Arcane Desert Rituals Vol.1</t>
  </si>
  <si>
    <t>Fasano, Italy</t>
  </si>
  <si>
    <t>Amphis</t>
  </si>
  <si>
    <t>Moira</t>
  </si>
  <si>
    <t>Turnhout, Belgium</t>
  </si>
  <si>
    <t>Blighted Elder</t>
  </si>
  <si>
    <t>Upon Merciless Flame</t>
  </si>
  <si>
    <t>Beyond Mortal Dreams</t>
  </si>
  <si>
    <t>Devastation Hymns</t>
  </si>
  <si>
    <t>Ritual of Descent</t>
  </si>
  <si>
    <t>Ephemerality</t>
  </si>
  <si>
    <t>The Lucidia Project</t>
  </si>
  <si>
    <t>The Twilight Affliction</t>
  </si>
  <si>
    <t>Symphonic metal, Alt-metal, Doom metal</t>
  </si>
  <si>
    <t>Ylva de Lune</t>
  </si>
  <si>
    <t>Väylä</t>
  </si>
  <si>
    <t>Pinttyneet kuvat</t>
  </si>
  <si>
    <t>lact’eben</t>
  </si>
  <si>
    <t>Seren</t>
  </si>
  <si>
    <t>Moonlight Cathedral</t>
  </si>
  <si>
    <t>Gloomlurker</t>
  </si>
  <si>
    <t>Terror Absolute</t>
  </si>
  <si>
    <t>Nick Llerandi</t>
  </si>
  <si>
    <t>Zero Stars. Would Not Recommend.</t>
  </si>
  <si>
    <t>Vaarcloc</t>
  </si>
  <si>
    <t>Contururi</t>
  </si>
  <si>
    <t>Timișoara, Romania</t>
  </si>
  <si>
    <t>Lyuaoien</t>
  </si>
  <si>
    <t>No Sanctuary</t>
  </si>
  <si>
    <t>Experimental Black metal, Avant-Garde Black metal</t>
  </si>
  <si>
    <t>Lvmen</t>
  </si>
  <si>
    <t>Amen</t>
  </si>
  <si>
    <t>Vulning</t>
  </si>
  <si>
    <t>The Wound</t>
  </si>
  <si>
    <t>Weald &amp; Woe</t>
  </si>
  <si>
    <t>Far From the Light of Heaven</t>
  </si>
  <si>
    <t>Warkings</t>
  </si>
  <si>
    <t>Armageddon</t>
  </si>
  <si>
    <t>Pieria, Greece</t>
  </si>
  <si>
    <t>Thumos</t>
  </si>
  <si>
    <t>The Trial of Socrates</t>
  </si>
  <si>
    <t>Prog-metal, Doom metal, Post-metal</t>
  </si>
  <si>
    <t>Stygian</t>
  </si>
  <si>
    <t>Dreadlands</t>
  </si>
  <si>
    <t>Ravenna, Italy</t>
  </si>
  <si>
    <t>Leonov</t>
  </si>
  <si>
    <t>Shape of Ash</t>
  </si>
  <si>
    <t>Erebor</t>
  </si>
  <si>
    <t>Infinitus Somnium</t>
  </si>
  <si>
    <t>Durham, UK</t>
  </si>
  <si>
    <t>SkullDozer</t>
  </si>
  <si>
    <t>High Tide</t>
  </si>
  <si>
    <t>Seasons In Black</t>
  </si>
  <si>
    <t>Anthropocene</t>
  </si>
  <si>
    <t>Melodic Death metal, Doom metal, Hardcore</t>
  </si>
  <si>
    <t>Cham, Germany</t>
  </si>
  <si>
    <t>Eminentia Tenebris</t>
  </si>
  <si>
    <t>Whispers of the Undying</t>
  </si>
  <si>
    <t>Le Mans, France</t>
  </si>
  <si>
    <t>Mortual</t>
  </si>
  <si>
    <t>Altar of Brutality</t>
  </si>
  <si>
    <t>Akouphenom</t>
  </si>
  <si>
    <t>Connections To The Erebus</t>
  </si>
  <si>
    <t>Syncopia</t>
  </si>
  <si>
    <t>Phase 2</t>
  </si>
  <si>
    <t>Burden of Ymir</t>
  </si>
  <si>
    <t>The Long Winter</t>
  </si>
  <si>
    <t>Pagan Black metal, Folk metal, Viking metal</t>
  </si>
  <si>
    <t>Grieven</t>
  </si>
  <si>
    <t>American Flesh</t>
  </si>
  <si>
    <t>Post-Hardcore, Hardcore Punk</t>
  </si>
  <si>
    <t>Drifting in the Moonlight. It Became Even Louder than Before</t>
  </si>
  <si>
    <t>We Won't Say A Word Until Tomorrow</t>
  </si>
  <si>
    <t>Fantastic Flying Foelschs</t>
  </si>
  <si>
    <t>Alone</t>
  </si>
  <si>
    <t>Shelton, WA</t>
  </si>
  <si>
    <t>Omegalith</t>
  </si>
  <si>
    <t>Moneymaker</t>
  </si>
  <si>
    <t>Experimental metal, Cyberpunk, Thrash metal</t>
  </si>
  <si>
    <t>Sungoose</t>
  </si>
  <si>
    <t>Reach Out</t>
  </si>
  <si>
    <t>ΔYNAMIS</t>
  </si>
  <si>
    <t>Byzantine Metal</t>
  </si>
  <si>
    <t>Epic metal, Heavy metal, Symphonic metal</t>
  </si>
  <si>
    <t>Three Towerrs</t>
  </si>
  <si>
    <t>Ties That Bind</t>
  </si>
  <si>
    <t>Endrøm</t>
  </si>
  <si>
    <t>The Last Swordsman</t>
  </si>
  <si>
    <t>Melodic Black metal, Neocrust</t>
  </si>
  <si>
    <t>Kediri, Indonesia</t>
  </si>
  <si>
    <t>Void Emperor</t>
  </si>
  <si>
    <t>Marauders</t>
  </si>
  <si>
    <t>Nuvolascura</t>
  </si>
  <si>
    <t>How This All Ends</t>
  </si>
  <si>
    <t>Screamo, Emoviolence, Mathcore</t>
  </si>
  <si>
    <t>The Grand Myth</t>
  </si>
  <si>
    <t>The Devils of Vulture Valley</t>
  </si>
  <si>
    <t>Sadness / Abriction</t>
  </si>
  <si>
    <t>That Lasts Forever</t>
  </si>
  <si>
    <t>Blackgaze, Screamo, Post-rock</t>
  </si>
  <si>
    <t>Twin Pyramid</t>
  </si>
  <si>
    <t>All by Design</t>
  </si>
  <si>
    <t>Monochromatic Black</t>
  </si>
  <si>
    <t>Vehemence</t>
  </si>
  <si>
    <t>Mar</t>
  </si>
  <si>
    <t>Ruin is Rebirth</t>
  </si>
  <si>
    <t>Ahles</t>
  </si>
  <si>
    <t>Between Dreams and the Waking World</t>
  </si>
  <si>
    <t>Thrailkill</t>
  </si>
  <si>
    <t>Slowly, Then All at Once</t>
  </si>
  <si>
    <t>Eternal Idol</t>
  </si>
  <si>
    <t>Behind a Vision</t>
  </si>
  <si>
    <t>Glacier</t>
  </si>
  <si>
    <t>More Distant/More Violent</t>
  </si>
  <si>
    <t>Viogression</t>
  </si>
  <si>
    <t>Thaumaturgic Veil</t>
  </si>
  <si>
    <t>Calva Louise</t>
  </si>
  <si>
    <t>Edge of the Abyss</t>
  </si>
  <si>
    <t>Alt-metal, Metalcore, Electronic</t>
  </si>
  <si>
    <t>In the Company of Serpents</t>
  </si>
  <si>
    <t>A Crack in Everything</t>
  </si>
  <si>
    <t>Born of Osiris</t>
  </si>
  <si>
    <t>Through Shadows</t>
  </si>
  <si>
    <t>Metalcore, Djent</t>
  </si>
  <si>
    <t>Impureza</t>
  </si>
  <si>
    <t>Alcázares</t>
  </si>
  <si>
    <t>Philosophobia</t>
  </si>
  <si>
    <t>The Constant Void</t>
  </si>
  <si>
    <t>Hell</t>
  </si>
  <si>
    <t>Submersus</t>
  </si>
  <si>
    <t>Imperial Crystalline Entombment</t>
  </si>
  <si>
    <t>Abominable Astral Summoning</t>
  </si>
  <si>
    <t>Waldorf, MD</t>
  </si>
  <si>
    <t>Sheev</t>
  </si>
  <si>
    <t>Ate's Alchemist</t>
  </si>
  <si>
    <t>Floating</t>
  </si>
  <si>
    <t>Hesitating Lights</t>
  </si>
  <si>
    <t>Prog-metal, Death metal, Post-Punk</t>
  </si>
  <si>
    <t>Split Chain</t>
  </si>
  <si>
    <t>Motionblur</t>
  </si>
  <si>
    <t>Alt-metal, Nu-metal, Shoegaze</t>
  </si>
  <si>
    <t>Ianthin</t>
  </si>
  <si>
    <t>Pinacles Austères</t>
  </si>
  <si>
    <t>Disembodiment</t>
  </si>
  <si>
    <t>Spiral Crypts</t>
  </si>
  <si>
    <t>Sherbrooke, Canada</t>
  </si>
  <si>
    <t>Starlit Pyre</t>
  </si>
  <si>
    <t>Veins of Sulfur</t>
  </si>
  <si>
    <t>Décryptal</t>
  </si>
  <si>
    <t>Simulacre</t>
  </si>
  <si>
    <t>Elder Caius</t>
  </si>
  <si>
    <t>Prog-metal, Alt-metal, Heavy Psych</t>
  </si>
  <si>
    <t>St. John'S, Canada</t>
  </si>
  <si>
    <t>Cronos Compulsion</t>
  </si>
  <si>
    <t>Lawgiver</t>
  </si>
  <si>
    <t>To Escape</t>
  </si>
  <si>
    <t>I Wish to Escape</t>
  </si>
  <si>
    <t>Post-Black metal, Son Cubano, Latin</t>
  </si>
  <si>
    <t>Valdivia, Chile</t>
  </si>
  <si>
    <t>Embers Of Ouroboros</t>
  </si>
  <si>
    <t>The Autumnal Decline And Hermetic Maturation</t>
  </si>
  <si>
    <t>Westminster, MD</t>
  </si>
  <si>
    <t>RYS</t>
  </si>
  <si>
    <t>Into the Abyss (Hollow Knight: A Metal Reimagining)</t>
  </si>
  <si>
    <t>Grotesquerie</t>
  </si>
  <si>
    <t>Uninhabited Plane</t>
  </si>
  <si>
    <t>Misery Whip</t>
  </si>
  <si>
    <t>The Right To Live In Peace</t>
  </si>
  <si>
    <t>Dirge</t>
  </si>
  <si>
    <t>Live at Antisocial, Mumbai</t>
  </si>
  <si>
    <t>Downward</t>
  </si>
  <si>
    <t>To Lurk As Fever</t>
  </si>
  <si>
    <t>StarForce</t>
  </si>
  <si>
    <t>Beyond The Eternal Night</t>
  </si>
  <si>
    <t>Divergence</t>
  </si>
  <si>
    <t>In Cycled Aeons</t>
  </si>
  <si>
    <t>Celestial Wizard</t>
  </si>
  <si>
    <t>Regenesis</t>
  </si>
  <si>
    <t>Melodic Death metal, Power metal, Thrash metal</t>
  </si>
  <si>
    <t>Lap</t>
  </si>
  <si>
    <t>In Darkness… Have Mercy</t>
  </si>
  <si>
    <t>Doom metal, Stoner metal</t>
  </si>
  <si>
    <t>Mouth Of Madness</t>
  </si>
  <si>
    <t>Event Horizon</t>
  </si>
  <si>
    <t>Death metal, Black metal, Thrash metal</t>
  </si>
  <si>
    <t>Porcupine</t>
  </si>
  <si>
    <t>Under the Altar</t>
  </si>
  <si>
    <t>Darko</t>
  </si>
  <si>
    <t>Canvas</t>
  </si>
  <si>
    <t>Melodic Hardcore, Metalcore, Technical Punk</t>
  </si>
  <si>
    <t>Surrey, UK</t>
  </si>
  <si>
    <t>Baby on a Rampage</t>
  </si>
  <si>
    <t>Fall With Disgrace</t>
  </si>
  <si>
    <t>Technical Death metal, Metalcore</t>
  </si>
  <si>
    <t>Slaughter to Prevail</t>
  </si>
  <si>
    <t>Grizzly</t>
  </si>
  <si>
    <t>Deathcore, Nu-metal</t>
  </si>
  <si>
    <t>Cell</t>
  </si>
  <si>
    <t>I Will Not Be Found Here After</t>
  </si>
  <si>
    <t>Effuse</t>
  </si>
  <si>
    <t>On Others</t>
  </si>
  <si>
    <t>Dephosphorus</t>
  </si>
  <si>
    <t>Planetoktonos</t>
  </si>
  <si>
    <t>Daron Malakian and Scars on Broadway</t>
  </si>
  <si>
    <t>Addicted to the Violence</t>
  </si>
  <si>
    <t>Blind Equation</t>
  </si>
  <si>
    <t>A Funeral In Purgatory</t>
  </si>
  <si>
    <t>Cybergrind, Metalcore, Chiptune</t>
  </si>
  <si>
    <t>Scardust</t>
  </si>
  <si>
    <t>Souls</t>
  </si>
  <si>
    <t>Israel</t>
  </si>
  <si>
    <t>Mawiza</t>
  </si>
  <si>
    <t>ÜL</t>
  </si>
  <si>
    <t>Groove metal</t>
  </si>
  <si>
    <t>Abigail Williams</t>
  </si>
  <si>
    <t>A Void Within Existence</t>
  </si>
  <si>
    <t>Ba'al</t>
  </si>
  <si>
    <t>The Fine Line Between Heaven and Here</t>
  </si>
  <si>
    <t>Atmospheric Sludge metal, Post-metal, Black metal</t>
  </si>
  <si>
    <t>Re-Buried</t>
  </si>
  <si>
    <t>Flesh Mourning</t>
  </si>
  <si>
    <t>Drought</t>
  </si>
  <si>
    <t>Souvenir</t>
  </si>
  <si>
    <t>Margarita Witch Cult</t>
  </si>
  <si>
    <t>Strung Out In Hell</t>
  </si>
  <si>
    <t>Doom metal, Stoner metal, Hard rock</t>
  </si>
  <si>
    <t>Stomach</t>
  </si>
  <si>
    <t>Low Demon</t>
  </si>
  <si>
    <t>Geneva, IL</t>
  </si>
  <si>
    <t>Recorruptor</t>
  </si>
  <si>
    <t>Sorrow Will Drown Us All</t>
  </si>
  <si>
    <t>Entrails</t>
  </si>
  <si>
    <t>Grip Of Ancient Evil</t>
  </si>
  <si>
    <t>The Long Hunt</t>
  </si>
  <si>
    <t>Natural Order</t>
  </si>
  <si>
    <t>Doom metal, Psychedelic rock, Drone</t>
  </si>
  <si>
    <t>Filth</t>
  </si>
  <si>
    <t>Time to Rot</t>
  </si>
  <si>
    <t>Warchief</t>
  </si>
  <si>
    <t>Toil &amp; Trouble</t>
  </si>
  <si>
    <t>Clairvoyance</t>
  </si>
  <si>
    <t>Chasm of Immurement</t>
  </si>
  <si>
    <t>Eternal Darkness</t>
  </si>
  <si>
    <t>Oskoreien</t>
  </si>
  <si>
    <t>Hollow Fangs</t>
  </si>
  <si>
    <t>Erode</t>
  </si>
  <si>
    <t>Devout</t>
  </si>
  <si>
    <t>Hypomanic Daydream</t>
  </si>
  <si>
    <t>The Yearning</t>
  </si>
  <si>
    <t>Lunatic</t>
  </si>
  <si>
    <t>Eaten Alive</t>
  </si>
  <si>
    <t>All Is Violent</t>
  </si>
  <si>
    <t>Monolith Of Becoming</t>
  </si>
  <si>
    <t>Anthill</t>
  </si>
  <si>
    <t>Volume III (Climbing the Bone Mountain)</t>
  </si>
  <si>
    <t>Moscow, Russia</t>
  </si>
  <si>
    <t>Afterus</t>
  </si>
  <si>
    <t>Offerings</t>
  </si>
  <si>
    <t>Capture Orbit</t>
  </si>
  <si>
    <t>Mission Log: GAIA</t>
  </si>
  <si>
    <t>San Marcos, TX</t>
  </si>
  <si>
    <t>Gorthon</t>
  </si>
  <si>
    <t>A Barren Emptiness</t>
  </si>
  <si>
    <t>Slowcut</t>
  </si>
  <si>
    <t>Flesh</t>
  </si>
  <si>
    <t>Sepulchre</t>
  </si>
  <si>
    <t>Psalms Unto Caesar</t>
  </si>
  <si>
    <t>Tennessee, TN</t>
  </si>
  <si>
    <t>Ríona's Path</t>
  </si>
  <si>
    <t>Book I: A Raven Never Bites the Eye of Another</t>
  </si>
  <si>
    <t>Telesis</t>
  </si>
  <si>
    <t>Divide</t>
  </si>
  <si>
    <t>Beannachd Leibh</t>
  </si>
  <si>
    <t>Walking in His Works</t>
  </si>
  <si>
    <t>Demonsmoke</t>
  </si>
  <si>
    <t>Resin Wrought</t>
  </si>
  <si>
    <t>Antioch, CA</t>
  </si>
  <si>
    <t>Gloombound</t>
  </si>
  <si>
    <t>Dreaming Delusion</t>
  </si>
  <si>
    <t>Red Brick</t>
  </si>
  <si>
    <t>Thrown</t>
  </si>
  <si>
    <t>Sludge metal, Death metal, Grindcore</t>
  </si>
  <si>
    <t>Boneflower</t>
  </si>
  <si>
    <t>Reveries</t>
  </si>
  <si>
    <t>Psycho-Frame</t>
  </si>
  <si>
    <t>Salvation Laughs In The Face Of A Grieving Mother</t>
  </si>
  <si>
    <t>Florida, MO</t>
  </si>
  <si>
    <t>Cryptodira</t>
  </si>
  <si>
    <t>Genesis Of Error</t>
  </si>
  <si>
    <t>Mount Sinai, NY</t>
  </si>
  <si>
    <t>Grayceon</t>
  </si>
  <si>
    <t>Then The Darkness</t>
  </si>
  <si>
    <t>Azure Emote</t>
  </si>
  <si>
    <t>Cryptic Aura</t>
  </si>
  <si>
    <t>Avant-Garde metal, Death metal</t>
  </si>
  <si>
    <t>Hemelbestormer</t>
  </si>
  <si>
    <t>The Radiant Veil</t>
  </si>
  <si>
    <t>Haxprocess</t>
  </si>
  <si>
    <t>Beyond What Eyes Can See</t>
  </si>
  <si>
    <t>Jacksonville, FL</t>
  </si>
  <si>
    <t>Jordfäst</t>
  </si>
  <si>
    <t>Blodsdåd Och Hor</t>
  </si>
  <si>
    <t>Goblinsmoker</t>
  </si>
  <si>
    <t>The King's Eternal Throne</t>
  </si>
  <si>
    <t>Temptress</t>
  </si>
  <si>
    <t>Catch the Endless Dawn</t>
  </si>
  <si>
    <t>Sicilia, Italy</t>
  </si>
  <si>
    <t>Tèlma</t>
  </si>
  <si>
    <t>Man-Eater</t>
  </si>
  <si>
    <t>Iron Spell</t>
  </si>
  <si>
    <t>From the Grave</t>
  </si>
  <si>
    <t>Dehuman Reign</t>
  </si>
  <si>
    <t>Dawn Of A Malefic Dominion</t>
  </si>
  <si>
    <t>Shadecrown</t>
  </si>
  <si>
    <t>Viitasaari, Finland</t>
  </si>
  <si>
    <t>Black Magnet</t>
  </si>
  <si>
    <t>Megamantra</t>
  </si>
  <si>
    <t>Industrial metal, Hardcore</t>
  </si>
  <si>
    <t>Atomic Witch</t>
  </si>
  <si>
    <t>Death Etiquette</t>
  </si>
  <si>
    <t>Hymnen an die Nacht</t>
  </si>
  <si>
    <t>Bloodletter</t>
  </si>
  <si>
    <t>Leave the Light Behind</t>
  </si>
  <si>
    <t>False Gods</t>
  </si>
  <si>
    <t>Lost in Darkness and Distance</t>
  </si>
  <si>
    <t>Sludge metal, Doom metal, Hardcore</t>
  </si>
  <si>
    <t>Arkhaaik</t>
  </si>
  <si>
    <t>Uihtis</t>
  </si>
  <si>
    <t>Black metal, Death metal, Ritual Ambient</t>
  </si>
  <si>
    <t>Kontusion</t>
  </si>
  <si>
    <t>Insatiable Lust For Death</t>
  </si>
  <si>
    <t>Cordyceps</t>
  </si>
  <si>
    <t>Hell Inside</t>
  </si>
  <si>
    <t>Deliquesce</t>
  </si>
  <si>
    <t>Saviour / Enslaver</t>
  </si>
  <si>
    <t>Scalp</t>
  </si>
  <si>
    <t>Not Worthy of Human Compassion</t>
  </si>
  <si>
    <t>Grindcore, Metalcore</t>
  </si>
  <si>
    <t>16volt</t>
  </si>
  <si>
    <t>More of Less</t>
  </si>
  <si>
    <t>Alt-metal, Industrial metal</t>
  </si>
  <si>
    <t>Marasme</t>
  </si>
  <si>
    <t>Fel</t>
  </si>
  <si>
    <t>Abyssery</t>
  </si>
  <si>
    <t>Interminable End</t>
  </si>
  <si>
    <t>Malformed</t>
  </si>
  <si>
    <t>Confinement of Flesh</t>
  </si>
  <si>
    <t>Sad Serenity</t>
  </si>
  <si>
    <t>Tiny Miracles</t>
  </si>
  <si>
    <t>What We Owe The Dead</t>
  </si>
  <si>
    <t>Rituals of the Collapse</t>
  </si>
  <si>
    <t>Prog-metal, Doom metal, Stoner metal</t>
  </si>
  <si>
    <t>Droid</t>
  </si>
  <si>
    <t>Eroded Forms</t>
  </si>
  <si>
    <t>Rhizaria</t>
  </si>
  <si>
    <t>Indulgences</t>
  </si>
  <si>
    <t>Prog-metal, Black metal, Death metal</t>
  </si>
  <si>
    <t>Orpheus Blade</t>
  </si>
  <si>
    <t>Obsessed in Red</t>
  </si>
  <si>
    <t>Ben's Raincoat</t>
  </si>
  <si>
    <t>Radiant Cliffs</t>
  </si>
  <si>
    <t>Omaha, NE</t>
  </si>
  <si>
    <t>Begho</t>
  </si>
  <si>
    <t>I</t>
  </si>
  <si>
    <t>My Purest Heart For You</t>
  </si>
  <si>
    <t>Australopithecus</t>
  </si>
  <si>
    <t>Deathcurve</t>
  </si>
  <si>
    <t>A Wallflower in the Corner</t>
  </si>
  <si>
    <t>Post-metal, Slowcore</t>
  </si>
  <si>
    <t>Vertebra</t>
  </si>
  <si>
    <t>The Same</t>
  </si>
  <si>
    <t>Sír</t>
  </si>
  <si>
    <t>Unreachable Mountain</t>
  </si>
  <si>
    <t>Live at Reggies</t>
  </si>
  <si>
    <t>Arcane Sanctuary</t>
  </si>
  <si>
    <t>The Traveler's Diary</t>
  </si>
  <si>
    <t>Rosario, Argentina</t>
  </si>
  <si>
    <t>Dozer</t>
  </si>
  <si>
    <t>Rewind to Return: Rarities, Singles and B-Sides</t>
  </si>
  <si>
    <t>Borlänge, Sweden</t>
  </si>
  <si>
    <t>Sallow Moth</t>
  </si>
  <si>
    <t>Mossbane Lantern</t>
  </si>
  <si>
    <t>Amphisbaena</t>
  </si>
  <si>
    <t>Rift</t>
  </si>
  <si>
    <t>Alberta, Canada</t>
  </si>
  <si>
    <t>Majestas</t>
  </si>
  <si>
    <t>Creatvre</t>
  </si>
  <si>
    <t>Toujours Humain</t>
  </si>
  <si>
    <t>Car Bomb</t>
  </si>
  <si>
    <t>Tiles Whisper Dreams</t>
  </si>
  <si>
    <t>Mathcore, Djent</t>
  </si>
  <si>
    <t>To the Grave</t>
  </si>
  <si>
    <t>Still</t>
  </si>
  <si>
    <t>The Armed</t>
  </si>
  <si>
    <t>The Future Is Here and Everything Needs to Be Destroyed</t>
  </si>
  <si>
    <t>Post-Hardcore, Mathcore, Noise rock</t>
  </si>
  <si>
    <t>Centuries of Decay</t>
  </si>
  <si>
    <t>A Monument to Oblivion</t>
  </si>
  <si>
    <t>Kayo Dot</t>
  </si>
  <si>
    <t>Every Rock, Every Half-Truth Under Reason</t>
  </si>
  <si>
    <t>Avant-Garde metal, Post-metal, Experimental rock</t>
  </si>
  <si>
    <t>Middlefield, CT</t>
  </si>
  <si>
    <t>Moths</t>
  </si>
  <si>
    <t>Septem</t>
  </si>
  <si>
    <t>Prog-metal, Stoner metal, Extreme metal</t>
  </si>
  <si>
    <t>San Juan, Puerto Rico</t>
  </si>
  <si>
    <t>Knosis</t>
  </si>
  <si>
    <t>GENKNOSIS</t>
  </si>
  <si>
    <t>Metalcore, Alternative Metal</t>
  </si>
  <si>
    <t>Justice For The Damned</t>
  </si>
  <si>
    <t>Stay Relentless</t>
  </si>
  <si>
    <t>Hard Chiller</t>
  </si>
  <si>
    <t>BABY!</t>
  </si>
  <si>
    <t>Hedonist</t>
  </si>
  <si>
    <t>Scapulimancy</t>
  </si>
  <si>
    <t>Fox Lake</t>
  </si>
  <si>
    <t>New World Heat</t>
  </si>
  <si>
    <t>From Below</t>
  </si>
  <si>
    <t>The Deeds of Monsters</t>
  </si>
  <si>
    <t>Hardcore Punk, Crust</t>
  </si>
  <si>
    <t>Anchorite</t>
  </si>
  <si>
    <t>Realm Of Ruin</t>
  </si>
  <si>
    <t>Culak</t>
  </si>
  <si>
    <t>Eidetica</t>
  </si>
  <si>
    <t>Texas, TX</t>
  </si>
  <si>
    <t>Hammer</t>
  </si>
  <si>
    <t>Trapped</t>
  </si>
  <si>
    <t>Extreme metal, Death metal</t>
  </si>
  <si>
    <t>Barbarous</t>
  </si>
  <si>
    <t>Initium Mors</t>
  </si>
  <si>
    <t>When Man Meets His Maker</t>
  </si>
  <si>
    <t>The Hell In Heaven</t>
  </si>
  <si>
    <t>Bristol, PA</t>
  </si>
  <si>
    <t>Challenger Deep</t>
  </si>
  <si>
    <t>Point of Now Return</t>
  </si>
  <si>
    <t>Plasmodulated</t>
  </si>
  <si>
    <t>An Ocean ov Putrid, Stinky, Vile, Disgusting Hell</t>
  </si>
  <si>
    <t>Gainesville, FL</t>
  </si>
  <si>
    <t>Eskapism</t>
  </si>
  <si>
    <t>Skresnava</t>
  </si>
  <si>
    <t>Lviv, Ukraine</t>
  </si>
  <si>
    <t>Slow Quit</t>
  </si>
  <si>
    <t>Fusion in Rupture</t>
  </si>
  <si>
    <t>Blood Rage</t>
  </si>
  <si>
    <t>Return To Crimson Pines</t>
  </si>
  <si>
    <t>Cancer Void</t>
  </si>
  <si>
    <t>First Metastasis</t>
  </si>
  <si>
    <t>Moonknight</t>
  </si>
  <si>
    <t>Bethselamin</t>
  </si>
  <si>
    <t>Atmospheric Black metal, Dungeon Synth</t>
  </si>
  <si>
    <t>Lommi</t>
  </si>
  <si>
    <t>Heavy metal, Groove metal</t>
  </si>
  <si>
    <t>Sin Seer</t>
  </si>
  <si>
    <t>Arrival</t>
  </si>
  <si>
    <t>Harvested</t>
  </si>
  <si>
    <t>Dysthymia</t>
  </si>
  <si>
    <t>Tar Pit</t>
  </si>
  <si>
    <t>Scrying the Angel Gate</t>
  </si>
  <si>
    <t>Victim of Fire</t>
  </si>
  <si>
    <t>The Old Lie</t>
  </si>
  <si>
    <t>Black metal, D-Beat, Neocrust</t>
  </si>
  <si>
    <t>Celestial Sovereignty</t>
  </si>
  <si>
    <t>Progeny Of Fulgor</t>
  </si>
  <si>
    <t>Ashes as Rain</t>
  </si>
  <si>
    <t>Burn In Heaven II</t>
  </si>
  <si>
    <t>Math metal, Djent</t>
  </si>
  <si>
    <t>Kirkby Kiss</t>
  </si>
  <si>
    <t>Four Color Black</t>
  </si>
  <si>
    <t>Technologist</t>
  </si>
  <si>
    <t>Reborn</t>
  </si>
  <si>
    <t>Gridlink</t>
  </si>
  <si>
    <t>Perfect Amber</t>
  </si>
  <si>
    <t>Grindcore, Mathcore</t>
  </si>
  <si>
    <t>Chemirocha</t>
  </si>
  <si>
    <t>Short Lived Fantasies of a Two Winged Dream</t>
  </si>
  <si>
    <t>KL, India</t>
  </si>
  <si>
    <t>Aversions Crown</t>
  </si>
  <si>
    <t>A Voice From The Outer Dark</t>
  </si>
  <si>
    <t>Monoptera</t>
  </si>
  <si>
    <t>Boundless Voyager</t>
  </si>
  <si>
    <t>Bedfordshire, UK</t>
  </si>
  <si>
    <t>Asunojokei</t>
  </si>
  <si>
    <t>Think of You</t>
  </si>
  <si>
    <t>Screamo, Post-Hardcore, Shimokita-kei</t>
  </si>
  <si>
    <t>Bloodstone</t>
  </si>
  <si>
    <t>Ecstasy of Battle</t>
  </si>
  <si>
    <t>Rudenya</t>
  </si>
  <si>
    <t>A Spark of Light</t>
  </si>
  <si>
    <t>Wevelgem, Belgium</t>
  </si>
  <si>
    <t>Circling Over</t>
  </si>
  <si>
    <t>Amends</t>
  </si>
  <si>
    <t>Post-metal, Post-rock, Shoegaze</t>
  </si>
  <si>
    <t>Babymetal</t>
  </si>
  <si>
    <t>Metal Forth</t>
  </si>
  <si>
    <t>Alt-metal, Kawaii metal, Metalcore, J-Pop</t>
  </si>
  <si>
    <t>Cemetery</t>
  </si>
  <si>
    <t>Thoughts on Life... and Death</t>
  </si>
  <si>
    <t>Peiting, Germany</t>
  </si>
  <si>
    <t>Thorn</t>
  </si>
  <si>
    <t>Nebulous Womb of Eternity</t>
  </si>
  <si>
    <t>Firstborne</t>
  </si>
  <si>
    <t>Lucky</t>
  </si>
  <si>
    <t>Theurgion</t>
  </si>
  <si>
    <t>All Under Heaven</t>
  </si>
  <si>
    <t>Thousand Below</t>
  </si>
  <si>
    <t>Buried in Jade</t>
  </si>
  <si>
    <t>Crypt Sermon</t>
  </si>
  <si>
    <t>Saturnian Appendices</t>
  </si>
  <si>
    <t>Crimson II (Remix 2025)</t>
  </si>
  <si>
    <t>Blackbraid</t>
  </si>
  <si>
    <t>Blackbraid III</t>
  </si>
  <si>
    <t>Melodic Black metal, Atmospheric Black metal</t>
  </si>
  <si>
    <t>Attack Attack!</t>
  </si>
  <si>
    <t>Attack Attack! II</t>
  </si>
  <si>
    <t>Metalcore, Alt-metal, Electronic</t>
  </si>
  <si>
    <t>Borracho</t>
  </si>
  <si>
    <t>Ouroboros</t>
  </si>
  <si>
    <t>Stoner metal, Hard rock</t>
  </si>
  <si>
    <t>Phantom Fire</t>
  </si>
  <si>
    <t>Lord of the Lost</t>
  </si>
  <si>
    <t>OPVS NOIR Vol. 1</t>
  </si>
  <si>
    <t>Industrial metal, Gothic metal</t>
  </si>
  <si>
    <t>Cytolysis</t>
  </si>
  <si>
    <t>Surge of Cruelty</t>
  </si>
  <si>
    <t>Malthusian</t>
  </si>
  <si>
    <t>The Summoning Bell</t>
  </si>
  <si>
    <t>Uzlaga</t>
  </si>
  <si>
    <t>The Coral Crown</t>
  </si>
  <si>
    <t>Melpomene</t>
  </si>
  <si>
    <t>A Body Is A Suggestion</t>
  </si>
  <si>
    <t>Dropout Kings</t>
  </si>
  <si>
    <t>Yokai</t>
  </si>
  <si>
    <t>Rap metal, Trap metal, Nu-metal</t>
  </si>
  <si>
    <t>Primitive Impulse</t>
  </si>
  <si>
    <t>Piss It Away</t>
  </si>
  <si>
    <t>Hardcore Punk</t>
  </si>
  <si>
    <t>Acati</t>
  </si>
  <si>
    <t>Unveil the Zenith</t>
  </si>
  <si>
    <t>North Augusta, SC</t>
  </si>
  <si>
    <t>Valfreyja</t>
  </si>
  <si>
    <t>The Rose Of Rebirth</t>
  </si>
  <si>
    <t>Linköping, Sweden</t>
  </si>
  <si>
    <t>Finistère</t>
  </si>
  <si>
    <t>Am Grauen Meer</t>
  </si>
  <si>
    <t>VVARP</t>
  </si>
  <si>
    <t>Power Held In Stone</t>
  </si>
  <si>
    <t>The Heretic</t>
  </si>
  <si>
    <t>Follow You. Part I. Transition</t>
  </si>
  <si>
    <t>Obvurt</t>
  </si>
  <si>
    <t>An Alternate Dimension</t>
  </si>
  <si>
    <t>Arktheos</t>
  </si>
  <si>
    <t>Cosmolith</t>
  </si>
  <si>
    <t>Visions Unseen</t>
  </si>
  <si>
    <t>Echoes Through Time</t>
  </si>
  <si>
    <t>Prog-metal, Melodic Death metal, Metalcore</t>
  </si>
  <si>
    <t>Plague of Carcosa</t>
  </si>
  <si>
    <t>In The Dreamless Deep</t>
  </si>
  <si>
    <t>Drone metal, Doom metal, Sludge metal</t>
  </si>
  <si>
    <t>Haunt</t>
  </si>
  <si>
    <t>Ignite</t>
  </si>
  <si>
    <t>Broken by the Scream</t>
  </si>
  <si>
    <t>Solar Strain</t>
  </si>
  <si>
    <t>Kawaii metal, Deathcore, J-Pop, Electronicore</t>
  </si>
  <si>
    <t>Ange De La Mort</t>
  </si>
  <si>
    <t>Bequeathed</t>
  </si>
  <si>
    <t>Experimental Death metal, Black metal</t>
  </si>
  <si>
    <t>Kallias</t>
  </si>
  <si>
    <t>Digital Plague</t>
  </si>
  <si>
    <t>Panopticon</t>
  </si>
  <si>
    <t>Laurentian Blue</t>
  </si>
  <si>
    <t>Americana, Dark Folk</t>
  </si>
  <si>
    <t>Ely, MN</t>
  </si>
  <si>
    <t>Songs of Hiraeth</t>
  </si>
  <si>
    <t>Baest</t>
  </si>
  <si>
    <t>Colossal</t>
  </si>
  <si>
    <t>Aarhus, Denmark</t>
  </si>
  <si>
    <t>Unleashed</t>
  </si>
  <si>
    <t>Fire Upon Your Lands</t>
  </si>
  <si>
    <t>Grand Cadaver</t>
  </si>
  <si>
    <t>The Rot Beneath</t>
  </si>
  <si>
    <t>Chevelle</t>
  </si>
  <si>
    <t>Bright As Blasphemy</t>
  </si>
  <si>
    <t>Alt-metal, Alt-Prog</t>
  </si>
  <si>
    <t>Grayslake, IL</t>
  </si>
  <si>
    <t>Rise Against</t>
  </si>
  <si>
    <t>Ricochet</t>
  </si>
  <si>
    <t>Melodic Hardcore, Alt-rock, Punk rock</t>
  </si>
  <si>
    <t>Castrator</t>
  </si>
  <si>
    <t>Coronation of the Grotesque</t>
  </si>
  <si>
    <t>Abhorrent Expanse</t>
  </si>
  <si>
    <t>Enter the Misanthropocene</t>
  </si>
  <si>
    <t>Anthrodynia</t>
  </si>
  <si>
    <t>Unspeakable Horrors Emanating from Within</t>
  </si>
  <si>
    <t>Compulsed</t>
  </si>
  <si>
    <t>Amalgamated Anguish</t>
  </si>
  <si>
    <t>King Yosef</t>
  </si>
  <si>
    <t>Spire Of Fear</t>
  </si>
  <si>
    <t>Industrial metal, Metalcore</t>
  </si>
  <si>
    <t>Caelid Dog Summer</t>
  </si>
  <si>
    <t>Decedent</t>
  </si>
  <si>
    <t>For Those in Shallow Graves</t>
  </si>
  <si>
    <t>Mount Pleasant, MI</t>
  </si>
  <si>
    <t>Phosphorus</t>
  </si>
  <si>
    <t>Frail Grasp of Broken Hands</t>
  </si>
  <si>
    <t>Post-metal, Black metal, Sludge metal</t>
  </si>
  <si>
    <t>Sankt Wendel, Germany</t>
  </si>
  <si>
    <t>Vapors</t>
  </si>
  <si>
    <t>Luxvanta</t>
  </si>
  <si>
    <t>Post Tenebras</t>
  </si>
  <si>
    <t>Alt-metal, Post-metal, Shoegaze</t>
  </si>
  <si>
    <t>Treguaco, Chile</t>
  </si>
  <si>
    <t>Comaduster</t>
  </si>
  <si>
    <t>Memory Echoes</t>
  </si>
  <si>
    <t>Electro-Industrial, Industrial metal, IDM, Brostep</t>
  </si>
  <si>
    <t>Aeon Bridge</t>
  </si>
  <si>
    <t>Beyond Flesh</t>
  </si>
  <si>
    <t>Speed metal, Neoclassical</t>
  </si>
  <si>
    <t>Vanitas</t>
  </si>
  <si>
    <t>Journey To The Sun</t>
  </si>
  <si>
    <t>Warmen</t>
  </si>
  <si>
    <t>Band of Brothers</t>
  </si>
  <si>
    <t>Melodic Death metal, Power metal</t>
  </si>
  <si>
    <t>Espoo, Finland</t>
  </si>
  <si>
    <t>Twilight Enchantment</t>
  </si>
  <si>
    <t>Lothric</t>
  </si>
  <si>
    <t>Distant</t>
  </si>
  <si>
    <t>Tyrannotophia Redux</t>
  </si>
  <si>
    <t>Cascara</t>
  </si>
  <si>
    <t>Lost in Calenture</t>
  </si>
  <si>
    <t>Terralgia</t>
  </si>
  <si>
    <t>The Living Weight Of The World</t>
  </si>
  <si>
    <t>Agenda</t>
  </si>
  <si>
    <t>Metalcore, Hardcore</t>
  </si>
  <si>
    <t>Solace ; Solitude</t>
  </si>
  <si>
    <t>METANOIA</t>
  </si>
  <si>
    <t>Brampton, Canada</t>
  </si>
  <si>
    <t>Same Deep Water</t>
  </si>
  <si>
    <t>Will I Still Wake Waiting to Be Something?</t>
  </si>
  <si>
    <t>Ennui</t>
  </si>
  <si>
    <t>Eternal Wax Wings Eternal Sun</t>
  </si>
  <si>
    <t>Benefactor Decease</t>
  </si>
  <si>
    <t>Abnormal Attachments</t>
  </si>
  <si>
    <t>Woe, Is Me</t>
  </si>
  <si>
    <t>Daybreak</t>
  </si>
  <si>
    <t>Metalcore, Post-Hardcore, Alt-metal</t>
  </si>
  <si>
    <t>Pendulum</t>
  </si>
  <si>
    <t>Inertia</t>
  </si>
  <si>
    <t>Alt-metal, Dancefloor Drum and Bass</t>
  </si>
  <si>
    <t>Thought Chamber</t>
  </si>
  <si>
    <t>Myst of Lyriad</t>
  </si>
  <si>
    <t>Live At Bakehouse Studios (Her Halo)</t>
  </si>
  <si>
    <t>Plini</t>
  </si>
  <si>
    <t>Live in North America</t>
  </si>
  <si>
    <t>Deftones</t>
  </si>
  <si>
    <t>Private Music</t>
  </si>
  <si>
    <t>Alt-metal, Post-Hardcore, Shoegaze</t>
  </si>
  <si>
    <t>Corridoré</t>
  </si>
  <si>
    <t>Abandon</t>
  </si>
  <si>
    <t>Atmospheric Black metal, Post-Hardcore</t>
  </si>
  <si>
    <t>We Came as Romans</t>
  </si>
  <si>
    <t>All Is Beautiful… Because We're Doomed</t>
  </si>
  <si>
    <t>Innumerable Forms</t>
  </si>
  <si>
    <t>Pain Effulgence</t>
  </si>
  <si>
    <t>Defacement</t>
  </si>
  <si>
    <t>Doomed</t>
  </si>
  <si>
    <t>Malevich</t>
  </si>
  <si>
    <t>Under a Gilded Sun</t>
  </si>
  <si>
    <t>Black metal, Screamo, Sludge metal</t>
  </si>
  <si>
    <t>Jack the Joker</t>
  </si>
  <si>
    <t>The Devil To Pay In The Backlands</t>
  </si>
  <si>
    <t>Fortaleza, Brazil</t>
  </si>
  <si>
    <t>Farseer</t>
  </si>
  <si>
    <t>Portals to Cosmic Womb</t>
  </si>
  <si>
    <t>Signs of the Swarm</t>
  </si>
  <si>
    <t>To Rid Myself Of Truth</t>
  </si>
  <si>
    <t>Retching</t>
  </si>
  <si>
    <t>Charming the Decomposed</t>
  </si>
  <si>
    <t>Rhode Island, RI</t>
  </si>
  <si>
    <t>Eden Circus</t>
  </si>
  <si>
    <t>Irrlicht</t>
  </si>
  <si>
    <t>Prog-metal, Alt-rock, Post-rock</t>
  </si>
  <si>
    <t>Reinforcer</t>
  </si>
  <si>
    <t>Ice And Death</t>
  </si>
  <si>
    <t>Paderborn, Germany</t>
  </si>
  <si>
    <t>Old Machines</t>
  </si>
  <si>
    <t>The Cycles of Extinction</t>
  </si>
  <si>
    <t>Symphonic Black metal, Death metal, Thrash metal</t>
  </si>
  <si>
    <t>Burning Witches</t>
  </si>
  <si>
    <t>Inquisition</t>
  </si>
  <si>
    <t>Brugg, Switzerland</t>
  </si>
  <si>
    <t>Hated</t>
  </si>
  <si>
    <t>Death Effects</t>
  </si>
  <si>
    <t>Solace</t>
  </si>
  <si>
    <t>Further (2025 Remaster)</t>
  </si>
  <si>
    <t>Upper Darby, PA</t>
  </si>
  <si>
    <t>Hundreds of AU</t>
  </si>
  <si>
    <t>Life In Parallel</t>
  </si>
  <si>
    <t>Ashen</t>
  </si>
  <si>
    <t>Leave the Flesh Behind</t>
  </si>
  <si>
    <t>Desaster</t>
  </si>
  <si>
    <t>Kill All Idols</t>
  </si>
  <si>
    <t>Koblenz, Germany</t>
  </si>
  <si>
    <t>Feuerschwanz</t>
  </si>
  <si>
    <t>Knightclub</t>
  </si>
  <si>
    <t>Power metal, Mittelalter-metal, Symphonic metal</t>
  </si>
  <si>
    <t>Erlangen, Germany</t>
  </si>
  <si>
    <t>Burning Sun</t>
  </si>
  <si>
    <t>Retribution</t>
  </si>
  <si>
    <t>Vindicator</t>
  </si>
  <si>
    <t>Whispers of Death</t>
  </si>
  <si>
    <t>Unholy Altar</t>
  </si>
  <si>
    <t>A Sullen Dark Sky</t>
  </si>
  <si>
    <t>Grave Hex</t>
  </si>
  <si>
    <t>Vermian Death</t>
  </si>
  <si>
    <t>Visitant</t>
  </si>
  <si>
    <t>Rubidium</t>
  </si>
  <si>
    <t>Vivianite</t>
  </si>
  <si>
    <t>Antimere</t>
  </si>
  <si>
    <t>One With The Stream</t>
  </si>
  <si>
    <t>Solanin</t>
  </si>
  <si>
    <t>Bitterblossom</t>
  </si>
  <si>
    <t>Metalcore, Screamo</t>
  </si>
  <si>
    <t>Detritivore</t>
  </si>
  <si>
    <t>Pakt</t>
  </si>
  <si>
    <t>Doom metal, Ambient, Drone</t>
  </si>
  <si>
    <t>Illusia</t>
  </si>
  <si>
    <t>Mind Over Matter</t>
  </si>
  <si>
    <t>The Wretched Nocturne</t>
  </si>
  <si>
    <t>Lucid Nightmare</t>
  </si>
  <si>
    <t>Deathcore, Symphonic metal</t>
  </si>
  <si>
    <t>Hebephrenique</t>
  </si>
  <si>
    <t>Decathexis</t>
  </si>
  <si>
    <t>Eve Claret</t>
  </si>
  <si>
    <t>Lace</t>
  </si>
  <si>
    <t>Screamo, Post-rock, Nu-metal</t>
  </si>
  <si>
    <t>Silent Millenia</t>
  </si>
  <si>
    <t>Celestial Twilight: Beyond the Scarlet Veil</t>
  </si>
  <si>
    <t>Arrows</t>
  </si>
  <si>
    <t>Yearning Arrows; Cloven Suns</t>
  </si>
  <si>
    <t>Doom metal, Black metal, Death metal</t>
  </si>
  <si>
    <t>Suotana</t>
  </si>
  <si>
    <t>Ounas II</t>
  </si>
  <si>
    <t>Melodic Death metal, Black metal, Power metal</t>
  </si>
  <si>
    <t>Lappi, Finland</t>
  </si>
  <si>
    <t>Anatidaephobia</t>
  </si>
  <si>
    <t>Old Animals</t>
  </si>
  <si>
    <t>!T.O.O.H.!</t>
  </si>
  <si>
    <t>Po ovoci poznáte je</t>
  </si>
  <si>
    <t>Technical Death metal, Avant-Garde metal</t>
  </si>
  <si>
    <t>Praha, Czechia</t>
  </si>
  <si>
    <t>Uboa &amp; Whitehorse</t>
  </si>
  <si>
    <t>The Dissolution Of Eternity</t>
  </si>
  <si>
    <t>Death-Industrial, Sludge metal, Dark Ambient</t>
  </si>
  <si>
    <t>Trudger</t>
  </si>
  <si>
    <t>Void Quest</t>
  </si>
  <si>
    <t>Barnsley, UK</t>
  </si>
  <si>
    <t>Kingdom of Giants</t>
  </si>
  <si>
    <t>Burning Chrome</t>
  </si>
  <si>
    <t>Metalcore, Alt-metal, Djent</t>
  </si>
  <si>
    <t>Asymmetric Universe</t>
  </si>
  <si>
    <t>A Memory And What Came After</t>
  </si>
  <si>
    <t>Prog-metal, Djent, Jazz Fusion</t>
  </si>
  <si>
    <t>Zatokrev</t>
  </si>
  <si>
    <t>...Brings Mirrors To The Surface</t>
  </si>
  <si>
    <t>Basel, Switzerland</t>
  </si>
  <si>
    <t>Ursawrath</t>
  </si>
  <si>
    <t>Emergence</t>
  </si>
  <si>
    <t>Ihlo</t>
  </si>
  <si>
    <t>Legacy</t>
  </si>
  <si>
    <t>In Mourning</t>
  </si>
  <si>
    <t>The Immortal</t>
  </si>
  <si>
    <t>Mélancolia</t>
  </si>
  <si>
    <t>random.access.misery</t>
  </si>
  <si>
    <t>Helloween</t>
  </si>
  <si>
    <t>Giants &amp; Monsters</t>
  </si>
  <si>
    <t>Lowheaven</t>
  </si>
  <si>
    <t>Ritual Decay</t>
  </si>
  <si>
    <t>Post-Hardcore, Post-metal, Alt-metal</t>
  </si>
  <si>
    <t>Hexrot</t>
  </si>
  <si>
    <t>Formless Ruin of Oblivion</t>
  </si>
  <si>
    <t>Avant-Garde Death metal, Technical Death metal</t>
  </si>
  <si>
    <t>Månegarm</t>
  </si>
  <si>
    <t>Edsvuren</t>
  </si>
  <si>
    <t>Folk metal, Pagan Black metal</t>
  </si>
  <si>
    <t>Norrtälje, Sweden</t>
  </si>
  <si>
    <t>Vicious Rumors</t>
  </si>
  <si>
    <t>The Devil's Asylum</t>
  </si>
  <si>
    <t>US Power metal, Heavy metal</t>
  </si>
  <si>
    <t>Khnvm</t>
  </si>
  <si>
    <t>Cosmocrator</t>
  </si>
  <si>
    <t>Torso</t>
  </si>
  <si>
    <t>Annihilation Day</t>
  </si>
  <si>
    <t>Heavy metal, Stoner metal, Sludge metal</t>
  </si>
  <si>
    <t>Finnr's Cane</t>
  </si>
  <si>
    <t>End It</t>
  </si>
  <si>
    <t>Wrong Side of Heaven</t>
  </si>
  <si>
    <t>Revelation In Purity</t>
  </si>
  <si>
    <t>Pilgrimage</t>
  </si>
  <si>
    <t>From Amber to Sun</t>
  </si>
  <si>
    <t>The Hague, Netherlands</t>
  </si>
  <si>
    <t>Deathhammer</t>
  </si>
  <si>
    <t>Crimson Dawn</t>
  </si>
  <si>
    <t>Hamar, Norway</t>
  </si>
  <si>
    <t>Evocatus</t>
  </si>
  <si>
    <t>Inevitable Death</t>
  </si>
  <si>
    <t>Newcastle, Australia</t>
  </si>
  <si>
    <t>Proscription</t>
  </si>
  <si>
    <t>Desolate Divine</t>
  </si>
  <si>
    <t>Kuopio, Finland</t>
  </si>
  <si>
    <t>Death Goals</t>
  </si>
  <si>
    <t>Survival Is An Act Of Defiance</t>
  </si>
  <si>
    <t>Mathcore, Metalcore, Screamo</t>
  </si>
  <si>
    <t>Exoneration</t>
  </si>
  <si>
    <t>Monuments To Nothing</t>
  </si>
  <si>
    <t>Indren</t>
  </si>
  <si>
    <t>Duskborn</t>
  </si>
  <si>
    <t>Porenut</t>
  </si>
  <si>
    <t>Výstup k svätej Kunde</t>
  </si>
  <si>
    <t>Spesia</t>
  </si>
  <si>
    <t>Until the Roots Heal</t>
  </si>
  <si>
    <t>Black metal, Neocrust, Folk Punk</t>
  </si>
  <si>
    <t>Glyph</t>
  </si>
  <si>
    <t>Invictus</t>
  </si>
  <si>
    <t>Power metal, Heavy metal, Symphonic metal</t>
  </si>
  <si>
    <t>Synaptic Perfidy</t>
  </si>
  <si>
    <t>Birth and Loss</t>
  </si>
  <si>
    <t>Kyoto, Japan</t>
  </si>
  <si>
    <t>Spire of Lazarus</t>
  </si>
  <si>
    <t>Those Who Live In Death</t>
  </si>
  <si>
    <t>Technical Death metal, Deathcore</t>
  </si>
  <si>
    <t>Salzburg, Austria</t>
  </si>
  <si>
    <t>Liminoid</t>
  </si>
  <si>
    <t>Constellations</t>
  </si>
  <si>
    <t>In Shame</t>
  </si>
  <si>
    <t>Looming</t>
  </si>
  <si>
    <t>Doom metal, Slugde metal</t>
  </si>
  <si>
    <t>The Great White Nothing</t>
  </si>
  <si>
    <t>Passage I: Melancholia</t>
  </si>
  <si>
    <t>Prog-metal, Black metal, Post-metal</t>
  </si>
  <si>
    <t>A Man Named Onigumo</t>
  </si>
  <si>
    <t>The Marrow Mirror</t>
  </si>
  <si>
    <t>Prog-metal, Brutal Death metal, Slam Death metal</t>
  </si>
  <si>
    <t>Springfield, MO</t>
  </si>
  <si>
    <t>Astellia</t>
  </si>
  <si>
    <t>Still Becoming</t>
  </si>
  <si>
    <t>Prog-metal, Ambient, Electronic</t>
  </si>
  <si>
    <t>Assam, India</t>
  </si>
  <si>
    <t>Anglerfish</t>
  </si>
  <si>
    <t>Khidr</t>
  </si>
  <si>
    <t>Prog-metal, Fusion</t>
  </si>
  <si>
    <t>Amend</t>
  </si>
  <si>
    <t>Eclosion</t>
  </si>
  <si>
    <t>StumpTail</t>
  </si>
  <si>
    <t>Sonder Down Yonder</t>
  </si>
  <si>
    <t>Black metal, Sludge metal, Southern metal</t>
  </si>
  <si>
    <t>Synestia</t>
  </si>
  <si>
    <t>Premonitions</t>
  </si>
  <si>
    <t>Arkæon</t>
  </si>
  <si>
    <t>Når Bjerge bliver til Støv</t>
  </si>
  <si>
    <t>Vianova</t>
  </si>
  <si>
    <t>Hit It!</t>
  </si>
  <si>
    <t>Prog-metal, Metalcore, Alt-metal, Djent</t>
  </si>
  <si>
    <t>Prospective</t>
  </si>
  <si>
    <t>The Weight Of What I've Become</t>
  </si>
  <si>
    <t>Bologna, Italy</t>
  </si>
  <si>
    <t>Sublime Eyes</t>
  </si>
  <si>
    <t>IV: The Serpent`s Coil</t>
  </si>
  <si>
    <t>Ro Panuganti</t>
  </si>
  <si>
    <t>The Ocean</t>
  </si>
  <si>
    <t>Crypt Monarch</t>
  </si>
  <si>
    <t>Codex Pestilentia</t>
  </si>
  <si>
    <t>Falling Leaves</t>
  </si>
  <si>
    <t>The Silence That Binds Us</t>
  </si>
  <si>
    <t>UAE</t>
  </si>
  <si>
    <t>Bent Sea</t>
  </si>
  <si>
    <t>The Dormant Ruin</t>
  </si>
  <si>
    <t>Human Leather</t>
  </si>
  <si>
    <t>Here Comes The Mind, There Goes The Body</t>
  </si>
  <si>
    <t>Sludge metal, Noise rock, Post-Punk</t>
  </si>
  <si>
    <t>Nuclear Dudes</t>
  </si>
  <si>
    <t>Truth Paste</t>
  </si>
  <si>
    <t>Wolves</t>
  </si>
  <si>
    <t>This Is A Record Called Self-Titled By A Band Called Wolves</t>
  </si>
  <si>
    <t>Fleshwater</t>
  </si>
  <si>
    <t>2000: In Search Of The Endless Sky</t>
  </si>
  <si>
    <t>Georgetown, MA</t>
  </si>
  <si>
    <t>Hasard</t>
  </si>
  <si>
    <t>Abgnose</t>
  </si>
  <si>
    <t>Avant-Garde Black metal, Dissonant Black metal</t>
  </si>
  <si>
    <t>Esoctrilihum</t>
  </si>
  <si>
    <t>Ghostigmatah - Spiritual Rites of the Psychopomp Abxulöm</t>
  </si>
  <si>
    <t>Autrest</t>
  </si>
  <si>
    <t>Burning Embers, Forgotten Wolves</t>
  </si>
  <si>
    <t>ten56.</t>
  </si>
  <si>
    <t>IO</t>
  </si>
  <si>
    <t>Green Carnation</t>
  </si>
  <si>
    <t>A Dark Poem Part I: The Shores of Melancholia</t>
  </si>
  <si>
    <t>Blessthefall</t>
  </si>
  <si>
    <t>Gallows</t>
  </si>
  <si>
    <t>Modern Life Is War</t>
  </si>
  <si>
    <t>Life On The Moon</t>
  </si>
  <si>
    <t>Marshalltown, IA</t>
  </si>
  <si>
    <t>Faetooth</t>
  </si>
  <si>
    <t>Labyrinthine</t>
  </si>
  <si>
    <t>Insomniac</t>
  </si>
  <si>
    <t>Om Moksha Ritam</t>
  </si>
  <si>
    <t>Doom metal, Stoner metal, Heavy Psych</t>
  </si>
  <si>
    <t>Imperialist</t>
  </si>
  <si>
    <t>Prime</t>
  </si>
  <si>
    <t>Melodic Black metal, Thrash metal</t>
  </si>
  <si>
    <t>Monrovia, CA</t>
  </si>
  <si>
    <t>Before the Dawn</t>
  </si>
  <si>
    <t>Cold Flare Eternal</t>
  </si>
  <si>
    <t>Tallah</t>
  </si>
  <si>
    <t>Primeval: Obsession // Detachment</t>
  </si>
  <si>
    <t>Nu-metal, Alt-metal, Metalcore, Funk metal</t>
  </si>
  <si>
    <t>Svartsot</t>
  </si>
  <si>
    <t>Peregrinus</t>
  </si>
  <si>
    <t>Folk metal, Viking metal</t>
  </si>
  <si>
    <t>Coltaine</t>
  </si>
  <si>
    <t>Brandung</t>
  </si>
  <si>
    <t>Atmospheric Sludge metal, Doom metal</t>
  </si>
  <si>
    <t>Karlsruhe, Germany</t>
  </si>
  <si>
    <t>Ambush</t>
  </si>
  <si>
    <t>Evil In All Dimensions</t>
  </si>
  <si>
    <t>Växjö, Sweden</t>
  </si>
  <si>
    <t>Nailed To Obscurity</t>
  </si>
  <si>
    <t>Generation Of The Void</t>
  </si>
  <si>
    <t>Esens, Germany</t>
  </si>
  <si>
    <t>Still In Love</t>
  </si>
  <si>
    <t>Recovery Language</t>
  </si>
  <si>
    <t>Melodic Hardcore, Metalcore</t>
  </si>
  <si>
    <t>Jord</t>
  </si>
  <si>
    <t>Emellan Träden</t>
  </si>
  <si>
    <t>Atmospheric Black metal, Doom metal</t>
  </si>
  <si>
    <t>Fury</t>
  </si>
  <si>
    <t>Interceptor</t>
  </si>
  <si>
    <t>Connor Kaminski</t>
  </si>
  <si>
    <t>Tapestry</t>
  </si>
  <si>
    <t>Cult Burial</t>
  </si>
  <si>
    <t>Collapse of Pattern, Reverence of Dust</t>
  </si>
  <si>
    <t>Beurre</t>
  </si>
  <si>
    <t>Resonate and Amplify</t>
  </si>
  <si>
    <t>Sludge metal, Noise rock, Post-Industrial</t>
  </si>
  <si>
    <t>Trypanon</t>
  </si>
  <si>
    <t>Through the Portal of Flesh to Achieve Divinity</t>
  </si>
  <si>
    <t>Chasing Demons</t>
  </si>
  <si>
    <t>Echos from the Past</t>
  </si>
  <si>
    <t>Ritual Mass</t>
  </si>
  <si>
    <t>Cascading Misery</t>
  </si>
  <si>
    <t>Chew Thru</t>
  </si>
  <si>
    <t>Curb Cuts</t>
  </si>
  <si>
    <t>Pestilential Shadows</t>
  </si>
  <si>
    <t>Wretch</t>
  </si>
  <si>
    <t>Corrimal, Australia</t>
  </si>
  <si>
    <t>Hold Me Down</t>
  </si>
  <si>
    <t>Devour</t>
  </si>
  <si>
    <t>Industrial metal, Post-Industrial</t>
  </si>
  <si>
    <t>Hypnosinosis</t>
  </si>
  <si>
    <t>Μετάνοια</t>
  </si>
  <si>
    <t>Death Meta</t>
  </si>
  <si>
    <t>Malware</t>
  </si>
  <si>
    <t>Cybergrind, Sasscore, Mathcore</t>
  </si>
  <si>
    <t>Absolutum</t>
  </si>
  <si>
    <t>Endura</t>
  </si>
  <si>
    <t>Anti Ritual</t>
  </si>
  <si>
    <t>80 Years</t>
  </si>
  <si>
    <t>Blackened Crust, Crust Punk</t>
  </si>
  <si>
    <t>Hunger</t>
  </si>
  <si>
    <t>Ruler of the Wolves</t>
  </si>
  <si>
    <t>Gnot</t>
  </si>
  <si>
    <t>Вечность (Eternity)</t>
  </si>
  <si>
    <t>Marche Funèbre</t>
  </si>
  <si>
    <t>Echoes From Beyond</t>
  </si>
  <si>
    <t>Fister</t>
  </si>
  <si>
    <t>St Louis, MO</t>
  </si>
  <si>
    <t>Meetinghouse</t>
  </si>
  <si>
    <t>You've Seen Heaven</t>
  </si>
  <si>
    <t>Post-Hardcore, Screamo, Alt-metal</t>
  </si>
  <si>
    <t>Morild</t>
  </si>
  <si>
    <t>Disse Fugle Får Ingen At Se</t>
  </si>
  <si>
    <t>Kold</t>
  </si>
  <si>
    <t>Det Falmede Håb</t>
  </si>
  <si>
    <t>Frelser</t>
  </si>
  <si>
    <t>Afgrundsprofeti</t>
  </si>
  <si>
    <t>Erosion</t>
  </si>
  <si>
    <t>Invasive Species</t>
  </si>
  <si>
    <t>Crust Punk, D-beat, Hardcore, Sludge metal</t>
  </si>
  <si>
    <t>Interlinked</t>
  </si>
  <si>
    <t>RECEDE//COPE</t>
  </si>
  <si>
    <t>Shardana</t>
  </si>
  <si>
    <t>The Monarch</t>
  </si>
  <si>
    <t>Black metal, Thrash metal, Heavy metal</t>
  </si>
  <si>
    <t>Vaexus</t>
  </si>
  <si>
    <t>Mea Culpa</t>
  </si>
  <si>
    <t>Thrash metal, Groove metal, Melodic Death metal</t>
  </si>
  <si>
    <t>Saratoga Springs, NY</t>
  </si>
  <si>
    <t>Cindral</t>
  </si>
  <si>
    <t>Ashen Reverie</t>
  </si>
  <si>
    <t>Monstrvm</t>
  </si>
  <si>
    <t>The Shapes of Light</t>
  </si>
  <si>
    <t>Bielsko Biala, Poland</t>
  </si>
  <si>
    <t>Electromancy</t>
  </si>
  <si>
    <t>Visions of Utopia</t>
  </si>
  <si>
    <t>Black metal, Death metal, Industrial metal</t>
  </si>
  <si>
    <t>Serrate</t>
  </si>
  <si>
    <t>Even the Wind Sounds Dead</t>
  </si>
  <si>
    <t>Mortal Scepter</t>
  </si>
  <si>
    <t>Ethereal Dominance</t>
  </si>
  <si>
    <t>PAARIS</t>
  </si>
  <si>
    <t>Sic Parvis Magna</t>
  </si>
  <si>
    <t>The Entire History of You</t>
  </si>
  <si>
    <t>TEHOY</t>
  </si>
  <si>
    <t>Whane</t>
  </si>
  <si>
    <t>Per tutti sempre e, poi, amore</t>
  </si>
  <si>
    <t>Udine, Italy</t>
  </si>
  <si>
    <t>Avenade</t>
  </si>
  <si>
    <t>Try Searching for a Lover</t>
  </si>
  <si>
    <t>Alt-metal, Post-Hardcore, Grunge, Noise rock</t>
  </si>
  <si>
    <t>Normal, IL</t>
  </si>
  <si>
    <t>I, Cursed</t>
  </si>
  <si>
    <t>Heretical Onslaught</t>
  </si>
  <si>
    <t>Pori, Finland</t>
  </si>
  <si>
    <t>Kraath</t>
  </si>
  <si>
    <t>Augsburg, Germany</t>
  </si>
  <si>
    <t>Bloodfed</t>
  </si>
  <si>
    <t>Pandemonium</t>
  </si>
  <si>
    <t>East Java, Indonesia</t>
  </si>
  <si>
    <t>Foxcult</t>
  </si>
  <si>
    <t>Watercolors: The Emerald Grove</t>
  </si>
  <si>
    <t>Post-Hardcore, Alt-metal, Emo-Pop</t>
  </si>
  <si>
    <t>I See Stars</t>
  </si>
  <si>
    <t>The Wheel</t>
  </si>
  <si>
    <t>Alt-metal, Post-Hardcore, Electropop</t>
  </si>
  <si>
    <t>Warren, MI</t>
  </si>
  <si>
    <t>Nicolas Cage Fighter</t>
  </si>
  <si>
    <t>I Watched You Burn</t>
  </si>
  <si>
    <t>Ballarat, Australia</t>
  </si>
  <si>
    <t>Solshade</t>
  </si>
  <si>
    <t>Proxy</t>
  </si>
  <si>
    <t>Motherless</t>
  </si>
  <si>
    <t>Do You Feel Safe?</t>
  </si>
  <si>
    <t>Demon Hunter</t>
  </si>
  <si>
    <t>There Was A Light Here</t>
  </si>
  <si>
    <t>Slomatics</t>
  </si>
  <si>
    <t>Atomicult</t>
  </si>
  <si>
    <t>Intercourse</t>
  </si>
  <si>
    <t>How I Fell In Love With The Void</t>
  </si>
  <si>
    <t>Post-Hardcore, Sludge metal, Pigfuck, Noise rock</t>
  </si>
  <si>
    <t>Der Weg einer Freiheit</t>
  </si>
  <si>
    <t>Innern</t>
  </si>
  <si>
    <t>Cea Serin</t>
  </si>
  <si>
    <t>The World Outside</t>
  </si>
  <si>
    <t>Baton Rouge, LA</t>
  </si>
  <si>
    <t>Between the Buried and Me</t>
  </si>
  <si>
    <t>The Blue Nowhere</t>
  </si>
  <si>
    <t>Lorna Shore</t>
  </si>
  <si>
    <t>I Feel The Everblack Festering Within Me</t>
  </si>
  <si>
    <t>Deathcore, Symphonic Metal</t>
  </si>
  <si>
    <t>New Jersey, United States</t>
  </si>
  <si>
    <t>Pink Moon</t>
  </si>
  <si>
    <t>Dance Gavin Dance</t>
  </si>
  <si>
    <t>Post-Hardcore, Swancore, Math rock</t>
  </si>
  <si>
    <t>Brévine</t>
  </si>
  <si>
    <t>Lhotse</t>
  </si>
  <si>
    <t>Post-metal, Blackgaze</t>
  </si>
  <si>
    <t>Unaligned</t>
  </si>
  <si>
    <t>A Form Beyond</t>
  </si>
  <si>
    <t>Chimera</t>
  </si>
  <si>
    <t>Moribund Oblivion</t>
  </si>
  <si>
    <t>Intertemporal</t>
  </si>
  <si>
    <t>Thorndale</t>
  </si>
  <si>
    <t>Spiritual Chains</t>
  </si>
  <si>
    <t>Haarlem, Netherlands</t>
  </si>
  <si>
    <t>Cheap Gas</t>
  </si>
  <si>
    <t>Altars of Patrician Genocide</t>
  </si>
  <si>
    <t>Death metal, Thrash metal, D-beat</t>
  </si>
  <si>
    <t>Dayton, OH</t>
  </si>
  <si>
    <t>Exelerate</t>
  </si>
  <si>
    <t>Hell for the Helpless</t>
  </si>
  <si>
    <t>Appalooza</t>
  </si>
  <si>
    <t>The Emperor of Loss</t>
  </si>
  <si>
    <t>Alt-metal, Stoner rock, Grunge</t>
  </si>
  <si>
    <t>Brest, France</t>
  </si>
  <si>
    <t>Crucible</t>
  </si>
  <si>
    <t>Hail To The Force</t>
  </si>
  <si>
    <t>Revelator</t>
  </si>
  <si>
    <t>Light the Devil's Fire</t>
  </si>
  <si>
    <t>Infernal Thorns</t>
  </si>
  <si>
    <t>Christus Venaris</t>
  </si>
  <si>
    <t>Valparaíso, Chile</t>
  </si>
  <si>
    <t>Yotuma</t>
  </si>
  <si>
    <t>The Final Void</t>
  </si>
  <si>
    <t>Heruvim</t>
  </si>
  <si>
    <t>Mercator</t>
  </si>
  <si>
    <t>Lucius Fox</t>
  </si>
  <si>
    <t>The Death and Life of the Great Lakes</t>
  </si>
  <si>
    <t>Prog-metal, Math rock</t>
  </si>
  <si>
    <t>Dark Watcher</t>
  </si>
  <si>
    <t>The Law of Bone and Sinew</t>
  </si>
  <si>
    <t>Black metal, Americana, Spaghetti Western</t>
  </si>
  <si>
    <t>Matt Miller</t>
  </si>
  <si>
    <t>Fiber Tormentum</t>
  </si>
  <si>
    <t>Prog-metal, Death metal, Neoclassical</t>
  </si>
  <si>
    <t>Salem, OR</t>
  </si>
  <si>
    <t>Bergsvriden</t>
  </si>
  <si>
    <t>I Haggans Afton</t>
  </si>
  <si>
    <t>Winternius</t>
  </si>
  <si>
    <t>Underwater Darkness</t>
  </si>
  <si>
    <t>Hyperstrike</t>
  </si>
  <si>
    <t>High Risk</t>
  </si>
  <si>
    <t>Starset</t>
  </si>
  <si>
    <t>Silos</t>
  </si>
  <si>
    <t>Alt-metal, Djent, Electropop</t>
  </si>
  <si>
    <t>Destruction Ritual</t>
  </si>
  <si>
    <t>Providence</t>
  </si>
  <si>
    <t>Orchestrating Insanity</t>
  </si>
  <si>
    <t>Prog-metal, Mathcore</t>
  </si>
  <si>
    <t>Frisson</t>
  </si>
  <si>
    <t>A White Noise</t>
  </si>
  <si>
    <t>Ospa 1959</t>
  </si>
  <si>
    <t>Vitrectomy - Valediction Universe</t>
  </si>
  <si>
    <t>Infectious Algorithm - Mechanism</t>
  </si>
  <si>
    <t>Brotthogg</t>
  </si>
  <si>
    <t>Ved Veis Ende</t>
  </si>
  <si>
    <t>Prog-metal, Melodic Death metal, Black metal</t>
  </si>
  <si>
    <t>Silent Oblivion</t>
  </si>
  <si>
    <t>Mankind as a concept of self-failure and a constant cycle of reaffirmed suffering.</t>
  </si>
  <si>
    <t>Manaus, Brazil</t>
  </si>
  <si>
    <t>Diespnea</t>
  </si>
  <si>
    <t>Radici</t>
  </si>
  <si>
    <t>Airborn</t>
  </si>
  <si>
    <t>Lizard Secrets: Part 3 - Utopia</t>
  </si>
  <si>
    <t>Catsclaw</t>
  </si>
  <si>
    <t>Perfect Death</t>
  </si>
  <si>
    <t>Metalcore, Thall</t>
  </si>
  <si>
    <t>Goatmilker</t>
  </si>
  <si>
    <t>Prog-metal, Heavy metal, Space metal</t>
  </si>
  <si>
    <t>NEKS</t>
  </si>
  <si>
    <t>Point of No Return</t>
  </si>
  <si>
    <t>Lijkschouwer</t>
  </si>
  <si>
    <t>All What Did the Blade Reveal</t>
  </si>
  <si>
    <t>Galundo Tenvulance</t>
  </si>
  <si>
    <t>Insomnis Somnia</t>
  </si>
  <si>
    <t>Genizah</t>
  </si>
  <si>
    <t>Quieting Urgency</t>
  </si>
  <si>
    <t>C4</t>
  </si>
  <si>
    <t>Payback's A Bitch</t>
  </si>
  <si>
    <t>Conatus</t>
  </si>
  <si>
    <t>Fractured Radiance</t>
  </si>
  <si>
    <t>Black metal, Post-metal</t>
  </si>
  <si>
    <t>Ashbreather</t>
  </si>
  <si>
    <t>La Grande Bouffe</t>
  </si>
  <si>
    <t>Dusted Angel</t>
  </si>
  <si>
    <t>This Side Of The Dirt</t>
  </si>
  <si>
    <t>Santa Cruz, CA</t>
  </si>
  <si>
    <t>Deaf Club</t>
  </si>
  <si>
    <t>We Demand A Permanent State of Happiness</t>
  </si>
  <si>
    <t>Mathcore, Powerviolence, Noise rock</t>
  </si>
  <si>
    <t>Underneath</t>
  </si>
  <si>
    <t>In the Shadow of a Watchtower</t>
  </si>
  <si>
    <t>The Best of the Worst</t>
  </si>
  <si>
    <t>New Dead Ends</t>
  </si>
  <si>
    <t>Metalcore, Post-Hardcore, Ska Punk</t>
  </si>
  <si>
    <t>Gawthrop</t>
  </si>
  <si>
    <t>Kuboa</t>
  </si>
  <si>
    <t>Seoul, South Korea</t>
  </si>
  <si>
    <t>Lucid Planet</t>
  </si>
  <si>
    <t>Tanglewood</t>
  </si>
  <si>
    <t>Prog-metal, Psychedelic rock, Psybient</t>
  </si>
  <si>
    <t>Sunniva</t>
  </si>
  <si>
    <t>Hypostasis</t>
  </si>
  <si>
    <t>Mesarthim</t>
  </si>
  <si>
    <t>Isolate X</t>
  </si>
  <si>
    <t>Atmospheric Black metal, Space Ambient</t>
  </si>
  <si>
    <t>Ad Nauseam</t>
  </si>
  <si>
    <t>Live at Roadburn</t>
  </si>
  <si>
    <t>Schio, Italy</t>
  </si>
  <si>
    <t>Tithe</t>
  </si>
  <si>
    <t>Communion In Anguish</t>
  </si>
  <si>
    <t>Deathgrind, Black metal</t>
  </si>
  <si>
    <t>Nexion</t>
  </si>
  <si>
    <t>Sundrung</t>
  </si>
  <si>
    <t>I Prevail</t>
  </si>
  <si>
    <t>Violent Nature</t>
  </si>
  <si>
    <t>Soulkeeper</t>
  </si>
  <si>
    <t>Join Us In Creating Excellence</t>
  </si>
  <si>
    <t>Heretoir</t>
  </si>
  <si>
    <t>Solastalgia</t>
  </si>
  <si>
    <t>Prog-metal, Post-metal, Blackgaze</t>
  </si>
  <si>
    <t>Castle Rat</t>
  </si>
  <si>
    <t>The Bestiary</t>
  </si>
  <si>
    <t>Paradise Lost</t>
  </si>
  <si>
    <t>Gothic metal, Doom metal, Heavy metal</t>
  </si>
  <si>
    <t>Halifax, UK</t>
  </si>
  <si>
    <t>Abyssalis</t>
  </si>
  <si>
    <t>Adaptation</t>
  </si>
  <si>
    <t>Novembers Doom</t>
  </si>
  <si>
    <t>Major Arcana</t>
  </si>
  <si>
    <t>Death Doom metal, Gothic metal</t>
  </si>
  <si>
    <t>New World Depression</t>
  </si>
  <si>
    <t>Abysmal Void</t>
  </si>
  <si>
    <t>Emsdetten, Germany</t>
  </si>
  <si>
    <t>Igorrr</t>
  </si>
  <si>
    <t>Avant-Garde metal, Breakcore</t>
  </si>
  <si>
    <t>Naevus</t>
  </si>
  <si>
    <t>Back Home</t>
  </si>
  <si>
    <t>For Centuries Alive</t>
  </si>
  <si>
    <t>Vittra</t>
  </si>
  <si>
    <t>Intense Indifference</t>
  </si>
  <si>
    <t>Falun, Sweden</t>
  </si>
  <si>
    <t>Sadistic Goatmessiah</t>
  </si>
  <si>
    <t>Violence</t>
  </si>
  <si>
    <t>A Killers Confession</t>
  </si>
  <si>
    <t>Victim 2</t>
  </si>
  <si>
    <t>Alt-metal, Nu-metal, Metalcore</t>
  </si>
  <si>
    <t>Krigsgrav</t>
  </si>
  <si>
    <t>Stormcaller</t>
  </si>
  <si>
    <t>Kamra</t>
  </si>
  <si>
    <t>Unending Confluence</t>
  </si>
  <si>
    <t>Ancient Thrones</t>
  </si>
  <si>
    <t>Melancholia</t>
  </si>
  <si>
    <t>Halifax, Canada</t>
  </si>
  <si>
    <t>Species</t>
  </si>
  <si>
    <t>Changelings</t>
  </si>
  <si>
    <t>Undead</t>
  </si>
  <si>
    <t>This Side of the Grave</t>
  </si>
  <si>
    <t>Spain / UK</t>
  </si>
  <si>
    <t>Tyrannosaurus Dimension</t>
  </si>
  <si>
    <t>Part 3: Visions Beyond</t>
  </si>
  <si>
    <t>MIND:FIELD</t>
  </si>
  <si>
    <t>An Atonement For Existence</t>
  </si>
  <si>
    <t>Prog-metal, Extreme metal, Groove metal</t>
  </si>
  <si>
    <t>Henere</t>
  </si>
  <si>
    <t>The Chosen Path</t>
  </si>
  <si>
    <t>Antiversum</t>
  </si>
  <si>
    <t>De Nemesis Omnes et Omnia</t>
  </si>
  <si>
    <t>Wolfheart</t>
  </si>
  <si>
    <t>Draconian Darkness II</t>
  </si>
  <si>
    <t>Lahti, Finland</t>
  </si>
  <si>
    <t>Solicitor</t>
  </si>
  <si>
    <t>Enemy in Mirrors</t>
  </si>
  <si>
    <t>Mycorrhizal</t>
  </si>
  <si>
    <t>The Way Out is Through</t>
  </si>
  <si>
    <t>Black metal, Electronic, IDM</t>
  </si>
  <si>
    <t>Wausau, WI</t>
  </si>
  <si>
    <t>Vígljós</t>
  </si>
  <si>
    <t>Tome II: Ignis Sacer</t>
  </si>
  <si>
    <t>Egocide</t>
  </si>
  <si>
    <t>Mortichnia</t>
  </si>
  <si>
    <t>Crossover Thrash, Death metal, Hardcore</t>
  </si>
  <si>
    <t>Behind Starvation</t>
  </si>
  <si>
    <t>The Grief Sower</t>
  </si>
  <si>
    <t>Lombardy, Italy</t>
  </si>
  <si>
    <t>The Last Oblation</t>
  </si>
  <si>
    <t>Asunder Dreams</t>
  </si>
  <si>
    <t>Jordsjuk</t>
  </si>
  <si>
    <t>Naglet til livet</t>
  </si>
  <si>
    <t>Necrosferatul</t>
  </si>
  <si>
    <t>The Last Days of Mankind</t>
  </si>
  <si>
    <t>Vampyric Black metal, Black 'n' Roll, Surf rock</t>
  </si>
  <si>
    <t>Dying Remains</t>
  </si>
  <si>
    <t>Merciless Suffering</t>
  </si>
  <si>
    <t>Many Eyes</t>
  </si>
  <si>
    <t>Buffalo, NY</t>
  </si>
  <si>
    <t>Starsdontmeananything</t>
  </si>
  <si>
    <t>Fire Is Beautiful</t>
  </si>
  <si>
    <t>Stimulant</t>
  </si>
  <si>
    <t>Sub-Normal</t>
  </si>
  <si>
    <t>Powerviolence, Grindcore</t>
  </si>
  <si>
    <t>Doomsday Profit</t>
  </si>
  <si>
    <t>Durham, NC</t>
  </si>
  <si>
    <t>Æl-Fierlen</t>
  </si>
  <si>
    <t>All Is Far Away</t>
  </si>
  <si>
    <t>The Poppies Bloom For No King</t>
  </si>
  <si>
    <t>Peace Vaults</t>
  </si>
  <si>
    <t>Prisoners of Time</t>
  </si>
  <si>
    <t>Black metal, Post-Punk</t>
  </si>
  <si>
    <t>Wien, Austria</t>
  </si>
  <si>
    <t>Viile</t>
  </si>
  <si>
    <t>A Bottomless Curse, a Bottomless Sea</t>
  </si>
  <si>
    <t>Prog-metal, Deathcore, Metalcore</t>
  </si>
  <si>
    <t>Silverdale, WA</t>
  </si>
  <si>
    <t>Verikotka</t>
  </si>
  <si>
    <t>Aallot</t>
  </si>
  <si>
    <t>Melodic Black metal, Folk metal</t>
  </si>
  <si>
    <t>Everson Poe</t>
  </si>
  <si>
    <t>Enough Is A Myth</t>
  </si>
  <si>
    <t>Doom metal, Darkwave</t>
  </si>
  <si>
    <t>Periodeater</t>
  </si>
  <si>
    <t>Pacing in the Maw of Time</t>
  </si>
  <si>
    <t>Black metal, RABM</t>
  </si>
  <si>
    <t>Searpetal</t>
  </si>
  <si>
    <t>Beaconwake</t>
  </si>
  <si>
    <t>Syllogomania</t>
  </si>
  <si>
    <t>Blacnk</t>
  </si>
  <si>
    <t>Hypnagogia II</t>
  </si>
  <si>
    <t>Uragh</t>
  </si>
  <si>
    <t>Stalemate</t>
  </si>
  <si>
    <t>Even If We Lose</t>
  </si>
  <si>
    <t>Even If We Lose EP</t>
  </si>
  <si>
    <t>Demersal</t>
  </si>
  <si>
    <t>Vi Kunne Ikke Blive Her For Evigt, Vel?</t>
  </si>
  <si>
    <t>Sundrowned</t>
  </si>
  <si>
    <t>Higanbana</t>
  </si>
  <si>
    <t>Atmospheric Post-metal, Blackgaze</t>
  </si>
  <si>
    <t>Haugesund, Norway</t>
  </si>
  <si>
    <t>Atomic Rule</t>
  </si>
  <si>
    <t>With Skull Crushing Force</t>
  </si>
  <si>
    <t>Wounds of Recollection</t>
  </si>
  <si>
    <t>I Found the Love That I Was Looking For</t>
  </si>
  <si>
    <t>Sindar</t>
  </si>
  <si>
    <t>Tower of the Sun</t>
  </si>
  <si>
    <t>Coilguns</t>
  </si>
  <si>
    <t>Lost Love</t>
  </si>
  <si>
    <t>The Answer Lies in the Black Void</t>
  </si>
  <si>
    <t>Transcendental</t>
  </si>
  <si>
    <t>Doom metal, Post-metal, Doomgaze</t>
  </si>
  <si>
    <t>Netherlands / Hungary</t>
  </si>
  <si>
    <t>Dying Wish</t>
  </si>
  <si>
    <t>Flesh Stays Together</t>
  </si>
  <si>
    <t>Korypheus</t>
  </si>
  <si>
    <t>Gilgamesh</t>
  </si>
  <si>
    <t>Prog-metal, Metalcore, Alt-metal</t>
  </si>
  <si>
    <t>PeelingFlesh</t>
  </si>
  <si>
    <t>PF Radio 2</t>
  </si>
  <si>
    <t>Slam Death metal, Chopped and Screwed</t>
  </si>
  <si>
    <t>Oklahoma, OK</t>
  </si>
  <si>
    <t>President</t>
  </si>
  <si>
    <t>King of Terrors</t>
  </si>
  <si>
    <t>Alt-metal, Alt-Pop</t>
  </si>
  <si>
    <t>Royal Sorrow</t>
  </si>
  <si>
    <t>Innerdeeps</t>
  </si>
  <si>
    <t>Amorphis</t>
  </si>
  <si>
    <t>Borderland</t>
  </si>
  <si>
    <t>Mors Principium Est</t>
  </si>
  <si>
    <t>Darkness Invisible</t>
  </si>
  <si>
    <t>Revocation</t>
  </si>
  <si>
    <t>New Gods, New Masters</t>
  </si>
  <si>
    <t>Technical Death metal, Thrash metal</t>
  </si>
  <si>
    <t>Abraham</t>
  </si>
  <si>
    <t>IDSUNGWÜSSÄ</t>
  </si>
  <si>
    <t>Vintersorg</t>
  </si>
  <si>
    <t>Vattenkrafternas Spel</t>
  </si>
  <si>
    <t>Prog-metal, Melodic Black metal, Folk metal</t>
  </si>
  <si>
    <t>Rage</t>
  </si>
  <si>
    <t>A New World Rising</t>
  </si>
  <si>
    <t>Power metal, Heavy metal, Thrash metal</t>
  </si>
  <si>
    <t>Herne, Germany</t>
  </si>
  <si>
    <t>Fauna</t>
  </si>
  <si>
    <t>Ochre &amp; Ash</t>
  </si>
  <si>
    <t>Atmospheric Black metal, Ambient</t>
  </si>
  <si>
    <t>Demiurgon</t>
  </si>
  <si>
    <t>Miasmatic Deathless Chamber</t>
  </si>
  <si>
    <t>Modena, Italy</t>
  </si>
  <si>
    <t>Cosmic Reaper</t>
  </si>
  <si>
    <t>Bleed The Wicked, Drown The Damned</t>
  </si>
  <si>
    <t>Last Retch</t>
  </si>
  <si>
    <t>Abject Cruelty</t>
  </si>
  <si>
    <t>Hamilton, Canada</t>
  </si>
  <si>
    <t>Warcoe</t>
  </si>
  <si>
    <t>Upon Tall Thrones</t>
  </si>
  <si>
    <t>Pesaro, Italy</t>
  </si>
  <si>
    <t>From the Crypt</t>
  </si>
  <si>
    <t>Born in the Grave</t>
  </si>
  <si>
    <t>Helden, Netherlands</t>
  </si>
  <si>
    <t>Terra Atlantica</t>
  </si>
  <si>
    <t>Oceans</t>
  </si>
  <si>
    <t>Occulsed</t>
  </si>
  <si>
    <t>Antegnosis</t>
  </si>
  <si>
    <t>Stone Machine Electric</t>
  </si>
  <si>
    <t>Faces</t>
  </si>
  <si>
    <t>Voidlurker</t>
  </si>
  <si>
    <t>Loathe For Life</t>
  </si>
  <si>
    <t>Blizaro</t>
  </si>
  <si>
    <t>Light and Desolation</t>
  </si>
  <si>
    <t>Face Yourself</t>
  </si>
  <si>
    <t>Villain of the Story</t>
  </si>
  <si>
    <t>Convergence: Two Minds in One</t>
  </si>
  <si>
    <t>Wehmut</t>
  </si>
  <si>
    <t>III: Frühling</t>
  </si>
  <si>
    <t>Telesterion</t>
  </si>
  <si>
    <t>Songs of Orpheus</t>
  </si>
  <si>
    <t>After Earth</t>
  </si>
  <si>
    <t>Dark Night of the Soul</t>
  </si>
  <si>
    <t>Sterveling</t>
  </si>
  <si>
    <t>Black metal, DSBM</t>
  </si>
  <si>
    <t>Mrs Frighthouse</t>
  </si>
  <si>
    <t>Solitude Over Control</t>
  </si>
  <si>
    <t>Industrial metal, Noise rock</t>
  </si>
  <si>
    <t>Monolyth</t>
  </si>
  <si>
    <t>Seeds of Perseverance</t>
  </si>
  <si>
    <t>Glae</t>
  </si>
  <si>
    <t>Black Cloud</t>
  </si>
  <si>
    <t>Refiner</t>
  </si>
  <si>
    <t>Self-titled</t>
  </si>
  <si>
    <t>unOther</t>
  </si>
  <si>
    <t>Baikal</t>
  </si>
  <si>
    <t>Post-metal, Post-Hardcore, Industrial, Trip-Hop</t>
  </si>
  <si>
    <t>The Oil Barons</t>
  </si>
  <si>
    <t>Grandiose</t>
  </si>
  <si>
    <t>Stoner metal, Blues rock, Heavy Psych</t>
  </si>
  <si>
    <t>...And i Found A Way</t>
  </si>
  <si>
    <t>Clover Bloom</t>
  </si>
  <si>
    <t>Ulm</t>
  </si>
  <si>
    <t>The Accursed Share</t>
  </si>
  <si>
    <t>Technical Black metal, Raw Black metal</t>
  </si>
  <si>
    <t>Bozeman, MT</t>
  </si>
  <si>
    <t>Counting Hours</t>
  </si>
  <si>
    <t>Dreaming In The Mire</t>
  </si>
  <si>
    <t>Fallen Letters</t>
  </si>
  <si>
    <t>Mindfractures</t>
  </si>
  <si>
    <t>Rough Pass</t>
  </si>
  <si>
    <t>Solemn Psalms</t>
  </si>
  <si>
    <t>Walhalla, SC</t>
  </si>
  <si>
    <t>Krifis</t>
  </si>
  <si>
    <t>Anabasis</t>
  </si>
  <si>
    <t>Gates of Dawn</t>
  </si>
  <si>
    <t>Prosaic</t>
  </si>
  <si>
    <t>Define Me Gravity</t>
  </si>
  <si>
    <t>Dijon, France</t>
  </si>
  <si>
    <t>Oaken</t>
  </si>
  <si>
    <t>From The Bonfire</t>
  </si>
  <si>
    <t>Budapest, Hungary</t>
  </si>
  <si>
    <t>Lowered Head</t>
  </si>
  <si>
    <t>Sludge metal, Black metal, Doom metal</t>
  </si>
  <si>
    <t>Ribspreader</t>
  </si>
  <si>
    <t>As Gods Devour</t>
  </si>
  <si>
    <t>Money</t>
  </si>
  <si>
    <t>Stovepipe</t>
  </si>
  <si>
    <t>Lucerne Hammer</t>
  </si>
  <si>
    <t>Vermilion Pyre</t>
  </si>
  <si>
    <t>Ontario, Canada</t>
  </si>
  <si>
    <t>Akaamelda</t>
  </si>
  <si>
    <t>Inner Call Of Spirit</t>
  </si>
  <si>
    <t>Buenos Aires, Argentina</t>
  </si>
  <si>
    <t>Khan</t>
  </si>
  <si>
    <t>That Fair and Warlike Form // Return to Dust</t>
  </si>
  <si>
    <t>Prog-metal, Stoner metal, Psychedelic rock</t>
  </si>
  <si>
    <t>Dissona</t>
  </si>
  <si>
    <t>Receptor</t>
  </si>
  <si>
    <t>Everyone Dies In Utah</t>
  </si>
  <si>
    <t>The Cost Of Clarity</t>
  </si>
  <si>
    <t>Temple, TX</t>
  </si>
  <si>
    <t>Nishaiar</t>
  </si>
  <si>
    <t>Enkbera</t>
  </si>
  <si>
    <t>Post-metal, New Age</t>
  </si>
  <si>
    <t>Gondar, Ethiopia</t>
  </si>
  <si>
    <t>Voragoth</t>
  </si>
  <si>
    <t>Storm Obey No Masters!</t>
  </si>
  <si>
    <t>Melodic Death metal, Black metal, Thrash metal, Folk</t>
  </si>
  <si>
    <t>Umulamahri</t>
  </si>
  <si>
    <t>Learning the Secrets of Acid</t>
  </si>
  <si>
    <t>Void Dancer</t>
  </si>
  <si>
    <t>Sorrow From Self-Undoing</t>
  </si>
  <si>
    <t>Sick Sad World</t>
  </si>
  <si>
    <t>Deuil(s)</t>
  </si>
  <si>
    <t>Zann</t>
  </si>
  <si>
    <t>Petrichor</t>
  </si>
  <si>
    <t>Post-metal, Doom metal, Stoner metal</t>
  </si>
  <si>
    <t>Nebulos</t>
  </si>
  <si>
    <t>Katharsis</t>
  </si>
  <si>
    <t>Concepción, Chile</t>
  </si>
  <si>
    <t>Throat Piss</t>
  </si>
  <si>
    <t>Existence as a Grinding Gear</t>
  </si>
  <si>
    <t>Außerwelt</t>
  </si>
  <si>
    <t>Breath</t>
  </si>
  <si>
    <t>Prog-metal, Post-metal, Black metal</t>
  </si>
  <si>
    <t>Münster, Germany</t>
  </si>
  <si>
    <t>Cranial</t>
  </si>
  <si>
    <t>Structures</t>
  </si>
  <si>
    <t>CIA Hippie Mind Control</t>
  </si>
  <si>
    <t>Dust</t>
  </si>
  <si>
    <t>Prog-metal, Death metal, Doom metal, Psychedelic metal</t>
  </si>
  <si>
    <t>Eugene, OR</t>
  </si>
  <si>
    <t>Drumcorps</t>
  </si>
  <si>
    <t>For Everything</t>
  </si>
  <si>
    <t>Breakcore, Cybergrind, Mathcore</t>
  </si>
  <si>
    <t>Dolmen Gate</t>
  </si>
  <si>
    <t>Echoes of Ancient Tales</t>
  </si>
  <si>
    <t>Suffering Hour</t>
  </si>
  <si>
    <t>Impelling Rebirth</t>
  </si>
  <si>
    <t>Forest Lake, MN</t>
  </si>
  <si>
    <t>Bloodred Hourglass</t>
  </si>
  <si>
    <t>We Should Be Buried Like This</t>
  </si>
  <si>
    <t>Metalcore, Melodic Death metal</t>
  </si>
  <si>
    <t>Syrek</t>
  </si>
  <si>
    <t>Story 2</t>
  </si>
  <si>
    <t>White Plains, NY</t>
  </si>
  <si>
    <t>Smohalla</t>
  </si>
  <si>
    <t>Ruina Draconis</t>
  </si>
  <si>
    <t>Prog-metal, Avant-Garde Black metal</t>
  </si>
  <si>
    <t>Unsouling</t>
  </si>
  <si>
    <t>Outward Streams Of Devotional Woe</t>
  </si>
  <si>
    <t>Wode</t>
  </si>
  <si>
    <t>Uncrossing The Keys</t>
  </si>
  <si>
    <t>Today Is the Day</t>
  </si>
  <si>
    <t>Never Give In</t>
  </si>
  <si>
    <t>Sludge metal, Post-metal, Noise rock</t>
  </si>
  <si>
    <t>Orland, ME</t>
  </si>
  <si>
    <t>Author &amp; Punisher</t>
  </si>
  <si>
    <t>Nocturnal Birding</t>
  </si>
  <si>
    <t>Industrial metal, Drone metal, Sludge metal</t>
  </si>
  <si>
    <t>Hooded Menace</t>
  </si>
  <si>
    <t>Lachrymose Monuments Of Obscuration</t>
  </si>
  <si>
    <t>Death Doom metal, Heavy metal</t>
  </si>
  <si>
    <t>Agriculture</t>
  </si>
  <si>
    <t>The Spiritual Sound</t>
  </si>
  <si>
    <t>Ecstatic Black metal, Post-metal</t>
  </si>
  <si>
    <t>Decayer</t>
  </si>
  <si>
    <t>Memoirs of Despair</t>
  </si>
  <si>
    <t>Orbit Culture</t>
  </si>
  <si>
    <t>Death Above Life</t>
  </si>
  <si>
    <t>Melodic Death metal, Deathcore, Groove metal</t>
  </si>
  <si>
    <t>Eksjö, Sweden</t>
  </si>
  <si>
    <t>OvO</t>
  </si>
  <si>
    <t>Gemma</t>
  </si>
  <si>
    <t>Avant-Garde metal, Noise rock, Sludge metal, Post-Industrial</t>
  </si>
  <si>
    <t>Enragement</t>
  </si>
  <si>
    <t>Extinguish All Existence</t>
  </si>
  <si>
    <t>Sum of R</t>
  </si>
  <si>
    <t>Spectral</t>
  </si>
  <si>
    <t>Post-metal, Drone metal, Psychedelic</t>
  </si>
  <si>
    <t>Gorycz</t>
  </si>
  <si>
    <t>Zasypia</t>
  </si>
  <si>
    <t>Wind Walkers</t>
  </si>
  <si>
    <t>I Don't Belong Here</t>
  </si>
  <si>
    <t>Worcester, MA</t>
  </si>
  <si>
    <t>Horror Within</t>
  </si>
  <si>
    <t>Soul Awakening</t>
  </si>
  <si>
    <t>Montpellier, France</t>
  </si>
  <si>
    <t>Pity Fountain</t>
  </si>
  <si>
    <t>Life Is Just...</t>
  </si>
  <si>
    <t>Post-Hardcore, Nu-metal, Alt-metal</t>
  </si>
  <si>
    <t>Pembroke, Canada</t>
  </si>
  <si>
    <t>Ghast</t>
  </si>
  <si>
    <t>Fear Is The Blessing</t>
  </si>
  <si>
    <t>Port Elizabeth, South Africa</t>
  </si>
  <si>
    <t>Gore.</t>
  </si>
  <si>
    <t>If You Do Not Fear Me...</t>
  </si>
  <si>
    <t>Arizona, AZ</t>
  </si>
  <si>
    <t>Constrict</t>
  </si>
  <si>
    <t>Kadavergehorsam</t>
  </si>
  <si>
    <t>Potsdam, Germany</t>
  </si>
  <si>
    <t>Dispossessed</t>
  </si>
  <si>
    <t>Dêmocide</t>
  </si>
  <si>
    <t>Vanessa Funke</t>
  </si>
  <si>
    <t>Melodic Death metal, Black metal, Gothic metal</t>
  </si>
  <si>
    <t>Gevelsberg, Germany</t>
  </si>
  <si>
    <t>Post Heaven</t>
  </si>
  <si>
    <t>The Space That's In Between</t>
  </si>
  <si>
    <t>Ripping Remains</t>
  </si>
  <si>
    <t>Necrodestiny</t>
  </si>
  <si>
    <t>Mriodom</t>
  </si>
  <si>
    <t>Vlies</t>
  </si>
  <si>
    <t>Vimic</t>
  </si>
  <si>
    <t>Open Your Omen</t>
  </si>
  <si>
    <t>Groove metal, Alt-metal</t>
  </si>
  <si>
    <t>Des Moines, IA</t>
  </si>
  <si>
    <t>The Hidden</t>
  </si>
  <si>
    <t>Time's Forgotten</t>
  </si>
  <si>
    <t>Songs of Awakening</t>
  </si>
  <si>
    <t>Scalding</t>
  </si>
  <si>
    <t>Nuclear Winter Spell</t>
  </si>
  <si>
    <t>Terres Froides</t>
  </si>
  <si>
    <t>Enfe</t>
  </si>
  <si>
    <t>INRITVM</t>
  </si>
  <si>
    <t>Ex Nihilo Ad Nihilum</t>
  </si>
  <si>
    <t>Sapata</t>
  </si>
  <si>
    <t>Veins</t>
  </si>
  <si>
    <t>Sutratma</t>
  </si>
  <si>
    <t>Death Doom metal, Funeral Doom metal</t>
  </si>
  <si>
    <t>Santa Barbara, CA</t>
  </si>
  <si>
    <t>Nostalghia</t>
  </si>
  <si>
    <t>Void Ecstasy</t>
  </si>
  <si>
    <t>Ludicra</t>
  </si>
  <si>
    <t>Live at the Great American Music Hall</t>
  </si>
  <si>
    <t>Naufraage</t>
  </si>
  <si>
    <t>Les déferlantes</t>
  </si>
  <si>
    <t>YEW</t>
  </si>
  <si>
    <t>IV</t>
  </si>
  <si>
    <t>Black metal, Western</t>
  </si>
  <si>
    <t>Xavier Boscher</t>
  </si>
  <si>
    <t>La Cité Séraphine</t>
  </si>
  <si>
    <t>Ültra Raptör</t>
  </si>
  <si>
    <t>Fossilized</t>
  </si>
  <si>
    <t>Hedras</t>
  </si>
  <si>
    <t>Front Line</t>
  </si>
  <si>
    <t>Occult Kenji</t>
  </si>
  <si>
    <t>Of Gods and Ancestors</t>
  </si>
  <si>
    <t>Folk metal, Metalcore</t>
  </si>
  <si>
    <t>Vials of Wrath</t>
  </si>
  <si>
    <t>Remnants for Remembrance</t>
  </si>
  <si>
    <t>Atmospheric Black metal, Blackgaze, Folk metal</t>
  </si>
  <si>
    <t>Maryville, TN</t>
  </si>
  <si>
    <t>Illusive Key</t>
  </si>
  <si>
    <t>Consume Us</t>
  </si>
  <si>
    <t>Hedmark</t>
  </si>
  <si>
    <t>Blackgaze, Post-Punk, Alt-rock</t>
  </si>
  <si>
    <t>Dead Eyes</t>
  </si>
  <si>
    <t>Black Hole Heart</t>
  </si>
  <si>
    <t>Post-Hardcore, Metalcore, Alt-metal</t>
  </si>
  <si>
    <t>40 Below Summer</t>
  </si>
  <si>
    <t>Untethered</t>
  </si>
  <si>
    <t>Nu metal, Alt-metal</t>
  </si>
  <si>
    <t>Coldest Keep in Bitter Heavens</t>
  </si>
  <si>
    <t>Avant-Garde metal, Black metal, Chiptune</t>
  </si>
  <si>
    <t>Light Dweller &amp; Aoecist &amp; Sleep Paralysis</t>
  </si>
  <si>
    <t>Illusory Dissolvents</t>
  </si>
  <si>
    <t>Intraether</t>
  </si>
  <si>
    <t>Vestiges</t>
  </si>
  <si>
    <t>Plague Curse</t>
  </si>
  <si>
    <t>Verminous Contempt</t>
  </si>
  <si>
    <t>Omnivide</t>
  </si>
  <si>
    <t>Arise</t>
  </si>
  <si>
    <t>Moncton, Canada</t>
  </si>
  <si>
    <t>Blindfolded and Led to the Woods</t>
  </si>
  <si>
    <t>The Hardest Thing About Being God Is That No One Believes Me</t>
  </si>
  <si>
    <t>Testament</t>
  </si>
  <si>
    <t>Para Bellum</t>
  </si>
  <si>
    <t>Berkeley, CA</t>
  </si>
  <si>
    <t>Ways to the Grave</t>
  </si>
  <si>
    <t>Echoes of Extinction</t>
  </si>
  <si>
    <t>Soul Blind</t>
  </si>
  <si>
    <t>Red Sky Mourning</t>
  </si>
  <si>
    <t>Alt-metal, Shoegaze, Grunge</t>
  </si>
  <si>
    <t>Terzij de Horde</t>
  </si>
  <si>
    <t>Our Breath Is Not Ours Alone</t>
  </si>
  <si>
    <t>Black metal, Post-metal, Hardcore</t>
  </si>
  <si>
    <t>Stonebirds</t>
  </si>
  <si>
    <t>Perpetual Wasteland</t>
  </si>
  <si>
    <t>Rostrenen, France</t>
  </si>
  <si>
    <t>God Alone.</t>
  </si>
  <si>
    <t>The Beep Test</t>
  </si>
  <si>
    <t>Post-Hardcore, Post-metal, Math rock</t>
  </si>
  <si>
    <t>Cork, Ireland</t>
  </si>
  <si>
    <t>Frayle</t>
  </si>
  <si>
    <t>Heretics &amp; Lullabies</t>
  </si>
  <si>
    <t>Doom metal, Gothic metal, Doomgaze</t>
  </si>
  <si>
    <t>Greyhaven</t>
  </si>
  <si>
    <t>Keep It Quiet</t>
  </si>
  <si>
    <t>Coastlands</t>
  </si>
  <si>
    <t>Post-metal, Post-rock</t>
  </si>
  <si>
    <t>Hæresis</t>
  </si>
  <si>
    <t>Si Vis Pacem Para Bellum</t>
  </si>
  <si>
    <t>Litania</t>
  </si>
  <si>
    <t>Doom metal, Heavy Psych, Hindustani</t>
  </si>
  <si>
    <t>Italy / Serbia</t>
  </si>
  <si>
    <t>Sanguisugabogg</t>
  </si>
  <si>
    <t>Hideous Aftermath</t>
  </si>
  <si>
    <t>Skold</t>
  </si>
  <si>
    <t>Caught In The Throes</t>
  </si>
  <si>
    <t>Industrial metal</t>
  </si>
  <si>
    <t>Undersave</t>
  </si>
  <si>
    <t>Merged In Abstract Perdition</t>
  </si>
  <si>
    <t>Serpent God</t>
  </si>
  <si>
    <t>Denial</t>
  </si>
  <si>
    <t>Altars Ablaze</t>
  </si>
  <si>
    <t>Indiscriminate Extermination</t>
  </si>
  <si>
    <t>SLYTHER</t>
  </si>
  <si>
    <t>Chronicles Of Despair</t>
  </si>
  <si>
    <t>Crossover Thrash, Heavy metal</t>
  </si>
  <si>
    <t>Pescara, Italy</t>
  </si>
  <si>
    <t>Dead Heat</t>
  </si>
  <si>
    <t>Process of Elimination</t>
  </si>
  <si>
    <t>Extortionist</t>
  </si>
  <si>
    <t>Stare Into The Seething Wounds</t>
  </si>
  <si>
    <t>Morke</t>
  </si>
  <si>
    <t>To Carry On</t>
  </si>
  <si>
    <t>Vile Apparition</t>
  </si>
  <si>
    <t>Malignity</t>
  </si>
  <si>
    <t>Brutal Death metal, Death metal</t>
  </si>
  <si>
    <t>Starer</t>
  </si>
  <si>
    <t>Ancient Monuments and Modern Sadness</t>
  </si>
  <si>
    <t>Atmospheric Black metal, Symphonic Black metal</t>
  </si>
  <si>
    <t>Bowling Green, KY</t>
  </si>
  <si>
    <t>Cemican</t>
  </si>
  <si>
    <t>U k'u'uk'ankil Mayakaaj</t>
  </si>
  <si>
    <t>Eldfödd</t>
  </si>
  <si>
    <t>Risen from the Flames</t>
  </si>
  <si>
    <t>Tanvald</t>
  </si>
  <si>
    <t>Nemofilista</t>
  </si>
  <si>
    <t>Atmospheric Black metal, DSBM</t>
  </si>
  <si>
    <t>Tanvald, Czechia</t>
  </si>
  <si>
    <t>Heads for the Dead</t>
  </si>
  <si>
    <t>Never Ending Night Of Terror</t>
  </si>
  <si>
    <t>Heavy//Hitter</t>
  </si>
  <si>
    <t>Coming to Terms</t>
  </si>
  <si>
    <t>Cthvn</t>
  </si>
  <si>
    <t>Hymn</t>
  </si>
  <si>
    <t>Plague Doctor</t>
  </si>
  <si>
    <t>Sludge metal, Doom metal, Death metal</t>
  </si>
  <si>
    <t>Fed Ash</t>
  </si>
  <si>
    <t>Rotting Exuberance</t>
  </si>
  <si>
    <t>Experimental metal, Grindcore, Sludge metal</t>
  </si>
  <si>
    <t>Binghamton, NY</t>
  </si>
  <si>
    <t>All Hell</t>
  </si>
  <si>
    <t>Sunsetter</t>
  </si>
  <si>
    <t>Black metal, Crust Punk, Black 'n' Roll</t>
  </si>
  <si>
    <t>Vulnificus</t>
  </si>
  <si>
    <t>Inclination</t>
  </si>
  <si>
    <t>abriction</t>
  </si>
  <si>
    <t>Forbidden Bounds</t>
  </si>
  <si>
    <t>Krakh</t>
  </si>
  <si>
    <t>Holes in Our Hearts</t>
  </si>
  <si>
    <t>Ufa, Russia</t>
  </si>
  <si>
    <t>Katakomba</t>
  </si>
  <si>
    <t>The Second Death</t>
  </si>
  <si>
    <t>Etěr</t>
  </si>
  <si>
    <t>Cichość Światów</t>
  </si>
  <si>
    <t>Experimental Death metal, Avant-Garde metal, Dissonant</t>
  </si>
  <si>
    <t>Plegia</t>
  </si>
  <si>
    <t>Obedience</t>
  </si>
  <si>
    <t>Refuse The Future</t>
  </si>
  <si>
    <t>Burned Beyond</t>
  </si>
  <si>
    <t>Montezuma's Revenge</t>
  </si>
  <si>
    <t>VETO</t>
  </si>
  <si>
    <t>Dubai, UAE</t>
  </si>
  <si>
    <t>Earshot</t>
  </si>
  <si>
    <t>Humaning</t>
  </si>
  <si>
    <t>Alt-metal, Post-Grunge, Hard rock</t>
  </si>
  <si>
    <t>Kirk Windstein</t>
  </si>
  <si>
    <t>Ethereal Waves</t>
  </si>
  <si>
    <t>Egor Lappo</t>
  </si>
  <si>
    <t>Skyline</t>
  </si>
  <si>
    <t>Javier Valdi</t>
  </si>
  <si>
    <t>Serendipia</t>
  </si>
  <si>
    <t>Sunn O)))</t>
  </si>
  <si>
    <t>Eternity's Pillars b/w Raise the Chalice &amp; Reverential</t>
  </si>
  <si>
    <t>Invillith</t>
  </si>
  <si>
    <t>Paradigm</t>
  </si>
  <si>
    <t>Ladders on Tables</t>
  </si>
  <si>
    <t>Ground Dweller: Remade</t>
  </si>
  <si>
    <t>Juneau</t>
  </si>
  <si>
    <t>Scraps of the Final Lights</t>
  </si>
  <si>
    <t>Elidi</t>
  </si>
  <si>
    <t>Angor Animi</t>
  </si>
  <si>
    <t>I Saw Daylight</t>
  </si>
  <si>
    <t>smilingisoverated</t>
  </si>
  <si>
    <t>Ulm, Germany</t>
  </si>
  <si>
    <t>Anicca</t>
  </si>
  <si>
    <t>Soul Grinder</t>
  </si>
  <si>
    <t>Frozen Halls</t>
  </si>
  <si>
    <t>Lammoth / Gonemage</t>
  </si>
  <si>
    <t>Aetherfrost Caverns</t>
  </si>
  <si>
    <t>Symphonic Black metal, Black metal, Electronic</t>
  </si>
  <si>
    <t>Azell</t>
  </si>
  <si>
    <t>Astralis</t>
  </si>
  <si>
    <t>Wolvennest</t>
  </si>
  <si>
    <t>Procession</t>
  </si>
  <si>
    <t>Doom metal, Occult rock, Heavy Psych</t>
  </si>
  <si>
    <t>IAN</t>
  </si>
  <si>
    <t>Come On Everybody, Let's Do Nothing!</t>
  </si>
  <si>
    <t>Post-metal, Doom metal, Noise rock</t>
  </si>
  <si>
    <t>Dysylumn</t>
  </si>
  <si>
    <t>Abstraction</t>
  </si>
  <si>
    <t>Afsky</t>
  </si>
  <si>
    <t>Fællesskab</t>
  </si>
  <si>
    <t>Evoken</t>
  </si>
  <si>
    <t>Mendacium</t>
  </si>
  <si>
    <t>Lyndhurst, NJ</t>
  </si>
  <si>
    <t>Coroner</t>
  </si>
  <si>
    <t>Dissonance Theory</t>
  </si>
  <si>
    <t>Defigurement</t>
  </si>
  <si>
    <t>Endbryo</t>
  </si>
  <si>
    <t>Technical Death metal, Grindcore</t>
  </si>
  <si>
    <t>Tribal Gaze</t>
  </si>
  <si>
    <t>Inveighing Brilliance</t>
  </si>
  <si>
    <t>Longview, TX</t>
  </si>
  <si>
    <t>Wretched</t>
  </si>
  <si>
    <t>Decay</t>
  </si>
  <si>
    <t>Daedric</t>
  </si>
  <si>
    <t>As the Light Left</t>
  </si>
  <si>
    <t>Tombs</t>
  </si>
  <si>
    <t>Feral Darkness</t>
  </si>
  <si>
    <t>Internal Bleeding</t>
  </si>
  <si>
    <t>Settle All Scores</t>
  </si>
  <si>
    <t>Sabaton</t>
  </si>
  <si>
    <t>Legends</t>
  </si>
  <si>
    <t>An Abstract Illusion</t>
  </si>
  <si>
    <t>The Sleeping City</t>
  </si>
  <si>
    <t>Perishing</t>
  </si>
  <si>
    <t>Malicious Acropolis Unveiled</t>
  </si>
  <si>
    <t>Uaar</t>
  </si>
  <si>
    <t>Galger og Brann</t>
  </si>
  <si>
    <t>Hardcore, D-beat</t>
  </si>
  <si>
    <t>Battle Beast</t>
  </si>
  <si>
    <t>Steelbound</t>
  </si>
  <si>
    <t>Power metal, Hard rock, AOR</t>
  </si>
  <si>
    <t>Death Has Spoken</t>
  </si>
  <si>
    <t>Bialystok, Poland</t>
  </si>
  <si>
    <t>GraveRipper</t>
  </si>
  <si>
    <t>From Welkin to Tundra</t>
  </si>
  <si>
    <t>Silent Tombs</t>
  </si>
  <si>
    <t>Mourning Hymns From Beyond</t>
  </si>
  <si>
    <t>Colima, Mexico</t>
  </si>
  <si>
    <t>Carach Angren</t>
  </si>
  <si>
    <t>The Cult of Kariba</t>
  </si>
  <si>
    <t>Landgraaf, Netherlands</t>
  </si>
  <si>
    <t>The Isosceles Project</t>
  </si>
  <si>
    <t>Bear The Torch</t>
  </si>
  <si>
    <t>Now i've Done it</t>
  </si>
  <si>
    <t>An Ill Guest</t>
  </si>
  <si>
    <t>Thrillrot</t>
  </si>
  <si>
    <t>Kaksonen</t>
  </si>
  <si>
    <t>Valo-olento</t>
  </si>
  <si>
    <t>Thrash metal, Epic metal</t>
  </si>
  <si>
    <t>Void of Sleep</t>
  </si>
  <si>
    <t>The Abyss into which We All Have to Stare</t>
  </si>
  <si>
    <t>Czart</t>
  </si>
  <si>
    <t>Czarty Polskie</t>
  </si>
  <si>
    <t>Black metal, Death metal, Heavy metal</t>
  </si>
  <si>
    <t>Wild Beyond</t>
  </si>
  <si>
    <t>Black Sites In Lower Chambers</t>
  </si>
  <si>
    <t>Fuzznaut</t>
  </si>
  <si>
    <t>Resistant Spirit</t>
  </si>
  <si>
    <t>Doom metal, Post-rock, Shoegaze</t>
  </si>
  <si>
    <t>Deep Cross</t>
  </si>
  <si>
    <t>Scaffolded Dawn</t>
  </si>
  <si>
    <t>Post-Industrial, Doomgaze</t>
  </si>
  <si>
    <t>Biohazard</t>
  </si>
  <si>
    <t>Divided We Fall</t>
  </si>
  <si>
    <t>Hardcore Punk, Groove metal, Rap metal</t>
  </si>
  <si>
    <t>Khroma</t>
  </si>
  <si>
    <t>Cyber metal, Djent</t>
  </si>
  <si>
    <t>Æternia</t>
  </si>
  <si>
    <t>Into the Golden Halls</t>
  </si>
  <si>
    <t>Siegen, Germany</t>
  </si>
  <si>
    <t>Hellbearer</t>
  </si>
  <si>
    <t>Darker Fates</t>
  </si>
  <si>
    <t>Erdling</t>
  </si>
  <si>
    <t>Mana</t>
  </si>
  <si>
    <t>Neue Deutsche Härte, Alt-metal, Gothic metal, Industrial</t>
  </si>
  <si>
    <t>Last Shot At Redemption</t>
  </si>
  <si>
    <t>Perspective</t>
  </si>
  <si>
    <t>Prog-metal, Thrash metal, Heavy metal</t>
  </si>
  <si>
    <t>Nimbifer</t>
  </si>
  <si>
    <t>Vom Gipfel</t>
  </si>
  <si>
    <t>Hannover, Germany</t>
  </si>
  <si>
    <t>Rå</t>
  </si>
  <si>
    <t>Tooth</t>
  </si>
  <si>
    <t>Armoured Knight</t>
  </si>
  <si>
    <t>The Quest for the Sacred Melody</t>
  </si>
  <si>
    <t>Peñaflor, Chile</t>
  </si>
  <si>
    <t>DET</t>
  </si>
  <si>
    <t>Destructive Elite Terror</t>
  </si>
  <si>
    <t>Speed metal, Black metal</t>
  </si>
  <si>
    <t>Onrust</t>
  </si>
  <si>
    <t>Van Woede Tot Wanhoop</t>
  </si>
  <si>
    <t>Abeyance</t>
  </si>
  <si>
    <t>Introspective Crusades</t>
  </si>
  <si>
    <t>Deteriorot</t>
  </si>
  <si>
    <t>Lowell, NC</t>
  </si>
  <si>
    <t>Vanguardian</t>
  </si>
  <si>
    <t>III: Inhumanity</t>
  </si>
  <si>
    <t>Liv Moon</t>
  </si>
  <si>
    <t>The Land of Spirits</t>
  </si>
  <si>
    <t>Esca Illicium</t>
  </si>
  <si>
    <t>Everything Out There Has Teeth</t>
  </si>
  <si>
    <t>Doomgaze, Post-metal, Alt-metal</t>
  </si>
  <si>
    <t>deers</t>
  </si>
  <si>
    <t>You Were So Nice</t>
  </si>
  <si>
    <t>Kent, OH</t>
  </si>
  <si>
    <t>Mattias IA Eklundh/Freak Audio Lab</t>
  </si>
  <si>
    <t>Resist The Erosion</t>
  </si>
  <si>
    <t>Krallice</t>
  </si>
  <si>
    <t>No Hope</t>
  </si>
  <si>
    <t>Rolo Tomassi</t>
  </si>
  <si>
    <t>In the Echo of All Dreams</t>
  </si>
  <si>
    <t>Prog-metal, Post-Hardcore, Mathcore</t>
  </si>
  <si>
    <t>Eryn Non Dae.</t>
  </si>
  <si>
    <t>Disunited States Of Anima</t>
  </si>
  <si>
    <t>Prog-metal, Sludge metal, Djent</t>
  </si>
  <si>
    <t>Devoid of Thought</t>
  </si>
  <si>
    <t>Necrotic Surface Discarded</t>
  </si>
  <si>
    <t>HEAVENSGATE</t>
  </si>
  <si>
    <t>A Heart Is a Heavy Burden</t>
  </si>
  <si>
    <t>Galactic Empire</t>
  </si>
  <si>
    <t>Cinemetal</t>
  </si>
  <si>
    <t>Lancaster, PA</t>
  </si>
  <si>
    <t>Dayseeker</t>
  </si>
  <si>
    <t>Creature in the Black Night</t>
  </si>
  <si>
    <t>Dawnwalker</t>
  </si>
  <si>
    <t>The Between</t>
  </si>
  <si>
    <t>Aduanten</t>
  </si>
  <si>
    <t>Apocryphal Verse</t>
  </si>
  <si>
    <t>Leprous</t>
  </si>
  <si>
    <t>An Evening of Atonement (Live)</t>
  </si>
  <si>
    <t>Prog-metal, Art rock</t>
  </si>
  <si>
    <t>Notodden, Norway</t>
  </si>
  <si>
    <t>Blackshape</t>
  </si>
  <si>
    <t>Prismer I</t>
  </si>
  <si>
    <t>Soulfly</t>
  </si>
  <si>
    <t>Chama</t>
  </si>
  <si>
    <t>Groove metal, Thrash metal, Nu-metal</t>
  </si>
  <si>
    <t>Old Year</t>
  </si>
  <si>
    <t>No Dissent</t>
  </si>
  <si>
    <t>Doom metal, Death metal, Sludge metal, Drone metal</t>
  </si>
  <si>
    <t>Raein</t>
  </si>
  <si>
    <t>Forme Sommerse</t>
  </si>
  <si>
    <t>Forli, Italy</t>
  </si>
  <si>
    <t>Maladie</t>
  </si>
  <si>
    <t>Symptoms V</t>
  </si>
  <si>
    <t>Ludwigshafen, Germany</t>
  </si>
  <si>
    <t>Downswing</t>
  </si>
  <si>
    <t>And Everything Was Dark</t>
  </si>
  <si>
    <t>Albany, NY</t>
  </si>
  <si>
    <t>Mastiff</t>
  </si>
  <si>
    <t>For All the Dead Dreams</t>
  </si>
  <si>
    <t>Sludge metal, Metalcore, Deathcore</t>
  </si>
  <si>
    <t>Hull, UK</t>
  </si>
  <si>
    <t>Conjurer</t>
  </si>
  <si>
    <t>Unself</t>
  </si>
  <si>
    <t>Rugby, UK</t>
  </si>
  <si>
    <t>Psychonaut</t>
  </si>
  <si>
    <t>World Maker</t>
  </si>
  <si>
    <t>Sunken</t>
  </si>
  <si>
    <t>Lykke</t>
  </si>
  <si>
    <t>Nadja</t>
  </si>
  <si>
    <t>Cut</t>
  </si>
  <si>
    <t>Experimental Drone, Doom metal, Industrial</t>
  </si>
  <si>
    <t>Adept</t>
  </si>
  <si>
    <t>Blood Covenant</t>
  </si>
  <si>
    <t>Trosa, Sweden</t>
  </si>
  <si>
    <t>Sumo Cyco</t>
  </si>
  <si>
    <t>Neon Void</t>
  </si>
  <si>
    <t>The Acacia Strain</t>
  </si>
  <si>
    <t>You Are Safe From God Here</t>
  </si>
  <si>
    <t>Deathcore, Metalcore, Sludge metal</t>
  </si>
  <si>
    <t>Chicopee, MA</t>
  </si>
  <si>
    <t>Brahman</t>
  </si>
  <si>
    <t>Jet Jaguar</t>
  </si>
  <si>
    <t>Cancún, Mexico</t>
  </si>
  <si>
    <t>Remina</t>
  </si>
  <si>
    <t>The Silver Sea</t>
  </si>
  <si>
    <t>Dunedin, New Zealand</t>
  </si>
  <si>
    <t>Bonginator</t>
  </si>
  <si>
    <t>Retrodeath</t>
  </si>
  <si>
    <t>Fatal Portrait</t>
  </si>
  <si>
    <t>An Elusive Instinct for Lascivia Redvx</t>
  </si>
  <si>
    <t>Santander, Spain</t>
  </si>
  <si>
    <t>Cattlemass</t>
  </si>
  <si>
    <t>Alpha 1128</t>
  </si>
  <si>
    <t>Elettra Storm</t>
  </si>
  <si>
    <t>Evertale</t>
  </si>
  <si>
    <t>Devastrosity</t>
  </si>
  <si>
    <t>Eviscerating Desolation</t>
  </si>
  <si>
    <t>Glasya</t>
  </si>
  <si>
    <t>Fear</t>
  </si>
  <si>
    <t>Wino</t>
  </si>
  <si>
    <t>Create or Die</t>
  </si>
  <si>
    <t>Them</t>
  </si>
  <si>
    <t>Psychedelic Enigma</t>
  </si>
  <si>
    <t>Drofnosura</t>
  </si>
  <si>
    <t>Ritual of Split Tongues</t>
  </si>
  <si>
    <t>Atmospheric Sludge metal, Black metal, Post-metal</t>
  </si>
  <si>
    <t>Bergfried</t>
  </si>
  <si>
    <t>Romantik III</t>
  </si>
  <si>
    <t>Hostilia</t>
  </si>
  <si>
    <t>Face the Fire</t>
  </si>
  <si>
    <t>Nine Treasures</t>
  </si>
  <si>
    <t>Seeking the Absolute</t>
  </si>
  <si>
    <t>Ben Simon</t>
  </si>
  <si>
    <t>No Trees Grow Here</t>
  </si>
  <si>
    <t>Scorching Tomb</t>
  </si>
  <si>
    <t>Sunburster</t>
  </si>
  <si>
    <t>No Semblance Of Peaceful Existence</t>
  </si>
  <si>
    <t>Dawn Fades</t>
  </si>
  <si>
    <t>Phaeton</t>
  </si>
  <si>
    <t>Neurogenesis</t>
  </si>
  <si>
    <t>Kimberley, Canada</t>
  </si>
  <si>
    <t>Valletta</t>
  </si>
  <si>
    <t>Bitter Lucid Truth</t>
  </si>
  <si>
    <t>Memories of Old</t>
  </si>
  <si>
    <t>Never Stop Believing</t>
  </si>
  <si>
    <t>Born Divided</t>
  </si>
  <si>
    <t>Chronicle Of A Shipwreck</t>
  </si>
  <si>
    <t>Draculum</t>
  </si>
  <si>
    <t>Poems of Spellcraft</t>
  </si>
  <si>
    <t>Ars Onirica</t>
  </si>
  <si>
    <t>2.5 Nighttime EP</t>
  </si>
  <si>
    <t>Melodic Death metal, Doom metal, Gothic metal</t>
  </si>
  <si>
    <t>Cemetery Moon</t>
  </si>
  <si>
    <t>Dominion of Ashes</t>
  </si>
  <si>
    <t>Benévola</t>
  </si>
  <si>
    <t>Desvelo, Lluvia Fina</t>
  </si>
  <si>
    <t>Disarray</t>
  </si>
  <si>
    <t>The Darkening</t>
  </si>
  <si>
    <t>Dickson, TN</t>
  </si>
  <si>
    <t>Përl</t>
  </si>
  <si>
    <t>Architecture du Vertige</t>
  </si>
  <si>
    <t>The Munsens</t>
  </si>
  <si>
    <t>Degradation in the Hyperreal</t>
  </si>
  <si>
    <t>Torture Hammer</t>
  </si>
  <si>
    <t>Irr</t>
  </si>
  <si>
    <t>Remains Remain</t>
  </si>
  <si>
    <t>Trash Compactor</t>
  </si>
  <si>
    <t>Trash Compactor EP</t>
  </si>
  <si>
    <t>Death metal, Groove metal, Thrash metal</t>
  </si>
  <si>
    <t>Epistulum</t>
  </si>
  <si>
    <t>Cantiga Psychotica</t>
  </si>
  <si>
    <t>Leiden, Netherlands</t>
  </si>
  <si>
    <t>Helix Noire</t>
  </si>
  <si>
    <t>Becoming The Cure</t>
  </si>
  <si>
    <t>Melodic Death metal, Groove metal</t>
  </si>
  <si>
    <t>Fordæðuskapr</t>
  </si>
  <si>
    <t>Hræflóð markar fjalla</t>
  </si>
  <si>
    <t>Daytripper</t>
  </si>
  <si>
    <t>The Alchemist</t>
  </si>
  <si>
    <t>Elijah</t>
  </si>
  <si>
    <t>Lowest</t>
  </si>
  <si>
    <t>Blaze</t>
  </si>
  <si>
    <t>Out Through the Door</t>
  </si>
  <si>
    <t>Coldrain</t>
  </si>
  <si>
    <t>Optimize</t>
  </si>
  <si>
    <t>Alt-metal, Post-Hardcore, Metalcore</t>
  </si>
  <si>
    <t>Auriferous Flame</t>
  </si>
  <si>
    <t>The Duel</t>
  </si>
  <si>
    <t>Ambra</t>
  </si>
  <si>
    <t>Remnant</t>
  </si>
  <si>
    <t>Prog-metal, Stoner metal, Alt-rock</t>
  </si>
  <si>
    <t>Ljubljana, Slovenia</t>
  </si>
  <si>
    <t>Zaratus</t>
  </si>
  <si>
    <t>Those Who Dwell Beyond</t>
  </si>
  <si>
    <t>Hellenic Black metal</t>
  </si>
  <si>
    <t>bodyscan</t>
  </si>
  <si>
    <t>The Escapist</t>
  </si>
  <si>
    <t>P+A+G+E+S</t>
  </si>
  <si>
    <t>No More Can Be Done</t>
  </si>
  <si>
    <t>Post-metal, Sludge metal, Drone metal</t>
  </si>
  <si>
    <t>Cape Town, South Africa</t>
  </si>
  <si>
    <t>Flaming Row</t>
  </si>
  <si>
    <t>Keeper Of The Scriptures (Hüterin Der Schriften)</t>
  </si>
  <si>
    <t>Evil Beast</t>
  </si>
  <si>
    <t>Summoning the Beast</t>
  </si>
  <si>
    <t>Pillory</t>
  </si>
  <si>
    <t>Old Soul</t>
  </si>
  <si>
    <t>Powercross</t>
  </si>
  <si>
    <t>Renaissance</t>
  </si>
  <si>
    <t>夢遊病者 (Sleepwalker)</t>
  </si>
  <si>
    <t>РЛБ30011922</t>
  </si>
  <si>
    <t>Experimental metal</t>
  </si>
  <si>
    <t>Kreyll</t>
  </si>
  <si>
    <t>Ontzielingsrituelen</t>
  </si>
  <si>
    <t>Dissonant Black metal, Post-metal</t>
  </si>
  <si>
    <t>Heeze, Netherlands</t>
  </si>
  <si>
    <t>Gatto Black</t>
  </si>
  <si>
    <t>Sky Is Blue</t>
  </si>
  <si>
    <t>Post-Hardcore, Emo-Punk</t>
  </si>
  <si>
    <t>Saeva</t>
  </si>
  <si>
    <t>I Hope You've Healed From All You Wouldn't Say</t>
  </si>
  <si>
    <t>Demoniac</t>
  </si>
  <si>
    <t>Nube Negra en Vivo</t>
  </si>
  <si>
    <t>Limache, Chile</t>
  </si>
  <si>
    <t>Kias</t>
  </si>
  <si>
    <t>Swatantra</t>
  </si>
  <si>
    <t>Epic Skramz</t>
  </si>
  <si>
    <t>Selangor, Malaysia</t>
  </si>
  <si>
    <t>Murder Machine</t>
  </si>
  <si>
    <t>Yellow Eyes</t>
  </si>
  <si>
    <t>Confusion Gate</t>
  </si>
  <si>
    <t>Runemagick</t>
  </si>
  <si>
    <t>Cycle Of The Dying Sun (Dawn Of Ashen Realms)</t>
  </si>
  <si>
    <t>Currents</t>
  </si>
  <si>
    <t>All That Follows</t>
  </si>
  <si>
    <t>Newtown, CT</t>
  </si>
  <si>
    <t>Frontierer</t>
  </si>
  <si>
    <t>Orange Mathematics (Redux)</t>
  </si>
  <si>
    <t>Wiltwither</t>
  </si>
  <si>
    <t>Pure Light</t>
  </si>
  <si>
    <t>Orm</t>
  </si>
  <si>
    <t>Guld</t>
  </si>
  <si>
    <t>Deez Nuts</t>
  </si>
  <si>
    <t>Saudade</t>
  </si>
  <si>
    <t>Hardcore Punk, Rap metal</t>
  </si>
  <si>
    <t>Primitive Man</t>
  </si>
  <si>
    <t>Observance</t>
  </si>
  <si>
    <t>Massa Nera</t>
  </si>
  <si>
    <t>The Emptiness of All Things</t>
  </si>
  <si>
    <t>Linden, NJ</t>
  </si>
  <si>
    <t>Aephanemer</t>
  </si>
  <si>
    <t>Utopie</t>
  </si>
  <si>
    <t>Chat Pile &amp; Hayden Pedigo</t>
  </si>
  <si>
    <t>In The Earth Again</t>
  </si>
  <si>
    <t>Sludge metal, Noise rock, American Primitivism</t>
  </si>
  <si>
    <t>Avatar</t>
  </si>
  <si>
    <t>Don't Go In The Forest</t>
  </si>
  <si>
    <t>Groove metal, Alt-metal, Heavy metal</t>
  </si>
  <si>
    <t>Unprocessed</t>
  </si>
  <si>
    <t>Angel</t>
  </si>
  <si>
    <t>Wiesbaden, Germany</t>
  </si>
  <si>
    <t>Mantah</t>
  </si>
  <si>
    <t>Antidote</t>
  </si>
  <si>
    <t>Nu-metal, Alt-metal, Metalcore</t>
  </si>
  <si>
    <t>Torhout, Belgium</t>
  </si>
  <si>
    <t>Despised Icon</t>
  </si>
  <si>
    <t>Shadow Work</t>
  </si>
  <si>
    <t>Trivium</t>
  </si>
  <si>
    <t>Struck Dead</t>
  </si>
  <si>
    <t>Flesh Field</t>
  </si>
  <si>
    <t>Belief Control</t>
  </si>
  <si>
    <t>Industrial metal, Electro-Industrial</t>
  </si>
  <si>
    <t>Asleep At The Helm</t>
  </si>
  <si>
    <t>Ornate Resentment</t>
  </si>
  <si>
    <t>Oblivion Sacrifice</t>
  </si>
  <si>
    <t>Echoes of the Gallows</t>
  </si>
  <si>
    <t>Pirate metal, Symphonic metal</t>
  </si>
  <si>
    <t>Bloom</t>
  </si>
  <si>
    <t>The Light We Chase</t>
  </si>
  <si>
    <t>Bloody Moon</t>
  </si>
  <si>
    <t>Lost &amp; Damned</t>
  </si>
  <si>
    <t>Laitila, Finland</t>
  </si>
  <si>
    <t>Barren Path</t>
  </si>
  <si>
    <t>Grieving</t>
  </si>
  <si>
    <t>Dwelling Below</t>
  </si>
  <si>
    <t>Wearisome Guardians</t>
  </si>
  <si>
    <t>Outlaw</t>
  </si>
  <si>
    <t>Opus Mortis</t>
  </si>
  <si>
    <t>Empire Drowns</t>
  </si>
  <si>
    <t>Endless Nights</t>
  </si>
  <si>
    <t>Night in Gales</t>
  </si>
  <si>
    <t>Sylphlike (Re-Recording 2025)</t>
  </si>
  <si>
    <t>Voerde, Germany</t>
  </si>
  <si>
    <t>Moonspell</t>
  </si>
  <si>
    <t>Opus Diabolicum - The Orchestral Live Show</t>
  </si>
  <si>
    <t>Prog-metal, Gothic metal</t>
  </si>
  <si>
    <t>Brandoa, Portugal</t>
  </si>
  <si>
    <t>Tales of Mike</t>
  </si>
  <si>
    <t>Human</t>
  </si>
  <si>
    <t>Doom metal, Death metal, Heavy metal</t>
  </si>
  <si>
    <t>Bastard Cröss</t>
  </si>
  <si>
    <t>Crossripper</t>
  </si>
  <si>
    <t>Believe in Nothing</t>
  </si>
  <si>
    <t>Rot</t>
  </si>
  <si>
    <t>Eastbourne, UK</t>
  </si>
  <si>
    <t>Heteropsy</t>
  </si>
  <si>
    <t>Embalming</t>
  </si>
  <si>
    <t>Bianca</t>
  </si>
  <si>
    <t>Atmospheric black metal, doom metal, avant-garde metal</t>
  </si>
  <si>
    <t>One of Nine</t>
  </si>
  <si>
    <t>Dawn of the Iron Shadow</t>
  </si>
  <si>
    <t>Bog Wizard</t>
  </si>
  <si>
    <t>Satanik Panik</t>
  </si>
  <si>
    <t>Doom metal, Sludge metal, Stoner metal</t>
  </si>
  <si>
    <t>Elenion</t>
  </si>
  <si>
    <t>The Symphony of the Night</t>
  </si>
  <si>
    <t>Railhazer</t>
  </si>
  <si>
    <t>Trashtronaut</t>
  </si>
  <si>
    <t>Saint Louis, MO</t>
  </si>
  <si>
    <t>King 810</t>
  </si>
  <si>
    <t>Rustbelt Numetal 2</t>
  </si>
  <si>
    <t>Nu-metal, Rap metal</t>
  </si>
  <si>
    <t>Flint, MI</t>
  </si>
  <si>
    <t>Redshark</t>
  </si>
  <si>
    <t>Sudden Impact</t>
  </si>
  <si>
    <t>Stillbirth</t>
  </si>
  <si>
    <t>Survival Protocol</t>
  </si>
  <si>
    <t>Hagen, Germany</t>
  </si>
  <si>
    <t>Kuolemankello</t>
  </si>
  <si>
    <t>Perkeet</t>
  </si>
  <si>
    <t>Proto-metal, Heavy rock</t>
  </si>
  <si>
    <t>Burned In Effigy</t>
  </si>
  <si>
    <t>Tyrannus Aeternum</t>
  </si>
  <si>
    <t>Black Cross Hotel</t>
  </si>
  <si>
    <t>Songs For Switches</t>
  </si>
  <si>
    <t>Industrial metal, Post-metal, Gothic metal</t>
  </si>
  <si>
    <t>Thron</t>
  </si>
  <si>
    <t>Vurias</t>
  </si>
  <si>
    <t>VII Vitium</t>
  </si>
  <si>
    <t>Doom metal, Occult rock</t>
  </si>
  <si>
    <t>Shrine Maiden</t>
  </si>
  <si>
    <t>A Theory of /Cloud/</t>
  </si>
  <si>
    <t>Doom metal, Dark Ambient, Shoegaze</t>
  </si>
  <si>
    <t>Miasmata</t>
  </si>
  <si>
    <t>Subterrania</t>
  </si>
  <si>
    <t>Abysmal Descent</t>
  </si>
  <si>
    <t>Dismal Thoughts</t>
  </si>
  <si>
    <t>Spite</t>
  </si>
  <si>
    <t>New World Killer</t>
  </si>
  <si>
    <t>Vandampire</t>
  </si>
  <si>
    <t>Hope Scars</t>
  </si>
  <si>
    <t>Shades of Deep Water</t>
  </si>
  <si>
    <t>The Years on Borrowed Time</t>
  </si>
  <si>
    <t>Grave Ghoul</t>
  </si>
  <si>
    <t>Gruesome And Macabre</t>
  </si>
  <si>
    <t>Aquilla</t>
  </si>
  <si>
    <t>Sentinels of New Dawn</t>
  </si>
  <si>
    <t>Infrahumano</t>
  </si>
  <si>
    <t>Depths of Suffering</t>
  </si>
  <si>
    <t>Vigo, Spain</t>
  </si>
  <si>
    <t>Sypsis</t>
  </si>
  <si>
    <t>Annihilated Existence</t>
  </si>
  <si>
    <t>Istiaia, Greece</t>
  </si>
  <si>
    <t>Heraldic Blaze</t>
  </si>
  <si>
    <t>Monument of Will</t>
  </si>
  <si>
    <t>Incriminating Silence</t>
  </si>
  <si>
    <t>Rite of Reflection</t>
  </si>
  <si>
    <t>Spiritiste</t>
  </si>
  <si>
    <t>Excommunication Hymns</t>
  </si>
  <si>
    <t>Sailing Before The Wind</t>
  </si>
  <si>
    <t>Destination</t>
  </si>
  <si>
    <t>Saltbuck</t>
  </si>
  <si>
    <t>Gorb</t>
  </si>
  <si>
    <t>Gumm</t>
  </si>
  <si>
    <t>Beneath the Wheel</t>
  </si>
  <si>
    <t>Hardcore Punk, Post-Hardcore</t>
  </si>
  <si>
    <t>Chattanooga, TN</t>
  </si>
  <si>
    <t>Flesia</t>
  </si>
  <si>
    <t>Achterbahnekstase</t>
  </si>
  <si>
    <t>Hellslaught</t>
  </si>
  <si>
    <t>Violent Iconoclasm</t>
  </si>
  <si>
    <t>Man Of Sorrows</t>
  </si>
  <si>
    <t>As I Exist In The Endless Void</t>
  </si>
  <si>
    <t>Aviana</t>
  </si>
  <si>
    <t>Metalcore, Post-Hardcore, Djent</t>
  </si>
  <si>
    <t>Norrköping, Sweden</t>
  </si>
  <si>
    <t>Harkon</t>
  </si>
  <si>
    <t>Love And Vore</t>
  </si>
  <si>
    <t>SLIGM</t>
  </si>
  <si>
    <t>Untethered Dimensions</t>
  </si>
  <si>
    <t>Soara</t>
  </si>
  <si>
    <t>Moksha</t>
  </si>
  <si>
    <t>Oneironoia</t>
  </si>
  <si>
    <t>The Great Resignation</t>
  </si>
  <si>
    <t>Bersærk</t>
  </si>
  <si>
    <t>Verdens Vrang</t>
  </si>
  <si>
    <t>Subjected To Infinity</t>
  </si>
  <si>
    <t>Nightside of Eden</t>
  </si>
  <si>
    <t>Alabama, AL</t>
  </si>
  <si>
    <t>Canvas of Silence</t>
  </si>
  <si>
    <t>As the World Tree Fell</t>
  </si>
  <si>
    <t>Escara</t>
  </si>
  <si>
    <t>Memorias Previas a la Extinción</t>
  </si>
  <si>
    <t>Blackened Screamo</t>
  </si>
  <si>
    <t>Cali, Colombia</t>
  </si>
  <si>
    <t>Whalefall</t>
  </si>
  <si>
    <t>Ocean/Land</t>
  </si>
  <si>
    <t>Eye of Fate</t>
  </si>
  <si>
    <t>Anthems Of Gomorrah</t>
  </si>
  <si>
    <t>Necrospectral Nexus</t>
  </si>
  <si>
    <t>Newbreed</t>
  </si>
  <si>
    <t>VAARA</t>
  </si>
  <si>
    <t>Transition</t>
  </si>
  <si>
    <t>Kiruna, Sweden</t>
  </si>
  <si>
    <t>Våild</t>
  </si>
  <si>
    <t>Stemmer</t>
  </si>
  <si>
    <t>De Carne e Flor</t>
  </si>
  <si>
    <t>Em Teus Olhos Vejo Fendas</t>
  </si>
  <si>
    <t>Burn In Heaven - Decalouge</t>
  </si>
  <si>
    <t>Arallu</t>
  </si>
  <si>
    <t>DMoon From The Ancient World</t>
  </si>
  <si>
    <t>Jerusalem, Israel</t>
  </si>
  <si>
    <t>The Untold</t>
  </si>
  <si>
    <t>Thunder and Water: Act Two</t>
  </si>
  <si>
    <t>End Transmission</t>
  </si>
  <si>
    <t>Prog-metal, Psychedelic, Shoegaze</t>
  </si>
  <si>
    <t>Χάος | Chaos</t>
  </si>
  <si>
    <t>Rogga Johansson</t>
  </si>
  <si>
    <t>Dreaming The Otherwhere</t>
  </si>
  <si>
    <t>THRØSK</t>
  </si>
  <si>
    <t>Signal Failure</t>
  </si>
  <si>
    <t>~ CAŁ● ~</t>
  </si>
  <si>
    <t>Ludzie błądzący w Nocy</t>
  </si>
  <si>
    <t>WitcheR</t>
  </si>
  <si>
    <t>Öröklét</t>
  </si>
  <si>
    <t>Gusoh</t>
  </si>
  <si>
    <t>青穢</t>
  </si>
  <si>
    <t>Melodic Black metal, Visual Kei</t>
  </si>
  <si>
    <t>HIVE</t>
  </si>
  <si>
    <t>Conduct of Flies</t>
  </si>
  <si>
    <t>Metalcore, Deathcore, Djent</t>
  </si>
  <si>
    <t>Ashen Heart</t>
  </si>
  <si>
    <t>Dragons of Death</t>
  </si>
  <si>
    <t>Fever Sun</t>
  </si>
  <si>
    <t>Index</t>
  </si>
  <si>
    <t>Pordenone, Italy</t>
  </si>
  <si>
    <t>Abyssic Grave</t>
  </si>
  <si>
    <t>Born of the Wilderness</t>
  </si>
  <si>
    <t>Bogwife</t>
  </si>
  <si>
    <t>From Ashes</t>
  </si>
  <si>
    <t>Doom metal, Stoner rock</t>
  </si>
  <si>
    <t>Aalborg, Denmark</t>
  </si>
  <si>
    <t>Salver</t>
  </si>
  <si>
    <t>Salver Dig</t>
  </si>
  <si>
    <t>Post-Hardcore, Post-Punk</t>
  </si>
  <si>
    <t>Centinex</t>
  </si>
  <si>
    <t>With Guts And Glory</t>
  </si>
  <si>
    <t>Fäust</t>
  </si>
  <si>
    <t>Crypts Of Eternity</t>
  </si>
  <si>
    <t>Oromet</t>
  </si>
  <si>
    <t>The Sinking Isle</t>
  </si>
  <si>
    <t>Caligula's Horse</t>
  </si>
  <si>
    <t>Bloom (10th Anniversary Edition)</t>
  </si>
  <si>
    <t>Prog-metal, Alt-rock</t>
  </si>
  <si>
    <t>Northlane</t>
  </si>
  <si>
    <t>Node: Reloaded</t>
  </si>
  <si>
    <t>Astronoid</t>
  </si>
  <si>
    <t>Stargod</t>
  </si>
  <si>
    <t>Post-metal, Shoegaze</t>
  </si>
  <si>
    <t>Groveland, MA</t>
  </si>
  <si>
    <t>Dead Neanderthals</t>
  </si>
  <si>
    <t>Incantations</t>
  </si>
  <si>
    <t>Nijmegen, Netherlands</t>
  </si>
  <si>
    <t>Bore</t>
  </si>
  <si>
    <t>Feral</t>
  </si>
  <si>
    <t>Hardcore Punk, Metalcore</t>
  </si>
  <si>
    <t>Novembre</t>
  </si>
  <si>
    <t>Words of Indigo</t>
  </si>
  <si>
    <t>Prog-metal, Doom metal, Gothic metal</t>
  </si>
  <si>
    <t>Town Portal</t>
  </si>
  <si>
    <t>Grindwork</t>
  </si>
  <si>
    <t>Post-metal, Math rock</t>
  </si>
  <si>
    <t>Kostnatění</t>
  </si>
  <si>
    <t>Přílišnost (Excess)</t>
  </si>
  <si>
    <t>Black metal, Dissonant Black metal</t>
  </si>
  <si>
    <t>Pupil Slicer</t>
  </si>
  <si>
    <t>Fleshwork</t>
  </si>
  <si>
    <t>Kauan</t>
  </si>
  <si>
    <t>Wayhome</t>
  </si>
  <si>
    <t>Post-metal, Ambient, Dark Folk</t>
  </si>
  <si>
    <t>Drain</t>
  </si>
  <si>
    <t>...Is Your Friend</t>
  </si>
  <si>
    <t>Crossover Thrash, Metalcore</t>
  </si>
  <si>
    <t>Omnium Gatherum</t>
  </si>
  <si>
    <t>May the Bridges We Burn Light the Way</t>
  </si>
  <si>
    <t>Deconstructing Sequence</t>
  </si>
  <si>
    <t>Tenebris Cosmicis Tempora</t>
  </si>
  <si>
    <t>Insidius</t>
  </si>
  <si>
    <t>Vulgus Illustrata</t>
  </si>
  <si>
    <t>Ildaruni</t>
  </si>
  <si>
    <t>Divinum Sanguinem</t>
  </si>
  <si>
    <t>Atmospheric Black metal, Pagan Folk</t>
  </si>
  <si>
    <t>Armenia</t>
  </si>
  <si>
    <t>SoftSun</t>
  </si>
  <si>
    <t>Eternal Sunrise</t>
  </si>
  <si>
    <t>US / Norway</t>
  </si>
  <si>
    <t>Foundations Of Burden (2025 Redux)</t>
  </si>
  <si>
    <t>Waldgeflüster</t>
  </si>
  <si>
    <t>Knochengesänge</t>
  </si>
  <si>
    <t>Munich, Germany</t>
  </si>
  <si>
    <t>Knochengesänge II</t>
  </si>
  <si>
    <t>Signs of Extinction</t>
  </si>
  <si>
    <t>The Post-Human Manifesto</t>
  </si>
  <si>
    <t>Prog-metal, Symphonic Deathcore</t>
  </si>
  <si>
    <t>Beastwars</t>
  </si>
  <si>
    <t>The Ship // The Sea</t>
  </si>
  <si>
    <t>Black Sabbitch</t>
  </si>
  <si>
    <t>Unrest in The West</t>
  </si>
  <si>
    <t>Glorious Depravity</t>
  </si>
  <si>
    <t>Death Never Sleeps</t>
  </si>
  <si>
    <t>Cold in Berlin</t>
  </si>
  <si>
    <t>Wounds</t>
  </si>
  <si>
    <t>Doom metal, Gothic rock, Post-Punk</t>
  </si>
  <si>
    <t>Dysentery</t>
  </si>
  <si>
    <t>Dejection Chrysalis</t>
  </si>
  <si>
    <t>Esprit D'Air</t>
  </si>
  <si>
    <t>Aeons</t>
  </si>
  <si>
    <t>Electronicore, Alt-metal, Trance metal, J-metal</t>
  </si>
  <si>
    <t>Mad Vantage</t>
  </si>
  <si>
    <t>Minutiae.</t>
  </si>
  <si>
    <t>Prog-metal, Nu-Jazz, Electronic</t>
  </si>
  <si>
    <t>Barren Heir</t>
  </si>
  <si>
    <t>Far From</t>
  </si>
  <si>
    <t>Maudits</t>
  </si>
  <si>
    <t>In Situ</t>
  </si>
  <si>
    <t>ZAKAZ</t>
  </si>
  <si>
    <t>Merki Sólar</t>
  </si>
  <si>
    <t>Iceland</t>
  </si>
  <si>
    <t>In Your Gaze</t>
  </si>
  <si>
    <t>Buzzard</t>
  </si>
  <si>
    <t>Everything Is Not Going To Be Alright</t>
  </si>
  <si>
    <t>Traditional Doom metal, Stoner rock</t>
  </si>
  <si>
    <t>Montague, MA</t>
  </si>
  <si>
    <t>Mourniaty</t>
  </si>
  <si>
    <t>Musta maa</t>
  </si>
  <si>
    <t>Cepheidae Variable</t>
  </si>
  <si>
    <t>Primordial Reverie</t>
  </si>
  <si>
    <t>Inhuman</t>
  </si>
  <si>
    <t>GLORIÆ</t>
  </si>
  <si>
    <t>Gothic metal, Melodic Death metal</t>
  </si>
  <si>
    <t>The Mist</t>
  </si>
  <si>
    <t>The Dark Side of the Soul</t>
  </si>
  <si>
    <t>Adorn</t>
  </si>
  <si>
    <t>Blackgaze, Neoclassical</t>
  </si>
  <si>
    <t>Zebulon</t>
  </si>
  <si>
    <t>Come Day of Reckoning</t>
  </si>
  <si>
    <t>The Burden Remains</t>
  </si>
  <si>
    <t>trotz_däm nüt</t>
  </si>
  <si>
    <t>Gigantes Mortui - MMXIV-MMXXIV</t>
  </si>
  <si>
    <t>Uranium</t>
  </si>
  <si>
    <t>Corrosion of Existence</t>
  </si>
  <si>
    <t>Death Industrial, Industrial metal, War metal</t>
  </si>
  <si>
    <t>V/Haze Miasma</t>
  </si>
  <si>
    <t>Praise Me! Erase Me!</t>
  </si>
  <si>
    <t>War Club</t>
  </si>
  <si>
    <t>Monoplanet</t>
  </si>
  <si>
    <t>The Gloomy Radiance Of the Moon</t>
  </si>
  <si>
    <t>As The Stars Shatter In Agony</t>
  </si>
  <si>
    <t>Skeletal Blasphemy</t>
  </si>
  <si>
    <t>Mathcore, Grindcore</t>
  </si>
  <si>
    <t>Haimad</t>
  </si>
  <si>
    <t>When Night Rode Across the North</t>
  </si>
  <si>
    <t>Olymp</t>
  </si>
  <si>
    <t>Rising</t>
  </si>
  <si>
    <t>Adobe Homes</t>
  </si>
  <si>
    <t>Años</t>
  </si>
  <si>
    <t>Brainblast</t>
  </si>
  <si>
    <t>Colossus Suprema</t>
  </si>
  <si>
    <t>Bogotá, Colombia</t>
  </si>
  <si>
    <t>Putrevore</t>
  </si>
  <si>
    <t>Unending Rotting Cycle</t>
  </si>
  <si>
    <t>Solautumn</t>
  </si>
  <si>
    <t>Path to the Stars</t>
  </si>
  <si>
    <t>Fimbul Winter</t>
  </si>
  <si>
    <t>What Once Was</t>
  </si>
  <si>
    <t>Arcane Marrow</t>
  </si>
  <si>
    <t>Rising in the Early Dawn</t>
  </si>
  <si>
    <t>The Reticent</t>
  </si>
  <si>
    <t>Please</t>
  </si>
  <si>
    <t>Rock Hill, SC</t>
  </si>
  <si>
    <t>TZEVAOT</t>
  </si>
  <si>
    <t>The Hermetic Way</t>
  </si>
  <si>
    <t>Experimental Black metal, Avant-Garde metal</t>
  </si>
  <si>
    <t>Strigiform</t>
  </si>
  <si>
    <t>Aconite</t>
  </si>
  <si>
    <t>Avant-Garde Black metal, Dissonant Death metal</t>
  </si>
  <si>
    <t>Tempestuous Fall</t>
  </si>
  <si>
    <t>The Descent Of Mortals Past</t>
  </si>
  <si>
    <t>Pintglass</t>
  </si>
  <si>
    <t>Guildford, UK</t>
  </si>
  <si>
    <t>Bell Witch &amp; Aerial Ruin</t>
  </si>
  <si>
    <t>Stygian Bough: Volume II</t>
  </si>
  <si>
    <t>Ghold</t>
  </si>
  <si>
    <t>Bludgeoning Simulations</t>
  </si>
  <si>
    <t>Degraved</t>
  </si>
  <si>
    <t>Spectral Realm of Ruin</t>
  </si>
  <si>
    <t>VoidCeremony</t>
  </si>
  <si>
    <t>Abditum</t>
  </si>
  <si>
    <t>Ramona, CA</t>
  </si>
  <si>
    <t>VOWER</t>
  </si>
  <si>
    <t>A Storm Lined With Silver</t>
  </si>
  <si>
    <t>Prog-metal, Post-Hardcore</t>
  </si>
  <si>
    <t>Your Inland Empire</t>
  </si>
  <si>
    <t>Post-metal, Industrial, Darkwave</t>
  </si>
  <si>
    <t>Veilburner</t>
  </si>
  <si>
    <t>Longing for Triumph, Reeking of Tragedy</t>
  </si>
  <si>
    <t>The Devil Wears Prada</t>
  </si>
  <si>
    <t>Flowers</t>
  </si>
  <si>
    <t>Ragana &amp; Drowse</t>
  </si>
  <si>
    <t>Ash Souvenir</t>
  </si>
  <si>
    <t>Sludge metal, Post-metal, Slowcore, Shoegaze</t>
  </si>
  <si>
    <t>Stellar Circuits</t>
  </si>
  <si>
    <t>Phantom : : Phoenix</t>
  </si>
  <si>
    <t>Prog-metal, Alt-metal, Djent</t>
  </si>
  <si>
    <t>Winston-Salem, NC</t>
  </si>
  <si>
    <t>Viribus Unitis</t>
  </si>
  <si>
    <t>Asira</t>
  </si>
  <si>
    <t>As Ink in Water</t>
  </si>
  <si>
    <t>Reading, UK</t>
  </si>
  <si>
    <t>Of Mice &amp; Men</t>
  </si>
  <si>
    <t>Another Miracle</t>
  </si>
  <si>
    <t>Costa Mesa, CA</t>
  </si>
  <si>
    <t>Demon King</t>
  </si>
  <si>
    <t>Death Knell</t>
  </si>
  <si>
    <t>False Reality</t>
  </si>
  <si>
    <t>Faded Intentions</t>
  </si>
  <si>
    <t>Eld Varg</t>
  </si>
  <si>
    <t>Destroyer</t>
  </si>
  <si>
    <t>Valontuoja</t>
  </si>
  <si>
    <t>Tulesta syntynyt</t>
  </si>
  <si>
    <t>Cristiano Filippini's Flames of Heaven</t>
  </si>
  <si>
    <t>Symphony Of The Universe</t>
  </si>
  <si>
    <t>The Hyena Kill</t>
  </si>
  <si>
    <t>Withering Soul</t>
  </si>
  <si>
    <t>Passage of the Arcane</t>
  </si>
  <si>
    <t>Änterbila</t>
  </si>
  <si>
    <t>Avart</t>
  </si>
  <si>
    <t>Lamp of Murmuur</t>
  </si>
  <si>
    <t>The Dreaming Prince In Ecstasy</t>
  </si>
  <si>
    <t>The Grasshopper Lies Heavy</t>
  </si>
  <si>
    <t>Heavy</t>
  </si>
  <si>
    <t>Sludge metal, Post-Hardcore, Noise rock</t>
  </si>
  <si>
    <t>Heimland</t>
  </si>
  <si>
    <t>Der Torv Moeter Hav</t>
  </si>
  <si>
    <t>Karmøy, Norway</t>
  </si>
  <si>
    <t>Ancient Fragments</t>
  </si>
  <si>
    <t>Vestige</t>
  </si>
  <si>
    <t>Monograf</t>
  </si>
  <si>
    <t>Occultation</t>
  </si>
  <si>
    <t>Post-metal, Nordic Folk</t>
  </si>
  <si>
    <t>arottenbit</t>
  </si>
  <si>
    <t>You Don't Know What A Rework Is</t>
  </si>
  <si>
    <t>Experimental metal, Hardcore Punk, Sludge, Industrial</t>
  </si>
  <si>
    <t>Cobra</t>
  </si>
  <si>
    <t>Henko</t>
  </si>
  <si>
    <t>Bilbao, Spain</t>
  </si>
  <si>
    <t>Primordial Rites</t>
  </si>
  <si>
    <t>Contemplation Scriptures &amp; the Swallowing Void</t>
  </si>
  <si>
    <t>Mourn the Light</t>
  </si>
  <si>
    <t>Sorrow Feeds the Silence</t>
  </si>
  <si>
    <t>Heavy metal, Power metal, Doom metal</t>
  </si>
  <si>
    <t>Avralize</t>
  </si>
  <si>
    <t>Liminal</t>
  </si>
  <si>
    <t>:)Bookburner!</t>
  </si>
  <si>
    <t>Volume I: In Preparation For Cemeteries</t>
  </si>
  <si>
    <t>Zion, IL</t>
  </si>
  <si>
    <t>Aethervoid</t>
  </si>
  <si>
    <t>Even Light Decays</t>
  </si>
  <si>
    <t>Avant-Garde metal, Black metal, Death metal</t>
  </si>
  <si>
    <t>Orob</t>
  </si>
  <si>
    <t>Golden Tears of Love and Sorrow</t>
  </si>
  <si>
    <t>Natas</t>
  </si>
  <si>
    <t>Mara</t>
  </si>
  <si>
    <t>Førde, Norway</t>
  </si>
  <si>
    <t>A Gram Trip</t>
  </si>
  <si>
    <t>Bud Ends And Glass Bottoms</t>
  </si>
  <si>
    <t>Sacred Leather</t>
  </si>
  <si>
    <t>Keep The Fire Burning</t>
  </si>
  <si>
    <t>Witherhymn</t>
  </si>
  <si>
    <t>Abyss - The Final Chapter</t>
  </si>
  <si>
    <t>Metalcore, Post-Hardcore, Electronic</t>
  </si>
  <si>
    <t>We Are Shadows</t>
  </si>
  <si>
    <t>Locusts and Honey</t>
  </si>
  <si>
    <t>Shadow of My End</t>
  </si>
  <si>
    <t>Sedna</t>
  </si>
  <si>
    <t>Sila Nuna</t>
  </si>
  <si>
    <t>Cesena, Italy</t>
  </si>
  <si>
    <t>Nemorous</t>
  </si>
  <si>
    <t>What Remains When Hope Has Failed</t>
  </si>
  <si>
    <t>Weft</t>
  </si>
  <si>
    <t>The Splintered Oar</t>
  </si>
  <si>
    <t>Humming Whale</t>
  </si>
  <si>
    <t>Chasing Rabbits</t>
  </si>
  <si>
    <t>Shores Of Null / Convocation</t>
  </si>
  <si>
    <t>Latitudes Of Sorrow</t>
  </si>
  <si>
    <t>Italy / Finland</t>
  </si>
  <si>
    <t>Spotlights</t>
  </si>
  <si>
    <t>Rarities</t>
  </si>
  <si>
    <t>Post-metal, Alt-metal, Doomgaze</t>
  </si>
  <si>
    <t>Sun of the Dying</t>
  </si>
  <si>
    <t>A Throne of Ashes</t>
  </si>
  <si>
    <t>ExitWounds</t>
  </si>
  <si>
    <t>An Offering To Tragedy</t>
  </si>
  <si>
    <t>Fate's Hand</t>
  </si>
  <si>
    <t>Steel, Fire &amp; Ice</t>
  </si>
  <si>
    <t>Scythe For Sore Eyes</t>
  </si>
  <si>
    <t>Face Puzzle</t>
  </si>
  <si>
    <t>Speedclaw</t>
  </si>
  <si>
    <t>Stardust</t>
  </si>
  <si>
    <t>Rijeka, Croatia</t>
  </si>
  <si>
    <t>Bloodbound</t>
  </si>
  <si>
    <t>Field Of Swords</t>
  </si>
  <si>
    <t>Bollnäs, Sweden</t>
  </si>
  <si>
    <t>Darktribe</t>
  </si>
  <si>
    <t>Forgotten Reveries</t>
  </si>
  <si>
    <t>Wolftooth</t>
  </si>
  <si>
    <t>Wizard's Light</t>
  </si>
  <si>
    <t>Stoner metal, Heavy metal, Traditional Doom metal</t>
  </si>
  <si>
    <t>Richmond, IN</t>
  </si>
  <si>
    <t>Dome Runner</t>
  </si>
  <si>
    <t>World Panopticon</t>
  </si>
  <si>
    <t>Industrial metal, Sludge metal</t>
  </si>
  <si>
    <t>Mendel</t>
  </si>
  <si>
    <t>La Séance Nocturne</t>
  </si>
  <si>
    <t>The Pretty Wild</t>
  </si>
  <si>
    <t>Zero.Point.Genesis</t>
  </si>
  <si>
    <t>Alt-metal, Metalcore, Rap metal</t>
  </si>
  <si>
    <t>Stone Nomads</t>
  </si>
  <si>
    <t>Empires of Stone</t>
  </si>
  <si>
    <t>Gasket</t>
  </si>
  <si>
    <t>Old Night</t>
  </si>
  <si>
    <t>Mediterranean Melancholy</t>
  </si>
  <si>
    <t>Morbikon</t>
  </si>
  <si>
    <t>Lost Within the Astral Crypts</t>
  </si>
  <si>
    <t>Decrepit Altar</t>
  </si>
  <si>
    <t>Egregious Defilement</t>
  </si>
  <si>
    <t>Depravity</t>
  </si>
  <si>
    <t>Bestial Possession</t>
  </si>
  <si>
    <t>Olde Throne</t>
  </si>
  <si>
    <t>Megalith</t>
  </si>
  <si>
    <t>Ash Eclipses Flesh</t>
  </si>
  <si>
    <t>Hetta</t>
  </si>
  <si>
    <t>Acetate</t>
  </si>
  <si>
    <t>Mathcore, Screamo</t>
  </si>
  <si>
    <t>Montijo, Portugal</t>
  </si>
  <si>
    <t>Slaughterday</t>
  </si>
  <si>
    <t>Terrified</t>
  </si>
  <si>
    <t>Lower Saxony, Germany</t>
  </si>
  <si>
    <t>When the Night Ends</t>
  </si>
  <si>
    <t>Subspectral</t>
  </si>
  <si>
    <t>Drift</t>
  </si>
  <si>
    <t>Master's Hammer</t>
  </si>
  <si>
    <t>Maldorör Disco</t>
  </si>
  <si>
    <t>Avant-Garde metal, Symphonic Black metal</t>
  </si>
  <si>
    <t>Fessus</t>
  </si>
  <si>
    <t>Subcutaneous Tomb</t>
  </si>
  <si>
    <t>Puritan Bone</t>
  </si>
  <si>
    <t>Ecstasy on the Frontier of Blood</t>
  </si>
  <si>
    <t>Feather Mountain</t>
  </si>
  <si>
    <t>A Liminal Step</t>
  </si>
  <si>
    <t>Torch Us</t>
  </si>
  <si>
    <t>To Non-Existence</t>
  </si>
  <si>
    <t>Illvilje</t>
  </si>
  <si>
    <t>La meg sjå alt omkring meg falle</t>
  </si>
  <si>
    <t>Dead and Dripping</t>
  </si>
  <si>
    <t>Nefarious Scintillations</t>
  </si>
  <si>
    <t>Phobocosm</t>
  </si>
  <si>
    <t>Gateway</t>
  </si>
  <si>
    <t>Dissonant Death metal, Death Doom metal</t>
  </si>
  <si>
    <t>The Old Dead Tree</t>
  </si>
  <si>
    <t>London Sessions EP</t>
  </si>
  <si>
    <t>Mind Prisoner</t>
  </si>
  <si>
    <t>Less Faith</t>
  </si>
  <si>
    <t>Post-metal, Black metal, Doom metal</t>
  </si>
  <si>
    <t>Dyssidia</t>
  </si>
  <si>
    <t>Deeper Wells Of Meaning</t>
  </si>
  <si>
    <t>Brutus</t>
  </si>
  <si>
    <t>Live in Brussels</t>
  </si>
  <si>
    <t>Post-Hardcore, Post-metal</t>
  </si>
  <si>
    <t>Leuven, Belgium</t>
  </si>
  <si>
    <t>Quarantième: Live à Paris</t>
  </si>
  <si>
    <t>Blut Aus Nord</t>
  </si>
  <si>
    <t>Ethereal Horizons</t>
  </si>
  <si>
    <t>Avant-Garde Black metal, Atmospheric Black metal</t>
  </si>
  <si>
    <t>Excide</t>
  </si>
  <si>
    <t>Bastard Hymns</t>
  </si>
  <si>
    <t>Bloodfield</t>
  </si>
  <si>
    <t>Homunculus Sapiens</t>
  </si>
  <si>
    <t>Verilehto</t>
  </si>
  <si>
    <t>Aarnihauta</t>
  </si>
  <si>
    <t>Thermality</t>
  </si>
  <si>
    <t>Concept 42</t>
  </si>
  <si>
    <t>Vara, Sweden</t>
  </si>
  <si>
    <t>Vast Pyre</t>
  </si>
  <si>
    <t>II | Bleak</t>
  </si>
  <si>
    <t>Eisenach, Germany</t>
  </si>
  <si>
    <t>Albatros</t>
  </si>
  <si>
    <t>Correct</t>
  </si>
  <si>
    <t>Avdagata</t>
  </si>
  <si>
    <t>The Apocalyptic Aeon</t>
  </si>
  <si>
    <t>The Ominous Circle</t>
  </si>
  <si>
    <t>Cloven Tongues of Fire</t>
  </si>
  <si>
    <t>All We Leave Behind</t>
  </si>
  <si>
    <t>In Absence Of Light</t>
  </si>
  <si>
    <t>Sine Nomine</t>
  </si>
  <si>
    <t>The Sunder Veil</t>
  </si>
  <si>
    <t>Mathcore, Post-Hardcore, Screamo</t>
  </si>
  <si>
    <t>St. Louis, MO</t>
  </si>
  <si>
    <t>Carnal Savagery</t>
  </si>
  <si>
    <t>Crypt Of Decay</t>
  </si>
  <si>
    <t>Winter Mass</t>
  </si>
  <si>
    <t>Death Yell</t>
  </si>
  <si>
    <t>Demons of Lust</t>
  </si>
  <si>
    <t>Ergot</t>
  </si>
  <si>
    <t>Decade</t>
  </si>
  <si>
    <t>Trieste, Italy</t>
  </si>
  <si>
    <t>Unviâr</t>
  </si>
  <si>
    <t>Disglaç</t>
  </si>
  <si>
    <t>Who Bastard</t>
  </si>
  <si>
    <t>Ghoul</t>
  </si>
  <si>
    <t>Black metal, Blackened Punk</t>
  </si>
  <si>
    <t>Nordicwinter</t>
  </si>
  <si>
    <t>Solitude</t>
  </si>
  <si>
    <t>Kaunis Kuolematon</t>
  </si>
  <si>
    <t>Kun Valo Minussa Kuoli</t>
  </si>
  <si>
    <t>Hamina, Finland</t>
  </si>
  <si>
    <t>Malefic Throne</t>
  </si>
  <si>
    <t>The Conquering Darkness</t>
  </si>
  <si>
    <t>Victim of Reality</t>
  </si>
  <si>
    <t>The Dump of Human Hopes</t>
  </si>
  <si>
    <t>Hrodna, Belarus</t>
  </si>
  <si>
    <t>Grim Colossus</t>
  </si>
  <si>
    <t>Unhallowed Blasphemies</t>
  </si>
  <si>
    <t>APRS</t>
  </si>
  <si>
    <t>Radio Nocturna Vol.2: Voces del pasado</t>
  </si>
  <si>
    <t>Struck A Nerve</t>
  </si>
  <si>
    <t>Daughters of Sophia</t>
  </si>
  <si>
    <t>(4.0°) Tsalmaweth</t>
  </si>
  <si>
    <t>My Dominion</t>
  </si>
  <si>
    <t>Extinction</t>
  </si>
  <si>
    <t>Devil-M</t>
  </si>
  <si>
    <t>Titanomachie</t>
  </si>
  <si>
    <t>Hexjakt</t>
  </si>
  <si>
    <t>Blessing of the Damned</t>
  </si>
  <si>
    <t>Jester Majesty</t>
  </si>
  <si>
    <t>Infinite Measure, Finite Existence</t>
  </si>
  <si>
    <t>Binary Order</t>
  </si>
  <si>
    <t>White's Dream</t>
  </si>
  <si>
    <t>Persefone</t>
  </si>
  <si>
    <t>Live In Andorra</t>
  </si>
  <si>
    <t>Andorra</t>
  </si>
  <si>
    <t>VOIDATLAS</t>
  </si>
  <si>
    <t>Descending</t>
  </si>
  <si>
    <t>Enthroned</t>
  </si>
  <si>
    <t>Ashspawn</t>
  </si>
  <si>
    <t>Skogskult</t>
  </si>
  <si>
    <t>Burning Death</t>
  </si>
  <si>
    <t>Hermit Dreams</t>
  </si>
  <si>
    <t>Desperate Anomies</t>
  </si>
  <si>
    <t>Experimental Death metal, Doom metal</t>
  </si>
  <si>
    <t>Blood Red Throne</t>
  </si>
  <si>
    <t>Siltskin</t>
  </si>
  <si>
    <t>Sepulchral</t>
  </si>
  <si>
    <t>Beneath the Shroud</t>
  </si>
  <si>
    <t>Devour the Air</t>
  </si>
  <si>
    <t>DESTROYERS</t>
  </si>
  <si>
    <t>Drone metal, Doom metal, Modular Synth</t>
  </si>
  <si>
    <t>Wyrmoon</t>
  </si>
  <si>
    <t>Wyrmoon II</t>
  </si>
  <si>
    <t>Svntarer</t>
  </si>
  <si>
    <t>Exitus Triumphalis</t>
  </si>
  <si>
    <t>ONLY</t>
  </si>
  <si>
    <t>Eyes Wide Open</t>
  </si>
  <si>
    <t>Skramz, Post-Hardcore</t>
  </si>
  <si>
    <t>Idol Throne</t>
  </si>
  <si>
    <t>Harbinger of Light</t>
  </si>
  <si>
    <t>Highland, IN</t>
  </si>
  <si>
    <t>Warlocks of Morgul</t>
  </si>
  <si>
    <t>Empire of Puritanical Sorrow</t>
  </si>
  <si>
    <t>Death Obvious</t>
  </si>
  <si>
    <t>Death metal, Black metal, Doom metal</t>
  </si>
  <si>
    <t>Despite Exile</t>
  </si>
  <si>
    <t>Where Hope Goes To Die</t>
  </si>
  <si>
    <t>Prog-metal, Deathcore</t>
  </si>
  <si>
    <t>Red Tape Sessions</t>
  </si>
  <si>
    <t>Sorewound</t>
  </si>
  <si>
    <t>Espanto</t>
  </si>
  <si>
    <t>Funeral Vomit</t>
  </si>
  <si>
    <t>Upheaval of Necromancy</t>
  </si>
  <si>
    <t>Colombia</t>
  </si>
  <si>
    <t>Health</t>
  </si>
  <si>
    <t>Conflict DLC</t>
  </si>
  <si>
    <t>Industrial metal, Noise rock, Electro-Industrial</t>
  </si>
  <si>
    <t>Volumes</t>
  </si>
  <si>
    <t>Mirror Touch</t>
  </si>
  <si>
    <t>Rotten Sound</t>
  </si>
  <si>
    <t>Mass Extinction</t>
  </si>
  <si>
    <t>Irreversible Mechanism</t>
  </si>
  <si>
    <t>Graviant</t>
  </si>
  <si>
    <t>Prog-metal, Post-metal, Grunge</t>
  </si>
  <si>
    <t>Martröð</t>
  </si>
  <si>
    <t>Draumsýnir eldsins</t>
  </si>
  <si>
    <t>Iceland / US</t>
  </si>
  <si>
    <t>Reckoning of the Damned</t>
  </si>
  <si>
    <t>OPVS NOIR Vol. 2</t>
  </si>
  <si>
    <t>Industrial metal, Symphonic metal</t>
  </si>
  <si>
    <t>Fanatisme</t>
  </si>
  <si>
    <t>Tro, håp og kjærlighet</t>
  </si>
  <si>
    <t>Lust of Decay</t>
  </si>
  <si>
    <t>Entombed in Sewage</t>
  </si>
  <si>
    <t>Kings Mountain, NC</t>
  </si>
  <si>
    <t>Phantom Corporation</t>
  </si>
  <si>
    <t>Time And Tide</t>
  </si>
  <si>
    <t>Death metal, Thrash metal, Punk</t>
  </si>
  <si>
    <t>Sun of the Suns</t>
  </si>
  <si>
    <t>Entanglement</t>
  </si>
  <si>
    <t>Tenebro</t>
  </si>
  <si>
    <t>Una Lama d'Argento</t>
  </si>
  <si>
    <t>Dawn of a Dark Age</t>
  </si>
  <si>
    <t>Ver Sacrum</t>
  </si>
  <si>
    <t>Atmospheric Black metal, Avant-Garde metal, Folk metal</t>
  </si>
  <si>
    <t>The Harbinger</t>
  </si>
  <si>
    <t>Gates of Hell</t>
  </si>
  <si>
    <t>Pincer+</t>
  </si>
  <si>
    <t>Who Are You When No One Is Around?</t>
  </si>
  <si>
    <t>Der Rote Milan</t>
  </si>
  <si>
    <t>Verlust</t>
  </si>
  <si>
    <t>Khepra</t>
  </si>
  <si>
    <t>Anatomy of Sin</t>
  </si>
  <si>
    <t>Atavistia</t>
  </si>
  <si>
    <t>The Winter Way (Reforged)</t>
  </si>
  <si>
    <t>Setnakht</t>
  </si>
  <si>
    <t>Summoned to the Grave</t>
  </si>
  <si>
    <t>Bloodmouth</t>
  </si>
  <si>
    <t>Carnicidal Necrotactics</t>
  </si>
  <si>
    <t>Dead Sun</t>
  </si>
  <si>
    <t>This Life Is A Grave</t>
  </si>
  <si>
    <t>Hospodi IX.XI.MMXIX Live</t>
  </si>
  <si>
    <t>Lychgate</t>
  </si>
  <si>
    <t>Precipice</t>
  </si>
  <si>
    <t>Til Gilde Under Ulven (Live At Copenhell '25)</t>
  </si>
  <si>
    <t>Unannounced Projects</t>
  </si>
  <si>
    <t>Sadhaka</t>
  </si>
  <si>
    <t>TBA</t>
  </si>
  <si>
    <t>Dream Unending</t>
  </si>
  <si>
    <t>The Silver</t>
  </si>
  <si>
    <t>Epitaphe</t>
  </si>
  <si>
    <t>Cosmic Sea</t>
  </si>
  <si>
    <t>Angerer</t>
  </si>
  <si>
    <t>The Nine Sources</t>
  </si>
  <si>
    <t>Vafurlogi</t>
  </si>
  <si>
    <t>Fleshvessel</t>
  </si>
  <si>
    <t>Obstinacy: Sisyphean Dreams Unfolded</t>
  </si>
  <si>
    <t>Miserere Luminis</t>
  </si>
  <si>
    <t>Deadly Carnage</t>
  </si>
  <si>
    <t>Speglas</t>
  </si>
  <si>
    <t>Haast</t>
  </si>
  <si>
    <t>Converge</t>
  </si>
  <si>
    <t>Bekor Qilish</t>
  </si>
  <si>
    <t>Youth Novel</t>
  </si>
  <si>
    <t>I Went Through This Experience Smiling</t>
  </si>
  <si>
    <t>Warning</t>
  </si>
  <si>
    <t>Threat Signal</t>
  </si>
  <si>
    <t>Melodic Death metal, Metalcore, Groove metal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</si>
</sst>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"/>
    <numFmt numFmtId="165" formatCode="mmmm d"/>
  </numFmts>
  <fonts count="41">
    <font>
      <sz val="10.0"/>
      <color rgb="FF000000"/>
      <name val="Arial"/>
    </font>
    <font>
      <b/>
      <sz val="20.0"/>
      <color rgb="FFFFFFFF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b/>
      <u/>
      <sz val="16.0"/>
      <color rgb="FFFFFFFF"/>
      <name val="Open Sans"/>
    </font>
    <font>
      <b/>
      <sz val="16.0"/>
      <color rgb="FFFFFFFF"/>
      <name val="Open Sans"/>
    </font>
    <font>
      <sz val="11.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name val="Arial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color rgb="FF000000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0563C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738ADB"/>
        <bgColor rgb="FF738ADB"/>
      </patternFill>
    </fill>
    <fill>
      <patternFill patternType="solid">
        <fgColor rgb="FFFFFFFF"/>
        <bgColor rgb="FFFFFFFF"/>
      </patternFill>
    </fill>
    <fill>
      <patternFill patternType="solid">
        <fgColor rgb="FFFFBA4A"/>
        <bgColor rgb="FFFFBA4A"/>
      </patternFill>
    </fill>
    <fill>
      <patternFill patternType="solid">
        <fgColor rgb="FF96DA77"/>
        <bgColor rgb="FF96DA77"/>
      </patternFill>
    </fill>
    <fill>
      <patternFill patternType="solid">
        <fgColor rgb="FFB7B7B7"/>
        <bgColor rgb="FFB7B7B7"/>
      </patternFill>
    </fill>
    <fill>
      <patternFill patternType="solid">
        <fgColor rgb="FFDDEBF7"/>
        <bgColor rgb="FFDDEBF7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FCFFFC"/>
        <bgColor rgb="FFFCFFFC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</fills>
  <borders count="24">
    <border/>
    <border>
      <right style="thin">
        <color rgb="FF000000"/>
      </right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textRotation="0" vertical="center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4" fontId="5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5" fontId="7" numFmtId="0" xfId="0" applyAlignment="1" applyFill="1" applyFont="1">
      <alignment horizontal="center" readingOrder="0" vertical="center"/>
    </xf>
    <xf borderId="0" fillId="6" fontId="7" numFmtId="0" xfId="0" applyAlignment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7" fontId="7" numFmtId="0" xfId="0" applyAlignment="1" applyFill="1" applyFont="1">
      <alignment horizontal="center" vertical="center"/>
    </xf>
    <xf borderId="4" fillId="8" fontId="7" numFmtId="0" xfId="0" applyAlignment="1" applyBorder="1" applyFill="1" applyFont="1">
      <alignment horizontal="center" vertical="center"/>
    </xf>
    <xf borderId="5" fillId="8" fontId="7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readingOrder="0" vertical="center"/>
    </xf>
    <xf borderId="6" fillId="8" fontId="7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9" fillId="0" fontId="7" numFmtId="164" xfId="0" applyAlignment="1" applyBorder="1" applyFont="1" applyNumberFormat="1">
      <alignment horizontal="center"/>
    </xf>
    <xf borderId="9" fillId="5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0" fillId="0" fontId="7" numFmtId="164" xfId="0" applyFont="1" applyNumberFormat="1"/>
    <xf borderId="0" fillId="0" fontId="7" numFmtId="0" xfId="0" applyFont="1"/>
    <xf borderId="11" fillId="9" fontId="7" numFmtId="0" xfId="0" applyAlignment="1" applyBorder="1" applyFill="1" applyFont="1">
      <alignment readingOrder="0"/>
    </xf>
    <xf borderId="11" fillId="0" fontId="7" numFmtId="0" xfId="0" applyAlignment="1" applyBorder="1" applyFont="1">
      <alignment readingOrder="0"/>
    </xf>
    <xf borderId="11" fillId="0" fontId="7" numFmtId="165" xfId="0" applyAlignment="1" applyBorder="1" applyFont="1" applyNumberFormat="1">
      <alignment horizontal="center" readingOrder="0"/>
    </xf>
    <xf borderId="11" fillId="0" fontId="7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/>
    </xf>
    <xf borderId="11" fillId="0" fontId="13" numFmtId="0" xfId="0" applyAlignment="1" applyBorder="1" applyFont="1">
      <alignment horizontal="center"/>
    </xf>
    <xf borderId="11" fillId="0" fontId="14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11" fillId="0" fontId="7" numFmtId="164" xfId="0" applyAlignment="1" applyBorder="1" applyFont="1" applyNumberFormat="1">
      <alignment horizontal="center"/>
    </xf>
    <xf borderId="11" fillId="0" fontId="17" numFmtId="0" xfId="0" applyAlignment="1" applyBorder="1" applyFont="1">
      <alignment horizontal="center" readingOrder="0" shrinkToFit="0" vertical="center" wrapText="0"/>
    </xf>
    <xf borderId="11" fillId="6" fontId="7" numFmtId="0" xfId="0" applyAlignment="1" applyBorder="1" applyFont="1">
      <alignment horizontal="center" readingOrder="0"/>
    </xf>
    <xf borderId="11" fillId="9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11" fillId="0" fontId="7" numFmtId="164" xfId="0" applyAlignment="1" applyBorder="1" applyFont="1" applyNumberFormat="1">
      <alignment horizontal="center" vertical="bottom"/>
    </xf>
    <xf borderId="11" fillId="5" fontId="7" numFmtId="0" xfId="0" applyAlignment="1" applyBorder="1" applyFont="1">
      <alignment horizontal="center" vertical="bottom"/>
    </xf>
    <xf borderId="11" fillId="10" fontId="7" numFmtId="0" xfId="0" applyAlignment="1" applyBorder="1" applyFill="1" applyFont="1">
      <alignment horizontal="center" vertical="bottom"/>
    </xf>
    <xf borderId="11" fillId="0" fontId="7" numFmtId="0" xfId="0" applyAlignment="1" applyBorder="1" applyFont="1">
      <alignment horizontal="center" vertical="bottom"/>
    </xf>
    <xf borderId="11" fillId="0" fontId="18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left" readingOrder="0"/>
    </xf>
    <xf borderId="13" fillId="0" fontId="7" numFmtId="164" xfId="0" applyAlignment="1" applyBorder="1" applyFont="1" applyNumberFormat="1">
      <alignment horizontal="center"/>
    </xf>
    <xf borderId="11" fillId="0" fontId="2" numFmtId="0" xfId="0" applyBorder="1" applyFont="1"/>
    <xf borderId="11" fillId="0" fontId="19" numFmtId="0" xfId="0" applyAlignment="1" applyBorder="1" applyFont="1">
      <alignment horizontal="center" readingOrder="0"/>
    </xf>
    <xf borderId="11" fillId="0" fontId="7" numFmtId="164" xfId="0" applyAlignment="1" applyBorder="1" applyFont="1" applyNumberFormat="1">
      <alignment horizontal="center" readingOrder="0"/>
    </xf>
    <xf borderId="11" fillId="0" fontId="7" numFmtId="0" xfId="0" applyAlignment="1" applyBorder="1" applyFont="1">
      <alignment horizontal="center" readingOrder="0" shrinkToFit="0" vertical="center" wrapText="0"/>
    </xf>
    <xf borderId="11" fillId="0" fontId="20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11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/>
    </xf>
    <xf borderId="11" fillId="0" fontId="7" numFmtId="0" xfId="0" applyBorder="1" applyFont="1"/>
    <xf borderId="11" fillId="0" fontId="7" numFmtId="0" xfId="0" applyAlignment="1" applyBorder="1" applyFont="1">
      <alignment horizontal="left" readingOrder="0"/>
    </xf>
    <xf borderId="11" fillId="5" fontId="7" numFmtId="0" xfId="0" applyAlignment="1" applyBorder="1" applyFont="1">
      <alignment horizontal="center" readingOrder="0"/>
    </xf>
    <xf borderId="11" fillId="7" fontId="7" numFmtId="0" xfId="0" applyAlignment="1" applyBorder="1" applyFont="1">
      <alignment horizontal="center" readingOrder="0"/>
    </xf>
    <xf borderId="11" fillId="9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11" fillId="0" fontId="7" numFmtId="165" xfId="0" applyAlignment="1" applyBorder="1" applyFont="1" applyNumberFormat="1">
      <alignment horizontal="center" readingOrder="0" vertical="bottom"/>
    </xf>
    <xf borderId="11" fillId="6" fontId="7" numFmtId="0" xfId="0" applyAlignment="1" applyBorder="1" applyFont="1">
      <alignment horizontal="center" vertical="bottom"/>
    </xf>
    <xf borderId="11" fillId="1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horizontal="center" vertical="bottom"/>
    </xf>
    <xf borderId="11" fillId="0" fontId="21" numFmtId="0" xfId="0" applyAlignment="1" applyBorder="1" applyFont="1">
      <alignment horizontal="center" vertical="bottom"/>
    </xf>
    <xf borderId="11" fillId="5" fontId="7" numFmtId="0" xfId="0" applyBorder="1" applyFont="1"/>
    <xf borderId="12" fillId="5" fontId="7" numFmtId="0" xfId="0" applyBorder="1" applyFont="1"/>
    <xf borderId="0" fillId="5" fontId="7" numFmtId="164" xfId="0" applyFont="1" applyNumberFormat="1"/>
    <xf borderId="0" fillId="5" fontId="7" numFmtId="0" xfId="0" applyFont="1"/>
    <xf borderId="11" fillId="5" fontId="22" numFmtId="0" xfId="0" applyAlignment="1" applyBorder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12" fillId="0" fontId="2" numFmtId="0" xfId="0" applyBorder="1" applyFont="1"/>
    <xf borderId="0" fillId="0" fontId="2" numFmtId="164" xfId="0" applyFont="1" applyNumberFormat="1"/>
    <xf borderId="11" fillId="9" fontId="7" numFmtId="0" xfId="0" applyAlignment="1" applyBorder="1" applyFont="1">
      <alignment horizontal="left" readingOrder="0"/>
    </xf>
    <xf borderId="14" fillId="0" fontId="2" numFmtId="0" xfId="0" applyBorder="1" applyFont="1"/>
    <xf borderId="15" fillId="0" fontId="2" numFmtId="0" xfId="0" applyBorder="1" applyFont="1"/>
    <xf borderId="14" fillId="0" fontId="23" numFmtId="0" xfId="0" applyAlignment="1" applyBorder="1" applyFont="1">
      <alignment horizontal="center" readingOrder="0"/>
    </xf>
    <xf borderId="11" fillId="0" fontId="24" numFmtId="0" xfId="0" applyAlignment="1" applyBorder="1" applyFont="1">
      <alignment vertical="bottom"/>
    </xf>
    <xf borderId="12" fillId="0" fontId="24" numFmtId="0" xfId="0" applyAlignment="1" applyBorder="1" applyFont="1">
      <alignment vertical="bottom"/>
    </xf>
    <xf borderId="0" fillId="0" fontId="24" numFmtId="164" xfId="0" applyAlignment="1" applyFont="1" applyNumberFormat="1">
      <alignment vertical="bottom"/>
    </xf>
    <xf borderId="0" fillId="0" fontId="24" numFmtId="0" xfId="0" applyAlignment="1" applyFont="1">
      <alignment vertical="bottom"/>
    </xf>
    <xf borderId="11" fillId="11" fontId="7" numFmtId="0" xfId="0" applyAlignment="1" applyBorder="1" applyFill="1" applyFont="1">
      <alignment horizontal="center" readingOrder="0"/>
    </xf>
    <xf borderId="11" fillId="12" fontId="7" numFmtId="0" xfId="0" applyAlignment="1" applyBorder="1" applyFill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11" fillId="0" fontId="7" numFmtId="0" xfId="0" applyAlignment="1" applyBorder="1" applyFont="1">
      <alignment readingOrder="0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1" fillId="0" fontId="26" numFmtId="0" xfId="0" applyAlignment="1" applyBorder="1" applyFont="1">
      <alignment horizontal="center" readingOrder="0"/>
    </xf>
    <xf borderId="11" fillId="13" fontId="7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11" fillId="0" fontId="7" numFmtId="0" xfId="0" applyAlignment="1" applyBorder="1" applyFont="1">
      <alignment horizontal="center"/>
    </xf>
    <xf borderId="0" fillId="0" fontId="27" numFmtId="0" xfId="0" applyAlignment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1" fillId="9" fontId="2" numFmtId="0" xfId="0" applyBorder="1" applyFont="1"/>
    <xf borderId="16" fillId="8" fontId="7" numFmtId="0" xfId="0" applyAlignment="1" applyBorder="1" applyFont="1">
      <alignment horizontal="center" readingOrder="0" vertical="center"/>
    </xf>
    <xf borderId="17" fillId="8" fontId="7" numFmtId="0" xfId="0" applyAlignment="1" applyBorder="1" applyFont="1">
      <alignment horizontal="center" readingOrder="0" vertical="center"/>
    </xf>
    <xf borderId="18" fillId="0" fontId="2" numFmtId="0" xfId="0" applyBorder="1" applyFont="1"/>
    <xf borderId="11" fillId="5" fontId="28" numFmtId="0" xfId="0" applyAlignment="1" applyBorder="1" applyFont="1">
      <alignment horizontal="left" readingOrder="0"/>
    </xf>
    <xf borderId="19" fillId="0" fontId="7" numFmtId="0" xfId="0" applyBorder="1" applyFont="1"/>
    <xf borderId="19" fillId="0" fontId="7" numFmtId="0" xfId="0" applyAlignment="1" applyBorder="1" applyFont="1">
      <alignment horizontal="center" readingOrder="0"/>
    </xf>
    <xf borderId="19" fillId="0" fontId="29" numFmtId="0" xfId="0" applyAlignment="1" applyBorder="1" applyFont="1">
      <alignment horizontal="center" vertical="center"/>
    </xf>
    <xf borderId="19" fillId="0" fontId="30" numFmtId="0" xfId="0" applyAlignment="1" applyBorder="1" applyFont="1">
      <alignment horizontal="center" readingOrder="0" shrinkToFit="0" vertical="center" wrapText="0"/>
    </xf>
    <xf borderId="1" fillId="0" fontId="31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readingOrder="0"/>
    </xf>
    <xf borderId="14" fillId="0" fontId="7" numFmtId="0" xfId="0" applyAlignment="1" applyBorder="1" applyFont="1">
      <alignment horizontal="center" readingOrder="0"/>
    </xf>
    <xf borderId="14" fillId="14" fontId="7" numFmtId="0" xfId="0" applyBorder="1" applyFill="1" applyFont="1"/>
    <xf borderId="14" fillId="0" fontId="32" numFmtId="0" xfId="0" applyAlignment="1" applyBorder="1" applyFont="1">
      <alignment horizontal="center" vertical="center"/>
    </xf>
    <xf borderId="14" fillId="0" fontId="33" numFmtId="0" xfId="0" applyAlignment="1" applyBorder="1" applyFont="1">
      <alignment horizontal="center" readingOrder="0" shrinkToFit="0" vertical="center" wrapText="0"/>
    </xf>
    <xf borderId="21" fillId="0" fontId="34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11" fillId="5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4" fillId="0" fontId="35" numFmtId="0" xfId="0" applyAlignment="1" applyBorder="1" applyFont="1">
      <alignment horizontal="center" readingOrder="0" vertical="center"/>
    </xf>
    <xf borderId="11" fillId="12" fontId="7" numFmtId="0" xfId="0" applyAlignment="1" applyBorder="1" applyFont="1">
      <alignment readingOrder="0"/>
    </xf>
    <xf borderId="14" fillId="0" fontId="7" numFmtId="164" xfId="0" applyAlignment="1" applyBorder="1" applyFont="1" applyNumberFormat="1">
      <alignment horizontal="center"/>
    </xf>
    <xf borderId="11" fillId="0" fontId="36" numFmtId="0" xfId="0" applyAlignment="1" applyBorder="1" applyFont="1">
      <alignment horizontal="center" vertical="center"/>
    </xf>
    <xf borderId="22" fillId="0" fontId="7" numFmtId="0" xfId="0" applyAlignment="1" applyBorder="1" applyFont="1">
      <alignment readingOrder="0"/>
    </xf>
    <xf borderId="22" fillId="0" fontId="7" numFmtId="0" xfId="0" applyAlignment="1" applyBorder="1" applyFont="1">
      <alignment horizontal="center" readingOrder="0"/>
    </xf>
    <xf borderId="22" fillId="0" fontId="7" numFmtId="0" xfId="0" applyBorder="1" applyFont="1"/>
    <xf borderId="22" fillId="0" fontId="7" numFmtId="0" xfId="0" applyAlignment="1" applyBorder="1" applyFont="1">
      <alignment horizontal="center"/>
    </xf>
    <xf borderId="22" fillId="0" fontId="37" numFmtId="0" xfId="0" applyAlignment="1" applyBorder="1" applyFont="1">
      <alignment horizontal="center" readingOrder="0"/>
    </xf>
    <xf borderId="22" fillId="0" fontId="38" numFmtId="0" xfId="0" applyAlignment="1" applyBorder="1" applyFont="1">
      <alignment horizontal="center" readingOrder="0" vertical="center"/>
    </xf>
    <xf borderId="23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39" numFmtId="0" xfId="0" applyAlignment="1" applyFont="1">
      <alignment horizontal="center" readingOrder="0"/>
    </xf>
    <xf borderId="0" fillId="0" fontId="40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obscura.bandcamp.com/album/a-sonication" TargetMode="External"/><Relationship Id="rId391" Type="http://schemas.openxmlformats.org/officeDocument/2006/relationships/hyperlink" Target="https://open.spotify.com/album/0ER7sdwIe6mfM63TbWcHmd?si=eYUNYqGHRGG9DJEI5OomHA" TargetMode="External"/><Relationship Id="rId390" Type="http://schemas.openxmlformats.org/officeDocument/2006/relationships/hyperlink" Target="https://open.spotify.com/album/0axS4YlYa1FxtNPbouRE69?si=ZlucaBmQSPKqec8o6FjFig" TargetMode="External"/><Relationship Id="rId2180" Type="http://schemas.openxmlformats.org/officeDocument/2006/relationships/hyperlink" Target="https://open.spotify.com/album/3dy3BgU0SuF4YyHSCmQoYc?si=f7unPOB9QSKrmECKOPV-sQ" TargetMode="External"/><Relationship Id="rId2181" Type="http://schemas.openxmlformats.org/officeDocument/2006/relationships/hyperlink" Target="https://officialsenna.bandcamp.com/album/stranger-to-love" TargetMode="External"/><Relationship Id="rId2182" Type="http://schemas.openxmlformats.org/officeDocument/2006/relationships/hyperlink" Target="https://open.spotify.com/album/7ethkIDLKAbEKJGCzTJd63?si=2pC1qo7dTqy4PtFhcQKp8Q" TargetMode="External"/><Relationship Id="rId2183" Type="http://schemas.openxmlformats.org/officeDocument/2006/relationships/hyperlink" Target="https://andoceans.bandcamp.com/album/the-regeneration-itinerary" TargetMode="External"/><Relationship Id="rId385" Type="http://schemas.openxmlformats.org/officeDocument/2006/relationships/hyperlink" Target="https://16theband.bandcamp.com/album/guides-for-the-misguided" TargetMode="External"/><Relationship Id="rId2184" Type="http://schemas.openxmlformats.org/officeDocument/2006/relationships/hyperlink" Target="https://open.spotify.com/album/0nGyR3v0mwqCvJ8NM5hhg7?si=kIn9LltGR6WtbeTdqlehVA" TargetMode="External"/><Relationship Id="rId384" Type="http://schemas.openxmlformats.org/officeDocument/2006/relationships/hyperlink" Target="https://www.youtube.com/watch?v=dTTNcC0qJcs" TargetMode="External"/><Relationship Id="rId2185" Type="http://schemas.openxmlformats.org/officeDocument/2006/relationships/hyperlink" Target="https://www.youtube.com/watch?v=_RU4Z1bTS5s" TargetMode="External"/><Relationship Id="rId383" Type="http://schemas.openxmlformats.org/officeDocument/2006/relationships/hyperlink" Target="https://open.spotify.com/album/31cUZAVZ1R6pwgpFXjZ3Vo?si=yzuMF_hbQLuOG-BuclKwag" TargetMode="External"/><Relationship Id="rId2186" Type="http://schemas.openxmlformats.org/officeDocument/2006/relationships/hyperlink" Target="https://entheomorphosis.bandcamp.com/album/pyh-kuilu" TargetMode="External"/><Relationship Id="rId382" Type="http://schemas.openxmlformats.org/officeDocument/2006/relationships/hyperlink" Target="https://open.spotify.com/album/7rJp8SYY3PPb7UcIWIEBqy?si=WpMVPyrhTqOzqLvEaqm1rA" TargetMode="External"/><Relationship Id="rId2187" Type="http://schemas.openxmlformats.org/officeDocument/2006/relationships/hyperlink" Target="https://open.spotify.com/album/2oRZKwjQmml88K9qyvhVr0?si=S0Hh1YtjTKOw_HidAOjr1Q" TargetMode="External"/><Relationship Id="rId389" Type="http://schemas.openxmlformats.org/officeDocument/2006/relationships/hyperlink" Target="https://www.youtube.com/watch?v=61jjc7hKuzQ" TargetMode="External"/><Relationship Id="rId2188" Type="http://schemas.openxmlformats.org/officeDocument/2006/relationships/hyperlink" Target="https://brutalsphincter.bandcamp.com/album/sphinct-earth-society" TargetMode="External"/><Relationship Id="rId388" Type="http://schemas.openxmlformats.org/officeDocument/2006/relationships/hyperlink" Target="https://open.spotify.com/album/5SJ8nVyHXWiNBtAsl6rqXW?si=mP4dgV4sTRiW_AQf3vQM4w" TargetMode="External"/><Relationship Id="rId2189" Type="http://schemas.openxmlformats.org/officeDocument/2006/relationships/hyperlink" Target="https://open.spotify.com/album/1gBFolLM1KOiD4ViCK5GSc?si=yQqhiIjpQH6GljEOD967Zw" TargetMode="External"/><Relationship Id="rId387" Type="http://schemas.openxmlformats.org/officeDocument/2006/relationships/hyperlink" Target="https://www.youtube.com/watch?v=D7iacTCLi1o" TargetMode="External"/><Relationship Id="rId386" Type="http://schemas.openxmlformats.org/officeDocument/2006/relationships/hyperlink" Target="https://open.spotify.com/album/18dnkSFKv83vWQ7cuDBvXM?si=AK_uT1anT5-evzYMNkWKWw" TargetMode="External"/><Relationship Id="rId381" Type="http://schemas.openxmlformats.org/officeDocument/2006/relationships/hyperlink" Target="https://pathogenic.bandcamp.com/album/crowned-in-corpses" TargetMode="External"/><Relationship Id="rId380" Type="http://schemas.openxmlformats.org/officeDocument/2006/relationships/hyperlink" Target="https://open.spotify.com/album/0kZJPCFqseYz0fL1O4Ddaw?si=B68cF0slTceR5g-4SpMwpA" TargetMode="External"/><Relationship Id="rId379" Type="http://schemas.openxmlformats.org/officeDocument/2006/relationships/hyperlink" Target="https://mykingdommusic.bandcamp.com/album/nourishing-the-disaster-to-come-2" TargetMode="External"/><Relationship Id="rId2170" Type="http://schemas.openxmlformats.org/officeDocument/2006/relationships/hyperlink" Target="https://fragmentsofunbecoming.bandcamp.com/album/dawnbringer" TargetMode="External"/><Relationship Id="rId2171" Type="http://schemas.openxmlformats.org/officeDocument/2006/relationships/hyperlink" Target="https://open.spotify.com/album/73vxNOeoWHJCXVUr4vcYlo?si=GDKYma4NTDGPi58BIxx6cg" TargetMode="External"/><Relationship Id="rId2172" Type="http://schemas.openxmlformats.org/officeDocument/2006/relationships/hyperlink" Target="https://unmerciful.bandcamp.com/album/devouring-darkness" TargetMode="External"/><Relationship Id="rId374" Type="http://schemas.openxmlformats.org/officeDocument/2006/relationships/hyperlink" Target="https://open.spotify.com/album/32bbj1RoJ6oUMchlTpIcIS?si=FIGFNT1nR5mVvmmYy4S0Zw" TargetMode="External"/><Relationship Id="rId2173" Type="http://schemas.openxmlformats.org/officeDocument/2006/relationships/hyperlink" Target="https://open.spotify.com/album/0dnDepMWy69COJyEHHHzyF?si=A5QValueQhWpG40e38SmvA" TargetMode="External"/><Relationship Id="rId373" Type="http://schemas.openxmlformats.org/officeDocument/2006/relationships/hyperlink" Target="https://harpmetal.bandcamp.com/album/the-distance-within" TargetMode="External"/><Relationship Id="rId2174" Type="http://schemas.openxmlformats.org/officeDocument/2006/relationships/hyperlink" Target="https://www.youtube.com/watch?v=aNi5Ty3dvaQ" TargetMode="External"/><Relationship Id="rId372" Type="http://schemas.openxmlformats.org/officeDocument/2006/relationships/hyperlink" Target="https://open.spotify.com/album/66f7bCtGPhNj3LKEdbK7AY?si=ESzxYe1BSBK74UkR85786w" TargetMode="External"/><Relationship Id="rId2175" Type="http://schemas.openxmlformats.org/officeDocument/2006/relationships/hyperlink" Target="https://eudaemon.bandcamp.com/album/spiritual-anguish" TargetMode="External"/><Relationship Id="rId371" Type="http://schemas.openxmlformats.org/officeDocument/2006/relationships/hyperlink" Target="https://www.youtube.com/watch?v=44nTNf77s6g" TargetMode="External"/><Relationship Id="rId2176" Type="http://schemas.openxmlformats.org/officeDocument/2006/relationships/hyperlink" Target="https://open.spotify.com/album/2FQlYn5vxTeTgD7rddOhqg?si=h4EaO5mvQtSxuJqm9lxFAg" TargetMode="External"/><Relationship Id="rId378" Type="http://schemas.openxmlformats.org/officeDocument/2006/relationships/hyperlink" Target="https://www.youtube.com/watch?v=QeZJMB32jz4" TargetMode="External"/><Relationship Id="rId2177" Type="http://schemas.openxmlformats.org/officeDocument/2006/relationships/hyperlink" Target="https://tszdeathcore.bandcamp.com/album/i-m-done-with-self-care-it-s-time-for-others-harm" TargetMode="External"/><Relationship Id="rId377" Type="http://schemas.openxmlformats.org/officeDocument/2006/relationships/hyperlink" Target="https://open.spotify.com/album/4tSAxO4YG0GvvqC06BlTVz?si=mwbLlLAMSl2GFD-JYvSHhQ" TargetMode="External"/><Relationship Id="rId2178" Type="http://schemas.openxmlformats.org/officeDocument/2006/relationships/hyperlink" Target="https://open.spotify.com/album/2s49Avw876t7lHNa8jwZVD?si=1zOlrWL_TB67XDzWsSKSEg" TargetMode="External"/><Relationship Id="rId376" Type="http://schemas.openxmlformats.org/officeDocument/2006/relationships/hyperlink" Target="https://open.spotify.com/album/53VJugSqqwMeAH5R4x4Tj0?si=jEucfp3eTZiwNl40rU0vwQ" TargetMode="External"/><Relationship Id="rId2179" Type="http://schemas.openxmlformats.org/officeDocument/2006/relationships/hyperlink" Target="https://www.youtube.com/watch?v=NbE83ho2w4M" TargetMode="External"/><Relationship Id="rId375" Type="http://schemas.openxmlformats.org/officeDocument/2006/relationships/hyperlink" Target="https://stillfalling.bandcamp.com/album/through-time-and-flesh" TargetMode="External"/><Relationship Id="rId2190" Type="http://schemas.openxmlformats.org/officeDocument/2006/relationships/hyperlink" Target="https://ceresianvalot.bandcamp.com/album/uumen" TargetMode="External"/><Relationship Id="rId2191" Type="http://schemas.openxmlformats.org/officeDocument/2006/relationships/hyperlink" Target="https://open.spotify.com/album/6U01qMhWKVM2pM1CKmBmJz?si=lUG-yAQwQ-C5XDBtq6FAjg" TargetMode="External"/><Relationship Id="rId2192" Type="http://schemas.openxmlformats.org/officeDocument/2006/relationships/hyperlink" Target="https://www.youtube.com/watch?v=3bpFYPX6RZo" TargetMode="External"/><Relationship Id="rId2193" Type="http://schemas.openxmlformats.org/officeDocument/2006/relationships/hyperlink" Target="https://spiralist.bandcamp.com/album/violent-feathers" TargetMode="External"/><Relationship Id="rId2194" Type="http://schemas.openxmlformats.org/officeDocument/2006/relationships/hyperlink" Target="https://open.spotify.com/album/52XbfSVtX1ypguU4x2uMW0?si=HMMHTF7aThKod7eocoXKAA" TargetMode="External"/><Relationship Id="rId396" Type="http://schemas.openxmlformats.org/officeDocument/2006/relationships/hyperlink" Target="https://saor.bandcamp.com/album/amidst-the-ruins-2" TargetMode="External"/><Relationship Id="rId2195" Type="http://schemas.openxmlformats.org/officeDocument/2006/relationships/hyperlink" Target="https://flyordie666.bandcamp.com/album/or-die" TargetMode="External"/><Relationship Id="rId395" Type="http://schemas.openxmlformats.org/officeDocument/2006/relationships/hyperlink" Target="https://open.spotify.com/album/1mPOZZLd9CD536yN9fHGrx?si=0bbzWe2PTNWhSL7fmpDYJQ" TargetMode="External"/><Relationship Id="rId2196" Type="http://schemas.openxmlformats.org/officeDocument/2006/relationships/hyperlink" Target="https://open.spotify.com/album/79uoQKEepjOVNftWePz7Ek?si=SUdTzCEXTKOl-N4rlzWZGw" TargetMode="External"/><Relationship Id="rId394" Type="http://schemas.openxmlformats.org/officeDocument/2006/relationships/hyperlink" Target="https://darkdescentrecords.bandcamp.com/album/ashen-womb" TargetMode="External"/><Relationship Id="rId2197" Type="http://schemas.openxmlformats.org/officeDocument/2006/relationships/hyperlink" Target="https://dyingvictimsproductions.bandcamp.com/album/inferno-cremat-rio" TargetMode="External"/><Relationship Id="rId393" Type="http://schemas.openxmlformats.org/officeDocument/2006/relationships/hyperlink" Target="https://open.spotify.com/album/3OitUKoRFCHxhcDlNpo6om?si=hUXexmTbSKS8Kq9REMZAAg" TargetMode="External"/><Relationship Id="rId2198" Type="http://schemas.openxmlformats.org/officeDocument/2006/relationships/hyperlink" Target="https://open.spotify.com/album/18VKfHmW8QxBeQQ6ZCdTcN?si=8m7eIfcvRbKBfQL6xhpMCw" TargetMode="External"/><Relationship Id="rId2199" Type="http://schemas.openxmlformats.org/officeDocument/2006/relationships/hyperlink" Target="https://dyingvictimsproductions.bandcamp.com/album/verminateur" TargetMode="External"/><Relationship Id="rId399" Type="http://schemas.openxmlformats.org/officeDocument/2006/relationships/hyperlink" Target="https://triiiune.bandcamp.com/album/triune" TargetMode="External"/><Relationship Id="rId398" Type="http://schemas.openxmlformats.org/officeDocument/2006/relationships/hyperlink" Target="https://www.youtube.com/watch?v=IuTvnSYsv0Y" TargetMode="External"/><Relationship Id="rId397" Type="http://schemas.openxmlformats.org/officeDocument/2006/relationships/hyperlink" Target="https://open.spotify.com/album/4NImoPuq7eL8PvHHr2nE0e?si=mzyB3RO-SYWE9q4t03OGXA" TargetMode="External"/><Relationship Id="rId1730" Type="http://schemas.openxmlformats.org/officeDocument/2006/relationships/hyperlink" Target="https://open.spotify.com/album/7l2V0lw7MzwvEpwJPy8WJT?si=9owGT0-kQ-WBogIhLq_-Sg" TargetMode="External"/><Relationship Id="rId1731" Type="http://schemas.openxmlformats.org/officeDocument/2006/relationships/hyperlink" Target="https://www.youtube.com/watch?v=7Mau4slETFk" TargetMode="External"/><Relationship Id="rId1732" Type="http://schemas.openxmlformats.org/officeDocument/2006/relationships/hyperlink" Target="https://open.spotify.com/album/197VDX6RBWHRl7w89XcJWE?si=RhBavE8dSXKk3rRbd9Tlww" TargetMode="External"/><Relationship Id="rId1733" Type="http://schemas.openxmlformats.org/officeDocument/2006/relationships/hyperlink" Target="https://bigbrave.bandcamp.com/album/ost" TargetMode="External"/><Relationship Id="rId1734" Type="http://schemas.openxmlformats.org/officeDocument/2006/relationships/hyperlink" Target="https://open.spotify.com/album/4h3AXsNbYRVj42wDToXcDa?si=i2K_TDlJSf2xv6o28KHXRQ" TargetMode="External"/><Relationship Id="rId1735" Type="http://schemas.openxmlformats.org/officeDocument/2006/relationships/hyperlink" Target="https://wednesdaythirteen.bandcamp.com/album/mid-death-crisis" TargetMode="External"/><Relationship Id="rId1736" Type="http://schemas.openxmlformats.org/officeDocument/2006/relationships/hyperlink" Target="https://open.spotify.com/album/4EEDPJLZsPukCYhPT3Hpyu?si=6qfMByYKT6y748zwyKPPoA" TargetMode="External"/><Relationship Id="rId1737" Type="http://schemas.openxmlformats.org/officeDocument/2006/relationships/hyperlink" Target="https://changelingofficial.bandcamp.com/album/changeling" TargetMode="External"/><Relationship Id="rId1738" Type="http://schemas.openxmlformats.org/officeDocument/2006/relationships/hyperlink" Target="https://open.spotify.com/album/1G7ugrmJf3GqqgsCbSFGv9?si=YzT6dIztR92VEgyVelo-Zg" TargetMode="External"/><Relationship Id="rId1739" Type="http://schemas.openxmlformats.org/officeDocument/2006/relationships/hyperlink" Target="https://www.youtube.com/watch?v=G_LWBR0bhdY" TargetMode="External"/><Relationship Id="rId1720" Type="http://schemas.openxmlformats.org/officeDocument/2006/relationships/hyperlink" Target="https://bindrunerecordings.bandcamp.com/album/the-harrow-of-the-lost" TargetMode="External"/><Relationship Id="rId1721" Type="http://schemas.openxmlformats.org/officeDocument/2006/relationships/hyperlink" Target="https://open.spotify.com/album/2hZq9S7ZPdYRPhTPm4XM1x?si=DH-du_KLRGudQF2aZZyh7Q" TargetMode="External"/><Relationship Id="rId1722" Type="http://schemas.openxmlformats.org/officeDocument/2006/relationships/hyperlink" Target="https://thegreatsea.bandcamp.com/album/noble-art-of-desolation" TargetMode="External"/><Relationship Id="rId1723" Type="http://schemas.openxmlformats.org/officeDocument/2006/relationships/hyperlink" Target="https://open.spotify.com/album/3uC3lk7RVSr9EdRGCtlocz?si=En6bcppGTZ2ztn-d2JmJmg" TargetMode="External"/><Relationship Id="rId1724" Type="http://schemas.openxmlformats.org/officeDocument/2006/relationships/hyperlink" Target="https://www.youtube.com/watch?v=m1le3iiKbxs" TargetMode="External"/><Relationship Id="rId1725" Type="http://schemas.openxmlformats.org/officeDocument/2006/relationships/hyperlink" Target="https://peaceville.bandcamp.com/album/inverted-world" TargetMode="External"/><Relationship Id="rId1726" Type="http://schemas.openxmlformats.org/officeDocument/2006/relationships/hyperlink" Target="https://open.spotify.com/album/33CylwZqTMpQ2yu1YzmHaY?si=GI-LqhKsRoi8uRfAcgmydw" TargetMode="External"/><Relationship Id="rId1727" Type="http://schemas.openxmlformats.org/officeDocument/2006/relationships/hyperlink" Target="https://imminentsonicdestruction.bandcamp.com/album/floodgate" TargetMode="External"/><Relationship Id="rId1728" Type="http://schemas.openxmlformats.org/officeDocument/2006/relationships/hyperlink" Target="https://open.spotify.com/album/0lmiICzpCD2g6h6e3uHJKw?si=EbqUU2YzRNmRN11tPQKUQw" TargetMode="External"/><Relationship Id="rId1729" Type="http://schemas.openxmlformats.org/officeDocument/2006/relationships/hyperlink" Target="https://eyeshxc.bandcamp.com/album/spinner" TargetMode="External"/><Relationship Id="rId1752" Type="http://schemas.openxmlformats.org/officeDocument/2006/relationships/hyperlink" Target="https://sumac.bandcamp.com/album/the-film" TargetMode="External"/><Relationship Id="rId1753" Type="http://schemas.openxmlformats.org/officeDocument/2006/relationships/hyperlink" Target="https://open.spotify.com/album/3YGJIQF9nzJaehEcOTTDC8?si=cxsIzarWQEeOXYmqZqHPEw" TargetMode="External"/><Relationship Id="rId1754" Type="http://schemas.openxmlformats.org/officeDocument/2006/relationships/hyperlink" Target="https://arisingempire.bandcamp.com/album/the-darkest-place-ive-ever-been" TargetMode="External"/><Relationship Id="rId1755" Type="http://schemas.openxmlformats.org/officeDocument/2006/relationships/hyperlink" Target="https://open.spotify.com/album/2F9JIN5xlQs9Z6eVANk7mF?si=HJ-GjjePQNGD4c1rMAKMDQ" TargetMode="External"/><Relationship Id="rId1756" Type="http://schemas.openxmlformats.org/officeDocument/2006/relationships/hyperlink" Target="https://www.youtube.com/watch?v=xqB-elk9lZU" TargetMode="External"/><Relationship Id="rId1757" Type="http://schemas.openxmlformats.org/officeDocument/2006/relationships/hyperlink" Target="https://kardashev.bandcamp.com/album/alunea" TargetMode="External"/><Relationship Id="rId1758" Type="http://schemas.openxmlformats.org/officeDocument/2006/relationships/hyperlink" Target="https://open.spotify.com/album/47zkAgyyLwZB8V61VoZuSu?si=66AuUfZORSCdO2ebea1e3Q" TargetMode="External"/><Relationship Id="rId1759" Type="http://schemas.openxmlformats.org/officeDocument/2006/relationships/hyperlink" Target="https://www.youtube.com/watch?v=Q2iOTV14vVo" TargetMode="External"/><Relationship Id="rId1750" Type="http://schemas.openxmlformats.org/officeDocument/2006/relationships/hyperlink" Target="https://open.spotify.com/album/2bv2WcWjHqUSNc3Jgzj25D?si=gOSdEl-yScyiGpNUS8fzyg" TargetMode="External"/><Relationship Id="rId1751" Type="http://schemas.openxmlformats.org/officeDocument/2006/relationships/hyperlink" Target="https://www.youtube.com/watch?v=AMuelOCvOcs" TargetMode="External"/><Relationship Id="rId1741" Type="http://schemas.openxmlformats.org/officeDocument/2006/relationships/hyperlink" Target="https://open.spotify.com/album/4LEXKJ5z4TLkpCMKO2lUxN?si=MznwhmtITfOPttcSudA76Q" TargetMode="External"/><Relationship Id="rId1742" Type="http://schemas.openxmlformats.org/officeDocument/2006/relationships/hyperlink" Target="https://www.youtube.com/watch?v=hAbkCAk59nk" TargetMode="External"/><Relationship Id="rId1743" Type="http://schemas.openxmlformats.org/officeDocument/2006/relationships/hyperlink" Target="https://open.spotify.com/album/24l9AuBslyt8mbJKWbhiZP?si=q_ZbLoWyRm6xWQ9La6kfUg" TargetMode="External"/><Relationship Id="rId1744" Type="http://schemas.openxmlformats.org/officeDocument/2006/relationships/hyperlink" Target="https://felgrave-label.bandcamp.com/album/otherlike-darknesses" TargetMode="External"/><Relationship Id="rId1745" Type="http://schemas.openxmlformats.org/officeDocument/2006/relationships/hyperlink" Target="https://open.spotify.com/album/2DS6zDm6RT3VceuYOcbCuU?si=FffL2eMhTpqiG2UEoQkY7Q" TargetMode="External"/><Relationship Id="rId1746" Type="http://schemas.openxmlformats.org/officeDocument/2006/relationships/hyperlink" Target="https://www.youtube.com/watch?v=lvubyi8gvE0" TargetMode="External"/><Relationship Id="rId1747" Type="http://schemas.openxmlformats.org/officeDocument/2006/relationships/hyperlink" Target="https://employedtoserve.bandcamp.com/album/fallen-star" TargetMode="External"/><Relationship Id="rId1748" Type="http://schemas.openxmlformats.org/officeDocument/2006/relationships/hyperlink" Target="https://open.spotify.com/album/710a8uCtpeZ8BCrrcU4WvC?si=Mf-uZB0ETMS_GroVB3JjOA" TargetMode="External"/><Relationship Id="rId1749" Type="http://schemas.openxmlformats.org/officeDocument/2006/relationships/hyperlink" Target="https://heavypsychsoundsrecords.bandcamp.com/album/conan-violence-dimension" TargetMode="External"/><Relationship Id="rId1740" Type="http://schemas.openxmlformats.org/officeDocument/2006/relationships/hyperlink" Target="https://theogoniarecords.bandcamp.com/album/this-future-wants-us-dead" TargetMode="External"/><Relationship Id="rId1710" Type="http://schemas.openxmlformats.org/officeDocument/2006/relationships/hyperlink" Target="https://cirithungol.bandcamp.com/album/live-at-the-roxy" TargetMode="External"/><Relationship Id="rId1711" Type="http://schemas.openxmlformats.org/officeDocument/2006/relationships/hyperlink" Target="https://open.spotify.com/album/55Rxoorbho2nN4q7tALYdh?si=lC_6XkruQ3Cqcjo_5AoYsQ" TargetMode="External"/><Relationship Id="rId1712" Type="http://schemas.openxmlformats.org/officeDocument/2006/relationships/hyperlink" Target="https://cineastre.bandcamp.com/album/fortgang" TargetMode="External"/><Relationship Id="rId1713" Type="http://schemas.openxmlformats.org/officeDocument/2006/relationships/hyperlink" Target="https://martlet.bandcamp.com/album/hexe" TargetMode="External"/><Relationship Id="rId1714" Type="http://schemas.openxmlformats.org/officeDocument/2006/relationships/hyperlink" Target="https://open.spotify.com/album/7D0Hr8zmZl9TEoOI32et8i?si=MHF493zFQjqIH57cbT96vw" TargetMode="External"/><Relationship Id="rId1715" Type="http://schemas.openxmlformats.org/officeDocument/2006/relationships/hyperlink" Target="https://profoundlorerecords.bandcamp.com/album/grinding-mechanism-of-torment" TargetMode="External"/><Relationship Id="rId1716" Type="http://schemas.openxmlformats.org/officeDocument/2006/relationships/hyperlink" Target="https://open.spotify.com/album/6a6cbw3lKy2EQAtAnfPKeQ?si=_mOXW8IaTSWS_dXdJ31tEA" TargetMode="External"/><Relationship Id="rId1717" Type="http://schemas.openxmlformats.org/officeDocument/2006/relationships/hyperlink" Target="https://www.youtube.com/watch?v=icB-my5uwzU" TargetMode="External"/><Relationship Id="rId1718" Type="http://schemas.openxmlformats.org/officeDocument/2006/relationships/hyperlink" Target="https://tuscoma.bandcamp.com/album/mal-de-amores" TargetMode="External"/><Relationship Id="rId1719" Type="http://schemas.openxmlformats.org/officeDocument/2006/relationships/hyperlink" Target="https://open.spotify.com/album/1wN6G9tGqEicIIx6lQhohm?si=Nm6CoRMFQZqbulLI1_zwQg" TargetMode="External"/><Relationship Id="rId1700" Type="http://schemas.openxmlformats.org/officeDocument/2006/relationships/hyperlink" Target="https://open.spotify.com/album/1GaQOppiWIBggoF8vOhJs4?si=p8H_ABl_TqOjNncqJfI38A" TargetMode="External"/><Relationship Id="rId1701" Type="http://schemas.openxmlformats.org/officeDocument/2006/relationships/hyperlink" Target="https://wretchedblessing.bandcamp.com/album/psychic-barriers-to-entry" TargetMode="External"/><Relationship Id="rId1702" Type="http://schemas.openxmlformats.org/officeDocument/2006/relationships/hyperlink" Target="https://open.spotify.com/album/1m97bmjqg2SKwc7rgmOudy?si=qPycSbj-QzWFIzGEyPeCMg" TargetMode="External"/><Relationship Id="rId1703" Type="http://schemas.openxmlformats.org/officeDocument/2006/relationships/hyperlink" Target="https://life9.bandcamp.com/album/my-heart-the-dreaming-memory" TargetMode="External"/><Relationship Id="rId1704" Type="http://schemas.openxmlformats.org/officeDocument/2006/relationships/hyperlink" Target="https://open.spotify.com/album/2SszEvw9D7fO42lGdoYZzr?si=pc83FRKkTlWDJRn9Qm55IQ" TargetMode="External"/><Relationship Id="rId1705" Type="http://schemas.openxmlformats.org/officeDocument/2006/relationships/hyperlink" Target="https://urisk.bandcamp.com/album/shrivelling-lights" TargetMode="External"/><Relationship Id="rId1706" Type="http://schemas.openxmlformats.org/officeDocument/2006/relationships/hyperlink" Target="https://open.spotify.com/album/6MgVTb62jmtWl9a67IHOk5?si=FW1pAwaASbGiWw-rZ4Jpvg" TargetMode="External"/><Relationship Id="rId1707" Type="http://schemas.openxmlformats.org/officeDocument/2006/relationships/hyperlink" Target="https://www.youtube.com/watch?v=th8fIt7ppt8" TargetMode="External"/><Relationship Id="rId1708" Type="http://schemas.openxmlformats.org/officeDocument/2006/relationships/hyperlink" Target="https://iamyourgod.bandcamp.com/album/trinity" TargetMode="External"/><Relationship Id="rId1709" Type="http://schemas.openxmlformats.org/officeDocument/2006/relationships/hyperlink" Target="https://open.spotify.com/album/3NOpn5BVGrh0BZ4fq2JzhF?si=LBYTQpi_THiUKPVbkiKdsw" TargetMode="External"/><Relationship Id="rId40" Type="http://schemas.openxmlformats.org/officeDocument/2006/relationships/hyperlink" Target="https://leegte.bandcamp.com/album/finis" TargetMode="External"/><Relationship Id="rId3513" Type="http://schemas.openxmlformats.org/officeDocument/2006/relationships/hyperlink" Target="https://open.spotify.com/album/1wHMJb8XydcDbB465bTI5d?si=zFlpbONcSA-FH4KUDrT-2A" TargetMode="External"/><Relationship Id="rId3512" Type="http://schemas.openxmlformats.org/officeDocument/2006/relationships/hyperlink" Target="https://morild.bandcamp.com/album/disse-fugle-f-r-ingen-at-se" TargetMode="External"/><Relationship Id="rId42" Type="http://schemas.openxmlformats.org/officeDocument/2006/relationships/hyperlink" Target="https://membraneband.bandcamp.com/album/deathly-silence" TargetMode="External"/><Relationship Id="rId3515" Type="http://schemas.openxmlformats.org/officeDocument/2006/relationships/hyperlink" Target="https://open.spotify.com/album/1yATI9c4AWhMXS9g4YMBaS?si=yKIyR-eIQ4uGVb4kLxKzmg" TargetMode="External"/><Relationship Id="rId41" Type="http://schemas.openxmlformats.org/officeDocument/2006/relationships/hyperlink" Target="https://secondday.bandcamp.com/album/flamboyance" TargetMode="External"/><Relationship Id="rId3514" Type="http://schemas.openxmlformats.org/officeDocument/2006/relationships/hyperlink" Target="https://koldbanddk.bandcamp.com/album/det-falmede-h-b" TargetMode="External"/><Relationship Id="rId44" Type="http://schemas.openxmlformats.org/officeDocument/2006/relationships/hyperlink" Target="https://plaguewielderoh.bandcamp.com/album/in-dust-ash" TargetMode="External"/><Relationship Id="rId3517" Type="http://schemas.openxmlformats.org/officeDocument/2006/relationships/hyperlink" Target="https://vendetta-records.bandcamp.com/album/afgrundsprofeti" TargetMode="External"/><Relationship Id="rId43" Type="http://schemas.openxmlformats.org/officeDocument/2006/relationships/hyperlink" Target="https://simulationdefect.bandcamp.com/album/simulation-defect" TargetMode="External"/><Relationship Id="rId3516" Type="http://schemas.openxmlformats.org/officeDocument/2006/relationships/hyperlink" Target="https://www.youtube.com/watch?v=xrX00Gw7fIo" TargetMode="External"/><Relationship Id="rId46" Type="http://schemas.openxmlformats.org/officeDocument/2006/relationships/hyperlink" Target="https://joinzeta.bandcamp.com/album/was-it-medicine-to-you" TargetMode="External"/><Relationship Id="rId3519" Type="http://schemas.openxmlformats.org/officeDocument/2006/relationships/hyperlink" Target="https://mechanizedapparatusrevolt.bandcamp.com/album/invasive-species" TargetMode="External"/><Relationship Id="rId45" Type="http://schemas.openxmlformats.org/officeDocument/2006/relationships/hyperlink" Target="https://open.spotify.com/album/7GP021Sa2sW8me99P990Cs?si=c0z3Y4uLToqlkcd-KAH01g" TargetMode="External"/><Relationship Id="rId3518" Type="http://schemas.openxmlformats.org/officeDocument/2006/relationships/hyperlink" Target="https://open.spotify.com/album/5FsgRua7mukcKqmlQfo5yU?si=8TmYgXPmTBifWs-yb07dDQ" TargetMode="External"/><Relationship Id="rId48" Type="http://schemas.openxmlformats.org/officeDocument/2006/relationships/hyperlink" Target="https://sulfator.bandcamp.com/album/gemini" TargetMode="External"/><Relationship Id="rId47" Type="http://schemas.openxmlformats.org/officeDocument/2006/relationships/hyperlink" Target="https://open.spotify.com/album/1EBo5kSeuyoLuvzMmj4ttR?si=YxQe_vPYSf6ybwhBgRg05g" TargetMode="External"/><Relationship Id="rId49" Type="http://schemas.openxmlformats.org/officeDocument/2006/relationships/hyperlink" Target="https://open.spotify.com/album/1USketWpu1JmQEHBAfTsU3?si=rejGhp7HRIeusO6emdnC8w" TargetMode="External"/><Relationship Id="rId3511" Type="http://schemas.openxmlformats.org/officeDocument/2006/relationships/hyperlink" Target="https://open.spotify.com/album/3QJstMgnrFNtKzAxaEVC70?si=RMK1n_E3TKSSgPY3DqyW8Q" TargetMode="External"/><Relationship Id="rId3510" Type="http://schemas.openxmlformats.org/officeDocument/2006/relationships/hyperlink" Target="https://meetinghousect.bandcamp.com/album/youve-seen-heaven" TargetMode="External"/><Relationship Id="rId3502" Type="http://schemas.openxmlformats.org/officeDocument/2006/relationships/hyperlink" Target="https://open.spotify.com/album/1snVGrLgfjHJUcs4ZbcM6W?si=PTlmh4BCSTu4QemN_R66DQ" TargetMode="External"/><Relationship Id="rId3501" Type="http://schemas.openxmlformats.org/officeDocument/2006/relationships/hyperlink" Target="https://jawbreakerrecords.bandcamp.com/album/ruler-of-the-wolves" TargetMode="External"/><Relationship Id="rId31" Type="http://schemas.openxmlformats.org/officeDocument/2006/relationships/hyperlink" Target="https://thenamelessmusic.bandcamp.com/album/the-nameless" TargetMode="External"/><Relationship Id="rId3504" Type="http://schemas.openxmlformats.org/officeDocument/2006/relationships/hyperlink" Target="https://open.spotify.com/album/7pHgJQH9uqyrQ7Vv7QDkJP?si=PIwJ4f_mR4yN97JvMu-0Ug" TargetMode="External"/><Relationship Id="rId30" Type="http://schemas.openxmlformats.org/officeDocument/2006/relationships/hyperlink" Target="https://open.spotify.com/album/1OKnDMtawDzXuuzN9ew4R5?si=Pw_pkXL2Q1OJAtFibdnZkw" TargetMode="External"/><Relationship Id="rId3503" Type="http://schemas.openxmlformats.org/officeDocument/2006/relationships/hyperlink" Target="https://gnotband.bandcamp.com/album/--2" TargetMode="External"/><Relationship Id="rId33" Type="http://schemas.openxmlformats.org/officeDocument/2006/relationships/hyperlink" Target="https://nofuneralsound.bandcamp.com/album/feel-fine" TargetMode="External"/><Relationship Id="rId3506" Type="http://schemas.openxmlformats.org/officeDocument/2006/relationships/hyperlink" Target="https://open.spotify.com/album/1KnOAKZF5hHWamy9N5yVAB?si=FmHJgwaqQEmEfbyU2Yjojw" TargetMode="External"/><Relationship Id="rId32" Type="http://schemas.openxmlformats.org/officeDocument/2006/relationships/hyperlink" Target="https://www.youtube.com/watch?v=7o0p37Xr5Wc" TargetMode="External"/><Relationship Id="rId3505" Type="http://schemas.openxmlformats.org/officeDocument/2006/relationships/hyperlink" Target="https://arduamusic.bandcamp.com/album/echoes-from-beyond" TargetMode="External"/><Relationship Id="rId35" Type="http://schemas.openxmlformats.org/officeDocument/2006/relationships/hyperlink" Target="https://obscuresphinx.bandcamp.com/album/emovere" TargetMode="External"/><Relationship Id="rId3508" Type="http://schemas.openxmlformats.org/officeDocument/2006/relationships/hyperlink" Target="https://fister.bandcamp.com/album/graceless" TargetMode="External"/><Relationship Id="rId34" Type="http://schemas.openxmlformats.org/officeDocument/2006/relationships/hyperlink" Target="https://open.spotify.com/album/18yj0Om9u240PKliKTk8bM?si=OFTn3JFwQ4-JFHLqmZbuow" TargetMode="External"/><Relationship Id="rId3507" Type="http://schemas.openxmlformats.org/officeDocument/2006/relationships/hyperlink" Target="https://www.youtube.com/watch?v=cb23FQWbn_4" TargetMode="External"/><Relationship Id="rId3509" Type="http://schemas.openxmlformats.org/officeDocument/2006/relationships/hyperlink" Target="https://open.spotify.com/album/7AfYtvcb1BLCrPoiBNgjq9?si=4zecSr4YS56BlKTosL-39Q" TargetMode="External"/><Relationship Id="rId37" Type="http://schemas.openxmlformats.org/officeDocument/2006/relationships/hyperlink" Target="https://jota-band.bandcamp.com/album/haven" TargetMode="External"/><Relationship Id="rId36" Type="http://schemas.openxmlformats.org/officeDocument/2006/relationships/hyperlink" Target="https://open.spotify.com/album/17volQfzHFxxSm46VodEpa?si=bQSIHyYHQ5Ge72GB2bVyOQ" TargetMode="External"/><Relationship Id="rId39" Type="http://schemas.openxmlformats.org/officeDocument/2006/relationships/hyperlink" Target="https://gloamer.bandcamp.com/album/incinerus-2" TargetMode="External"/><Relationship Id="rId38" Type="http://schemas.openxmlformats.org/officeDocument/2006/relationships/hyperlink" Target="https://open.spotify.com/album/0WGRaV6RGw0URr44SEdOX0?si=EZPxQcKHQqOWGWuihwf_Iw" TargetMode="External"/><Relationship Id="rId3500" Type="http://schemas.openxmlformats.org/officeDocument/2006/relationships/hyperlink" Target="https://open.spotify.com/album/5QMyitgLnjVOcGZlZe50tl?si=iQ_Zx_lKQV2LSOXMlQ0-Bg" TargetMode="External"/><Relationship Id="rId2203" Type="http://schemas.openxmlformats.org/officeDocument/2006/relationships/hyperlink" Target="https://open.spotify.com/album/3Nd4lzmWcF6P4QF2xWxLoC?si=3vkSUz1hQmq9H6VzlRC32Q" TargetMode="External"/><Relationship Id="rId3535" Type="http://schemas.openxmlformats.org/officeDocument/2006/relationships/hyperlink" Target="https://tehoy.bandcamp.com/album/tehoy" TargetMode="External"/><Relationship Id="rId2204" Type="http://schemas.openxmlformats.org/officeDocument/2006/relationships/hyperlink" Target="https://witchrot.bandcamp.com/album/soul-cellar" TargetMode="External"/><Relationship Id="rId3534" Type="http://schemas.openxmlformats.org/officeDocument/2006/relationships/hyperlink" Target="https://paaris.bandcamp.com/album/sic-parvis-magna" TargetMode="External"/><Relationship Id="rId20" Type="http://schemas.openxmlformats.org/officeDocument/2006/relationships/hyperlink" Target="https://patriarkh.bandcamp.com/album/prophet-ilja" TargetMode="External"/><Relationship Id="rId2205" Type="http://schemas.openxmlformats.org/officeDocument/2006/relationships/hyperlink" Target="https://open.spotify.com/album/54PGsMIMnXkk2KJTm9nmSu?si=Wn7IjHtUShmevtgRQPbtZg" TargetMode="External"/><Relationship Id="rId3537" Type="http://schemas.openxmlformats.org/officeDocument/2006/relationships/hyperlink" Target="https://whane.bandcamp.com/album/per-tutti-sempre-e-poi-amore" TargetMode="External"/><Relationship Id="rId2206" Type="http://schemas.openxmlformats.org/officeDocument/2006/relationships/hyperlink" Target="https://crystalspiders.bandcamp.com/album/metanoia" TargetMode="External"/><Relationship Id="rId3536" Type="http://schemas.openxmlformats.org/officeDocument/2006/relationships/hyperlink" Target="https://open.spotify.com/album/0jt3XIGD10yIBDrdtNLNy0?si=SIBle9DySjWd2OOPd5fU6A" TargetMode="External"/><Relationship Id="rId22" Type="http://schemas.openxmlformats.org/officeDocument/2006/relationships/hyperlink" Target="https://open.spotify.com/album/5d1pDYWn1ZLFfQdrN6ZGwm?si=u61nxDB5TmK_cxUSeRyNUg" TargetMode="External"/><Relationship Id="rId2207" Type="http://schemas.openxmlformats.org/officeDocument/2006/relationships/hyperlink" Target="https://open.spotify.com/album/2EJtJdIh79tbl4sLGTC4nw?si=qoJoO71aQtKtvOgymgfDmw" TargetMode="External"/><Relationship Id="rId3539" Type="http://schemas.openxmlformats.org/officeDocument/2006/relationships/hyperlink" Target="https://icursed.bandcamp.com/album/heretical-onslaught" TargetMode="External"/><Relationship Id="rId21" Type="http://schemas.openxmlformats.org/officeDocument/2006/relationships/hyperlink" Target="https://open.spotify.com/album/7Dnh5YZEYXnYVmHorCVbD0?si=yKAnB14wSo-R950VSyHhBg" TargetMode="External"/><Relationship Id="rId2208" Type="http://schemas.openxmlformats.org/officeDocument/2006/relationships/hyperlink" Target="https://moonlighthaze.bandcamp.com/album/beyond" TargetMode="External"/><Relationship Id="rId3538" Type="http://schemas.openxmlformats.org/officeDocument/2006/relationships/hyperlink" Target="https://avenade.bandcamp.com/album/try-searching-for-a-lover-2" TargetMode="External"/><Relationship Id="rId24" Type="http://schemas.openxmlformats.org/officeDocument/2006/relationships/hyperlink" Target="https://denouementdmv.bandcamp.com/album/hymns-for-those-to-follow" TargetMode="External"/><Relationship Id="rId2209" Type="http://schemas.openxmlformats.org/officeDocument/2006/relationships/hyperlink" Target="https://open.spotify.com/album/5b7ycJH12J71YLRJulfj8M?si=va8EcqOwReeIsaGth-6nDw" TargetMode="External"/><Relationship Id="rId23" Type="http://schemas.openxmlformats.org/officeDocument/2006/relationships/hyperlink" Target="https://twinkscreamo.bandcamp.com/album/death" TargetMode="External"/><Relationship Id="rId26" Type="http://schemas.openxmlformats.org/officeDocument/2006/relationships/hyperlink" Target="https://open.spotify.com/album/6fkDobBr5j5QI1T27gQRUa?si=3vdW-DYETSGuDnsECmC9-g" TargetMode="External"/><Relationship Id="rId25" Type="http://schemas.openxmlformats.org/officeDocument/2006/relationships/hyperlink" Target="https://nostocband.bandcamp.com/album/rites-of-passage" TargetMode="External"/><Relationship Id="rId28" Type="http://schemas.openxmlformats.org/officeDocument/2006/relationships/hyperlink" Target="https://open.spotify.com/album/6KBstK1UDlsFImqp3XChBT?si=Ils4PR1fTBqUkMYS7uErxw" TargetMode="External"/><Relationship Id="rId27" Type="http://schemas.openxmlformats.org/officeDocument/2006/relationships/hyperlink" Target="https://ashlandsmusic.bandcamp.com/album/ashlands-iii" TargetMode="External"/><Relationship Id="rId3531" Type="http://schemas.openxmlformats.org/officeDocument/2006/relationships/hyperlink" Target="https://xtreemmusic.bandcamp.com/album/ethereal-dominance" TargetMode="External"/><Relationship Id="rId29" Type="http://schemas.openxmlformats.org/officeDocument/2006/relationships/hyperlink" Target="https://keratin.bandcamp.com/album/death-rebirth" TargetMode="External"/><Relationship Id="rId2200" Type="http://schemas.openxmlformats.org/officeDocument/2006/relationships/hyperlink" Target="https://open.spotify.com/album/7JIo5KZEhiG1EslnvE2EBo?si=d_hgZL77TC2lBRNIew5D0g" TargetMode="External"/><Relationship Id="rId3530" Type="http://schemas.openxmlformats.org/officeDocument/2006/relationships/hyperlink" Target="https://open.spotify.com/album/6wBk7hwq9tQUDURsyXOsCS?si=3y4EbPYWRJmUspUjqPPw4w" TargetMode="External"/><Relationship Id="rId2201" Type="http://schemas.openxmlformats.org/officeDocument/2006/relationships/hyperlink" Target="https://www.youtube.com/watch?v=vvV4WR9P-zk" TargetMode="External"/><Relationship Id="rId3533" Type="http://schemas.openxmlformats.org/officeDocument/2006/relationships/hyperlink" Target="https://www.youtube.com/watch?v=SUjYPz25oZc" TargetMode="External"/><Relationship Id="rId2202" Type="http://schemas.openxmlformats.org/officeDocument/2006/relationships/hyperlink" Target="https://brutalrecords.bandcamp.com/album/sakura" TargetMode="External"/><Relationship Id="rId3532" Type="http://schemas.openxmlformats.org/officeDocument/2006/relationships/hyperlink" Target="https://open.spotify.com/album/3nBmI7N6BZ4qicUA55kwL3?si=Q1Mq5lJoSOusSobFamfzBw" TargetMode="External"/><Relationship Id="rId3524" Type="http://schemas.openxmlformats.org/officeDocument/2006/relationships/hyperlink" Target="https://vaexus.bandcamp.com/album/mea-culpa" TargetMode="External"/><Relationship Id="rId3523" Type="http://schemas.openxmlformats.org/officeDocument/2006/relationships/hyperlink" Target="https://shardana.bandcamp.com/album/the-monarch" TargetMode="External"/><Relationship Id="rId3526" Type="http://schemas.openxmlformats.org/officeDocument/2006/relationships/hyperlink" Target="https://cindral.bandcamp.com/album/ashen-reverie" TargetMode="External"/><Relationship Id="rId3525" Type="http://schemas.openxmlformats.org/officeDocument/2006/relationships/hyperlink" Target="https://open.spotify.com/album/78XkfsSIQAVn8xmHvb5MCy?si=UkR1-pSpSGKig_5r3CFCaA" TargetMode="External"/><Relationship Id="rId11" Type="http://schemas.openxmlformats.org/officeDocument/2006/relationships/hyperlink" Target="https://open.spotify.com/album/5zmNnuRaA6fSQhN6qPAX5T?si=VmlaYyVVTb-YTRgFmxINQA" TargetMode="External"/><Relationship Id="rId3528" Type="http://schemas.openxmlformats.org/officeDocument/2006/relationships/hyperlink" Target="https://electromancy.bandcamp.com/album/visions-of-utopia" TargetMode="External"/><Relationship Id="rId10" Type="http://schemas.openxmlformats.org/officeDocument/2006/relationships/hyperlink" Target="https://amiintrouble.bandcamp.com/album/spectrum" TargetMode="External"/><Relationship Id="rId3527" Type="http://schemas.openxmlformats.org/officeDocument/2006/relationships/hyperlink" Target="https://monstrvm.bandcamp.com/album/the-shapes-of-light" TargetMode="External"/><Relationship Id="rId13" Type="http://schemas.openxmlformats.org/officeDocument/2006/relationships/hyperlink" Target="https://open.spotify.com/album/2ic9y0c0Y7goGxrre1ud7Q?si=lhNv-NndQSik0zKB7nd3XA" TargetMode="External"/><Relationship Id="rId12" Type="http://schemas.openxmlformats.org/officeDocument/2006/relationships/hyperlink" Target="https://palefaceswiss.bandcamp.com/album/cursed" TargetMode="External"/><Relationship Id="rId3529" Type="http://schemas.openxmlformats.org/officeDocument/2006/relationships/hyperlink" Target="https://serratenc.bandcamp.com/album/even-the-wind-sounds-dead" TargetMode="External"/><Relationship Id="rId15" Type="http://schemas.openxmlformats.org/officeDocument/2006/relationships/hyperlink" Target="https://open.spotify.com/album/44aaI2dOOxnINlIwtp7lEl?si=LBdVpsFqQGm6lCOFJXhN0A" TargetMode="External"/><Relationship Id="rId14" Type="http://schemas.openxmlformats.org/officeDocument/2006/relationships/hyperlink" Target="https://mutagenichost.bandcamp.com/album/the-diseased-machine" TargetMode="External"/><Relationship Id="rId17" Type="http://schemas.openxmlformats.org/officeDocument/2006/relationships/hyperlink" Target="https://open.spotify.com/album/4hwHxaF7CYnqa7wFZujpN3?si=h6n725icRP-lLoh42-nTdQ" TargetMode="External"/><Relationship Id="rId16" Type="http://schemas.openxmlformats.org/officeDocument/2006/relationships/hyperlink" Target="https://lordagheros.bandcamp.com/album/anhedonia" TargetMode="External"/><Relationship Id="rId19" Type="http://schemas.openxmlformats.org/officeDocument/2006/relationships/hyperlink" Target="https://open.spotify.com/album/6SGP9Kh7ej2dhDpeD3nI0R?si=wzT1d3iEQ8uafSAB76esaA" TargetMode="External"/><Relationship Id="rId3520" Type="http://schemas.openxmlformats.org/officeDocument/2006/relationships/hyperlink" Target="https://www.youtube.com/watch?v=liNFVhyNY14" TargetMode="External"/><Relationship Id="rId18" Type="http://schemas.openxmlformats.org/officeDocument/2006/relationships/hyperlink" Target="https://bloodbark.bandcamp.com/album/sacred-sound-of-solitude" TargetMode="External"/><Relationship Id="rId3522" Type="http://schemas.openxmlformats.org/officeDocument/2006/relationships/hyperlink" Target="https://open.spotify.com/album/6juk7HoawMAIlf0SwcjEld?si=7t2WQ0g9Tpi0eqqyC2El1g" TargetMode="External"/><Relationship Id="rId3521" Type="http://schemas.openxmlformats.org/officeDocument/2006/relationships/hyperlink" Target="https://interlinked1.bandcamp.com/album/recede-cope" TargetMode="External"/><Relationship Id="rId84" Type="http://schemas.openxmlformats.org/officeDocument/2006/relationships/hyperlink" Target="https://sharptonerecords.bandcamp.com/album/keep-planting-flowers" TargetMode="External"/><Relationship Id="rId1774" Type="http://schemas.openxmlformats.org/officeDocument/2006/relationships/hyperlink" Target="https://www.youtube.com/watch?v=dwD5ZDAPwtU" TargetMode="External"/><Relationship Id="rId83" Type="http://schemas.openxmlformats.org/officeDocument/2006/relationships/hyperlink" Target="https://open.spotify.com/album/2rFZcniqqR1CrsUz2fXmcA?si=a8mDYhadSHmmIsfXR8UJdg" TargetMode="External"/><Relationship Id="rId1775" Type="http://schemas.openxmlformats.org/officeDocument/2006/relationships/hyperlink" Target="https://listenable-records.bandcamp.com/album/big-trouble" TargetMode="External"/><Relationship Id="rId86" Type="http://schemas.openxmlformats.org/officeDocument/2006/relationships/hyperlink" Target="https://stellarforest.bandcamp.com/album/stellar-forest" TargetMode="External"/><Relationship Id="rId1776" Type="http://schemas.openxmlformats.org/officeDocument/2006/relationships/hyperlink" Target="https://open.spotify.com/album/1EwGJ7E0dAgcFPiu2ldAAp?si=Lr5uteFPSDaCYMQUzQzmyw" TargetMode="External"/><Relationship Id="rId85" Type="http://schemas.openxmlformats.org/officeDocument/2006/relationships/hyperlink" Target="https://open.spotify.com/album/4zZ2m5o6f0HqhDUGFEqGWR?si=ieMJY3ITS6mU9fwW3FviiA" TargetMode="External"/><Relationship Id="rId1777" Type="http://schemas.openxmlformats.org/officeDocument/2006/relationships/hyperlink" Target="https://desertedfear.bandcamp.com/album/veins-of-fire" TargetMode="External"/><Relationship Id="rId88" Type="http://schemas.openxmlformats.org/officeDocument/2006/relationships/hyperlink" Target="https://open.spotify.com/album/5DgsdOYYoYkOnA9I1ATaI5?si=3f9MTZGET1iEruZ7RA-M-w" TargetMode="External"/><Relationship Id="rId1778" Type="http://schemas.openxmlformats.org/officeDocument/2006/relationships/hyperlink" Target="https://open.spotify.com/album/0UqIqmgBUFqeBdc7aFw6ty?si=PnQuyJk0RkudIX6o2OtJGw" TargetMode="External"/><Relationship Id="rId87" Type="http://schemas.openxmlformats.org/officeDocument/2006/relationships/hyperlink" Target="https://faithxtractor.bandcamp.com/album/loathing-the-noose" TargetMode="External"/><Relationship Id="rId1779" Type="http://schemas.openxmlformats.org/officeDocument/2006/relationships/hyperlink" Target="https://inhumannature.bandcamp.com/album/greater-than-death" TargetMode="External"/><Relationship Id="rId89" Type="http://schemas.openxmlformats.org/officeDocument/2006/relationships/hyperlink" Target="https://planetsband.bandcamp.com/album/the-year-without-a-summer" TargetMode="External"/><Relationship Id="rId80" Type="http://schemas.openxmlformats.org/officeDocument/2006/relationships/hyperlink" Target="https://open.spotify.com/album/2WWkExnjeUIHQfBqS0WKft?si=DGxY5f6TSritO7EUBf-hqA" TargetMode="External"/><Relationship Id="rId82" Type="http://schemas.openxmlformats.org/officeDocument/2006/relationships/hyperlink" Target="https://exilant.bandcamp.com/album/arcadia-forlorn" TargetMode="External"/><Relationship Id="rId81" Type="http://schemas.openxmlformats.org/officeDocument/2006/relationships/hyperlink" Target="https://www.youtube.com/watch?v=mZ6BB2IusFQ" TargetMode="External"/><Relationship Id="rId1770" Type="http://schemas.openxmlformats.org/officeDocument/2006/relationships/hyperlink" Target="https://open.spotify.com/album/2N9wU6dZQLcDgscFT7CSOD?si=Kb9E0A5yTMqzSaB-Rb85NQ" TargetMode="External"/><Relationship Id="rId1771" Type="http://schemas.openxmlformats.org/officeDocument/2006/relationships/hyperlink" Target="https://www.youtube.com/watch?v=lwfls7qGA7k" TargetMode="External"/><Relationship Id="rId1772" Type="http://schemas.openxmlformats.org/officeDocument/2006/relationships/hyperlink" Target="https://beholderblacklion.bandcamp.com/album/in-the-temple-of-the-tyrant" TargetMode="External"/><Relationship Id="rId1773" Type="http://schemas.openxmlformats.org/officeDocument/2006/relationships/hyperlink" Target="https://open.spotify.com/album/7bcxpgPgExBJGvntexINwS?si=8wG4SniBTdWtDFq5LzuDmA" TargetMode="External"/><Relationship Id="rId73" Type="http://schemas.openxmlformats.org/officeDocument/2006/relationships/hyperlink" Target="https://open.spotify.com/album/4mbveNzz1ueuEHSHfMqvMd?si=AniMnJsZQN-cM8ciJREEBQ" TargetMode="External"/><Relationship Id="rId1763" Type="http://schemas.openxmlformats.org/officeDocument/2006/relationships/hyperlink" Target="https://open.spotify.com/album/3KFYzt4rTw5x8YUjtTz1sp?si=dw4zaL6ZRH2kRmGKTgZhHw" TargetMode="External"/><Relationship Id="rId72" Type="http://schemas.openxmlformats.org/officeDocument/2006/relationships/hyperlink" Target="https://afternations.bandcamp.com/album/surface-essence" TargetMode="External"/><Relationship Id="rId1764" Type="http://schemas.openxmlformats.org/officeDocument/2006/relationships/hyperlink" Target="https://www.youtube.com/watch?v=pQh6sIeGYsc" TargetMode="External"/><Relationship Id="rId75" Type="http://schemas.openxmlformats.org/officeDocument/2006/relationships/hyperlink" Target="https://baptistebrun.bandcamp.com/album/elevatio" TargetMode="External"/><Relationship Id="rId1765" Type="http://schemas.openxmlformats.org/officeDocument/2006/relationships/hyperlink" Target="https://ancientbards.bandcamp.com/album/artifex" TargetMode="External"/><Relationship Id="rId74" Type="http://schemas.openxmlformats.org/officeDocument/2006/relationships/hyperlink" Target="https://open.spotify.com/album/2l106cYkaLYZVQHodDqJVA?si=SAHi2FzTR-uV7Z3px0ObKw" TargetMode="External"/><Relationship Id="rId1766" Type="http://schemas.openxmlformats.org/officeDocument/2006/relationships/hyperlink" Target="https://open.spotify.com/album/2sKabBPYkW0MSzcaSLj4Cx?si=-SCEL7eER5i2zNjcMu24hg" TargetMode="External"/><Relationship Id="rId77" Type="http://schemas.openxmlformats.org/officeDocument/2006/relationships/hyperlink" Target="https://harvst.bandcamp.com/album/mahlstrom" TargetMode="External"/><Relationship Id="rId1767" Type="http://schemas.openxmlformats.org/officeDocument/2006/relationships/hyperlink" Target="https://centurymedia.bandcamp.com/album/back-from-hell-24-bit-hd-audio" TargetMode="External"/><Relationship Id="rId76" Type="http://schemas.openxmlformats.org/officeDocument/2006/relationships/hyperlink" Target="https://open.spotify.com/album/1zwt1wRgrE2CKsB7wjBejT?si=QaP_z0vsTf6kQTXe90UBWg" TargetMode="External"/><Relationship Id="rId1768" Type="http://schemas.openxmlformats.org/officeDocument/2006/relationships/hyperlink" Target="https://open.spotify.com/album/2kImUPrlzk6KlccyOhlXAt?si=RO4cxSACSAmejUGfqPNjaQ" TargetMode="External"/><Relationship Id="rId79" Type="http://schemas.openxmlformats.org/officeDocument/2006/relationships/hyperlink" Target="https://chalkwife.bandcamp.com/album/shinjuku" TargetMode="External"/><Relationship Id="rId1769" Type="http://schemas.openxmlformats.org/officeDocument/2006/relationships/hyperlink" Target="https://hypnoticdirgerecords.bandcamp.com/album/selftitled-3" TargetMode="External"/><Relationship Id="rId78" Type="http://schemas.openxmlformats.org/officeDocument/2006/relationships/hyperlink" Target="https://akratu.bandcamp.com/album/i-set-alfame" TargetMode="External"/><Relationship Id="rId71" Type="http://schemas.openxmlformats.org/officeDocument/2006/relationships/hyperlink" Target="https://open.spotify.com/album/04jQcgEm8ew4NdRngudE4f?si=-bokhObTSfO5-0IwKUkhyQ" TargetMode="External"/><Relationship Id="rId70" Type="http://schemas.openxmlformats.org/officeDocument/2006/relationships/hyperlink" Target="https://alchemy603.bandcamp.com/album/could-it-be-any-worse" TargetMode="External"/><Relationship Id="rId1760" Type="http://schemas.openxmlformats.org/officeDocument/2006/relationships/hyperlink" Target="https://hammerheart.bandcamp.com/album/i-welcome-thee-eternal-sleep" TargetMode="External"/><Relationship Id="rId1761" Type="http://schemas.openxmlformats.org/officeDocument/2006/relationships/hyperlink" Target="https://open.spotify.com/album/2NO05QMCHRggsYnoepQ6Ws?si=cuB0KPWbSt2d5t79_7SI1g" TargetMode="External"/><Relationship Id="rId1762" Type="http://schemas.openxmlformats.org/officeDocument/2006/relationships/hyperlink" Target="https://www.youtube.com/watch?v=gLhpbyGXqP4" TargetMode="External"/><Relationship Id="rId62" Type="http://schemas.openxmlformats.org/officeDocument/2006/relationships/hyperlink" Target="https://gnostician.bandcamp.com/album/unification-as-an-art" TargetMode="External"/><Relationship Id="rId1796" Type="http://schemas.openxmlformats.org/officeDocument/2006/relationships/hyperlink" Target="https://aeonyzhar666.bandcamp.com/album/the-profane-era" TargetMode="External"/><Relationship Id="rId61" Type="http://schemas.openxmlformats.org/officeDocument/2006/relationships/hyperlink" Target="https://www.youtube.com/watch?v=-qzhrF0cMH4" TargetMode="External"/><Relationship Id="rId1797" Type="http://schemas.openxmlformats.org/officeDocument/2006/relationships/hyperlink" Target="https://open.spotify.com/album/3hr1Za7MYCRbU1p1COkkpa?si=inbTv1_NTUuPQlwasZbUrA" TargetMode="External"/><Relationship Id="rId64" Type="http://schemas.openxmlformats.org/officeDocument/2006/relationships/hyperlink" Target="https://paleofband.bandcamp.com/album/our-hearts-in-your-heaven" TargetMode="External"/><Relationship Id="rId1798" Type="http://schemas.openxmlformats.org/officeDocument/2006/relationships/hyperlink" Target="https://www.youtube.com/watch?v=tNXBxHc2P6A" TargetMode="External"/><Relationship Id="rId63" Type="http://schemas.openxmlformats.org/officeDocument/2006/relationships/hyperlink" Target="https://open.spotify.com/album/0s2HeXiYR5sefaTvYfDLzR?si=XZOcKD7LS36cL_suCrd8Qw" TargetMode="External"/><Relationship Id="rId1799" Type="http://schemas.openxmlformats.org/officeDocument/2006/relationships/hyperlink" Target="https://gameoverofficial.bandcamp.com/album/face-the-end" TargetMode="External"/><Relationship Id="rId66" Type="http://schemas.openxmlformats.org/officeDocument/2006/relationships/hyperlink" Target="https://open.spotify.com/album/5TCFzEr2rYl2w5Yc70PKTF?si=-jL2UeuvTZejBVITLbPHpg" TargetMode="External"/><Relationship Id="rId65" Type="http://schemas.openxmlformats.org/officeDocument/2006/relationships/hyperlink" Target="https://theobsidianresurrection.bandcamp.com/album/as-darkness-falls" TargetMode="External"/><Relationship Id="rId68" Type="http://schemas.openxmlformats.org/officeDocument/2006/relationships/hyperlink" Target="https://open.spotify.com/album/20JOn2YB95ucE9lYDEIJ2U?si=ws2NDkMvSPG7W7X_OEMFFA" TargetMode="External"/><Relationship Id="rId67" Type="http://schemas.openxmlformats.org/officeDocument/2006/relationships/hyperlink" Target="https://veilofconspiracy.bandcamp.com/album/shape-of-grief" TargetMode="External"/><Relationship Id="rId60" Type="http://schemas.openxmlformats.org/officeDocument/2006/relationships/hyperlink" Target="https://open.spotify.com/album/6EQlO9uIXbTWmQhewE59mL?si=-SnTWh1cS_CAp0fFm3Ji-Q" TargetMode="External"/><Relationship Id="rId69" Type="http://schemas.openxmlformats.org/officeDocument/2006/relationships/hyperlink" Target="https://mnima.bandcamp.com/album/drowned-in-hallucinogenic-visions" TargetMode="External"/><Relationship Id="rId1790" Type="http://schemas.openxmlformats.org/officeDocument/2006/relationships/hyperlink" Target="https://open.spotify.com/album/2K6NJUW9fORpKCnrwOzTfu?si=Ejm4u6e1RmyLlzEl6YCs7w" TargetMode="External"/><Relationship Id="rId1791" Type="http://schemas.openxmlformats.org/officeDocument/2006/relationships/hyperlink" Target="https://scarletrecords.bandcamp.com/album/ghosted" TargetMode="External"/><Relationship Id="rId1792" Type="http://schemas.openxmlformats.org/officeDocument/2006/relationships/hyperlink" Target="https://open.spotify.com/album/4hUzgazzF3S4POTjw2aLQg?si=-SQuINzRRXazcpTLulLFwQ" TargetMode="External"/><Relationship Id="rId1793" Type="http://schemas.openxmlformats.org/officeDocument/2006/relationships/hyperlink" Target="https://sijjin.bandcamp.com/album/helljjin-combat" TargetMode="External"/><Relationship Id="rId1794" Type="http://schemas.openxmlformats.org/officeDocument/2006/relationships/hyperlink" Target="https://open.spotify.com/album/5tpn3dLFUTCC1cXMADC1F7?si=lRqSu7RQR76zPUthgDCs8A" TargetMode="External"/><Relationship Id="rId1795" Type="http://schemas.openxmlformats.org/officeDocument/2006/relationships/hyperlink" Target="https://www.youtube.com/watch?v=beNUzl_wE0Y" TargetMode="External"/><Relationship Id="rId51" Type="http://schemas.openxmlformats.org/officeDocument/2006/relationships/hyperlink" Target="https://open.spotify.com/album/62UQN8XMSxbZrUVC8HK8UP?si=ib3o105cSNmucM7wmet9vg" TargetMode="External"/><Relationship Id="rId1785" Type="http://schemas.openxmlformats.org/officeDocument/2006/relationships/hyperlink" Target="https://dyingvictimsproductions.bandcamp.com/album/psychodrome" TargetMode="External"/><Relationship Id="rId50" Type="http://schemas.openxmlformats.org/officeDocument/2006/relationships/hyperlink" Target="https://uulliatadigir.bandcamp.com/album/uulliata-digir" TargetMode="External"/><Relationship Id="rId1786" Type="http://schemas.openxmlformats.org/officeDocument/2006/relationships/hyperlink" Target="https://open.spotify.com/album/76ub7elV4QGy7lysHUHeLG?si=8l5E9JxiRGS9ZZ0hwpfRAA" TargetMode="External"/><Relationship Id="rId53" Type="http://schemas.openxmlformats.org/officeDocument/2006/relationships/hyperlink" Target="https://open.spotify.com/album/7lmMp3G3anDxcuo8XBDjyT?si=NP7W3pawSfyo312EZua79A" TargetMode="External"/><Relationship Id="rId1787" Type="http://schemas.openxmlformats.org/officeDocument/2006/relationships/hyperlink" Target="https://listenable-records.bandcamp.com/album/the-time-has-come" TargetMode="External"/><Relationship Id="rId52" Type="http://schemas.openxmlformats.org/officeDocument/2006/relationships/hyperlink" Target="https://www.youtube.com/watch?v=AoKWexI3JEE" TargetMode="External"/><Relationship Id="rId1788" Type="http://schemas.openxmlformats.org/officeDocument/2006/relationships/hyperlink" Target="https://open.spotify.com/album/5Oap2cs0zO6MZivqmqCnJw?si=mUu1QplhQUCgxniW5LK9sg" TargetMode="External"/><Relationship Id="rId55" Type="http://schemas.openxmlformats.org/officeDocument/2006/relationships/hyperlink" Target="https://open.spotify.com/album/4gxWui6IicsX7xVrW7CMnx?si=XvIs8nu6QeetFnWLdfiwVg" TargetMode="External"/><Relationship Id="rId1789" Type="http://schemas.openxmlformats.org/officeDocument/2006/relationships/hyperlink" Target="https://dyingvictimsproductions.bandcamp.com/album/about-rock-and-roll" TargetMode="External"/><Relationship Id="rId54" Type="http://schemas.openxmlformats.org/officeDocument/2006/relationships/hyperlink" Target="https://gardenofstoneband.bandcamp.com/album/the-grave-mistake" TargetMode="External"/><Relationship Id="rId57" Type="http://schemas.openxmlformats.org/officeDocument/2006/relationships/hyperlink" Target="https://tremonti.bandcamp.com/album/the-end-will-show-us-how" TargetMode="External"/><Relationship Id="rId56" Type="http://schemas.openxmlformats.org/officeDocument/2006/relationships/hyperlink" Target="https://www.youtube.com/watch?v=z0Bw9ld4N2k" TargetMode="External"/><Relationship Id="rId59" Type="http://schemas.openxmlformats.org/officeDocument/2006/relationships/hyperlink" Target="https://thehaloeffectse.bandcamp.com/album/march-of-the-unheard" TargetMode="External"/><Relationship Id="rId58" Type="http://schemas.openxmlformats.org/officeDocument/2006/relationships/hyperlink" Target="https://open.spotify.com/album/0tQNVwSxVYCwaEa8HfHCd4?si=2S-j92gaSCaXxPBYQ9Q3-Q" TargetMode="External"/><Relationship Id="rId1780" Type="http://schemas.openxmlformats.org/officeDocument/2006/relationships/hyperlink" Target="https://open.spotify.com/album/4L0azgaFtf9RDF3ugpscq9?si=uYEr85W3S_yfNq4BgwybiA" TargetMode="External"/><Relationship Id="rId1781" Type="http://schemas.openxmlformats.org/officeDocument/2006/relationships/hyperlink" Target="https://open.spotify.com/album/3fbcX2ITvCoWhGItceIBmM?si=baRUbfnFTG6Xr4iL7XvbHQ" TargetMode="External"/><Relationship Id="rId1782" Type="http://schemas.openxmlformats.org/officeDocument/2006/relationships/hyperlink" Target="https://bluebedroomrecords.bandcamp.com/album/rot-economy" TargetMode="External"/><Relationship Id="rId1783" Type="http://schemas.openxmlformats.org/officeDocument/2006/relationships/hyperlink" Target="https://dyingvictimsproductions.bandcamp.com/album/never-quite-dead" TargetMode="External"/><Relationship Id="rId1784" Type="http://schemas.openxmlformats.org/officeDocument/2006/relationships/hyperlink" Target="https://open.spotify.com/album/3kkJ4zLKBknO46ieVSjeze?si=FmLfBLGxTB684qhBMiQdog" TargetMode="External"/><Relationship Id="rId2269" Type="http://schemas.openxmlformats.org/officeDocument/2006/relationships/hyperlink" Target="https://vilehaint.bandcamp.com/album/abound-with-malice" TargetMode="External"/><Relationship Id="rId349" Type="http://schemas.openxmlformats.org/officeDocument/2006/relationships/hyperlink" Target="https://queenofdreams.bandcamp.com/album/subnivium" TargetMode="External"/><Relationship Id="rId348" Type="http://schemas.openxmlformats.org/officeDocument/2006/relationships/hyperlink" Target="https://open.spotify.com/album/28pc01ONoRwyXq9llBX2St?si=7sg3pM05ST2GYRnv4YILhg" TargetMode="External"/><Relationship Id="rId347" Type="http://schemas.openxmlformats.org/officeDocument/2006/relationships/hyperlink" Target="https://danefae.bandcamp.com/album/tr-st" TargetMode="External"/><Relationship Id="rId346" Type="http://schemas.openxmlformats.org/officeDocument/2006/relationships/hyperlink" Target="https://open.spotify.com/album/5TAsTMGoIyeriQP5kzSk9A?si=EhY6IRTRSbK6V-saCN6B9Q" TargetMode="External"/><Relationship Id="rId3591" Type="http://schemas.openxmlformats.org/officeDocument/2006/relationships/hyperlink" Target="https://yotuma.bandcamp.com/album/the-final-void-2" TargetMode="External"/><Relationship Id="rId2260" Type="http://schemas.openxmlformats.org/officeDocument/2006/relationships/hyperlink" Target="https://witchhoundoom.bandcamp.com/album/mountain-knows" TargetMode="External"/><Relationship Id="rId3590" Type="http://schemas.openxmlformats.org/officeDocument/2006/relationships/hyperlink" Target="https://personal-records.bandcamp.com/album/christus-venaris" TargetMode="External"/><Relationship Id="rId341" Type="http://schemas.openxmlformats.org/officeDocument/2006/relationships/hyperlink" Target="https://downfallrecords.bandcamp.com/album/unholy-pre-order" TargetMode="External"/><Relationship Id="rId2261" Type="http://schemas.openxmlformats.org/officeDocument/2006/relationships/hyperlink" Target="https://open.spotify.com/album/49ccew4azO4ksRFdKQxak5?si=QvaFEfHcQKym92sKjGdnQg" TargetMode="External"/><Relationship Id="rId3593" Type="http://schemas.openxmlformats.org/officeDocument/2006/relationships/hyperlink" Target="https://www.youtube.com/watch?v=SV5fZshtD0M" TargetMode="External"/><Relationship Id="rId340" Type="http://schemas.openxmlformats.org/officeDocument/2006/relationships/hyperlink" Target="https://open.spotify.com/album/7FQ3QmHjkdHoWnBWwfjkCU?si=uSUN_XXBSui5cpuynDX9hw" TargetMode="External"/><Relationship Id="rId2262" Type="http://schemas.openxmlformats.org/officeDocument/2006/relationships/hyperlink" Target="https://andthecanaryfell.bandcamp.com/album/as-the-ice-melts" TargetMode="External"/><Relationship Id="rId3592" Type="http://schemas.openxmlformats.org/officeDocument/2006/relationships/hyperlink" Target="https://open.spotify.com/album/2X4C4x8sNYsMfYA82WGeBR?si=eu4bwO-uSp2Osgu-dJKFrw" TargetMode="External"/><Relationship Id="rId2263" Type="http://schemas.openxmlformats.org/officeDocument/2006/relationships/hyperlink" Target="https://despotbk.bandcamp.com/album/tangled-in-the-fabric-halfway-to-the-floor" TargetMode="External"/><Relationship Id="rId3595" Type="http://schemas.openxmlformats.org/officeDocument/2006/relationships/hyperlink" Target="https://open.spotify.com/album/3Rpd0SnsQFqTxxdfpK9oDm?si=tW5IF2W7SYuHpD8HU9Qy0w" TargetMode="External"/><Relationship Id="rId2264" Type="http://schemas.openxmlformats.org/officeDocument/2006/relationships/hyperlink" Target="https://onwlore.bandcamp.com/album/ersatz-soul" TargetMode="External"/><Relationship Id="rId3594" Type="http://schemas.openxmlformats.org/officeDocument/2006/relationships/hyperlink" Target="https://heruvim.bandcamp.com/album/mercator" TargetMode="External"/><Relationship Id="rId345" Type="http://schemas.openxmlformats.org/officeDocument/2006/relationships/hyperlink" Target="https://sireoforebro.bandcamp.com/album/koyot" TargetMode="External"/><Relationship Id="rId2265" Type="http://schemas.openxmlformats.org/officeDocument/2006/relationships/hyperlink" Target="https://open.spotify.com/album/6QmscL2V9u6wd2EyWRzbfn?si=ErvDOFGkQlS62J4teizfyw" TargetMode="External"/><Relationship Id="rId3597" Type="http://schemas.openxmlformats.org/officeDocument/2006/relationships/hyperlink" Target="https://open.spotify.com/album/1WvujuLo76khOFnVZ0ichM?si=e-6xxSQ7T1CgrsVQWuUYWg" TargetMode="External"/><Relationship Id="rId344" Type="http://schemas.openxmlformats.org/officeDocument/2006/relationships/hyperlink" Target="https://open.spotify.com/album/7dyqmMUmGC6mQHNr6jbVW0?si=uK8CkPmCSCK_hKg-FOt8Xg" TargetMode="External"/><Relationship Id="rId2266" Type="http://schemas.openxmlformats.org/officeDocument/2006/relationships/hyperlink" Target="https://suiciderecordsswe.bandcamp.com/album/the-end-takes-form" TargetMode="External"/><Relationship Id="rId3596" Type="http://schemas.openxmlformats.org/officeDocument/2006/relationships/hyperlink" Target="https://luciusfox.bandcamp.com/album/the-death-and-life-of-the-great-lakes" TargetMode="External"/><Relationship Id="rId343" Type="http://schemas.openxmlformats.org/officeDocument/2006/relationships/hyperlink" Target="https://blacktalonthrash.bandcamp.com/album/scenes-of-agony" TargetMode="External"/><Relationship Id="rId2267" Type="http://schemas.openxmlformats.org/officeDocument/2006/relationships/hyperlink" Target="https://mapsandfoils.bandcamp.com/album/nulle-part" TargetMode="External"/><Relationship Id="rId3599" Type="http://schemas.openxmlformats.org/officeDocument/2006/relationships/hyperlink" Target="https://open.spotify.com/album/1dP9xpBlL4ragJj1L0A0AX?si=zyXRL4LzR0iUF_u_LGcQFQ" TargetMode="External"/><Relationship Id="rId342" Type="http://schemas.openxmlformats.org/officeDocument/2006/relationships/hyperlink" Target="https://open.spotify.com/album/2YiI7R4dydZSrWd8jR5hLW?si=-tu1Q_4tSqep-ae5d8X1gw" TargetMode="External"/><Relationship Id="rId2268" Type="http://schemas.openxmlformats.org/officeDocument/2006/relationships/hyperlink" Target="https://centipedeabyss.bandcamp.com/album/cave-iv" TargetMode="External"/><Relationship Id="rId3598" Type="http://schemas.openxmlformats.org/officeDocument/2006/relationships/hyperlink" Target="https://darkwatcher.bandcamp.com/album/the-law-of-bone-and-sinew-2" TargetMode="External"/><Relationship Id="rId2258" Type="http://schemas.openxmlformats.org/officeDocument/2006/relationships/hyperlink" Target="https://quintumelement.bandcamp.com/album/the-frost-guardians-quest" TargetMode="External"/><Relationship Id="rId2259" Type="http://schemas.openxmlformats.org/officeDocument/2006/relationships/hyperlink" Target="https://open.spotify.com/album/2pGkkNryxudDsZTNfcvShH?si=AgPztxvLR1-rgBk_q_PIMQ" TargetMode="External"/><Relationship Id="rId3589" Type="http://schemas.openxmlformats.org/officeDocument/2006/relationships/hyperlink" Target="https://open.spotify.com/album/2Io5nHf9XgfhBZgsERqCRO?si=-_G9ZwjrQKO-MCh3sWyQ_Q" TargetMode="External"/><Relationship Id="rId338" Type="http://schemas.openxmlformats.org/officeDocument/2006/relationships/hyperlink" Target="https://open.spotify.com/album/1hxJOxsCoIAgH0uVzYOghz?si=OtHVobgNQoeppFltM2-kMg" TargetMode="External"/><Relationship Id="rId337" Type="http://schemas.openxmlformats.org/officeDocument/2006/relationships/hyperlink" Target="https://worldsbeyondofficial.bandcamp.com/album/rhapsody-of-life" TargetMode="External"/><Relationship Id="rId336" Type="http://schemas.openxmlformats.org/officeDocument/2006/relationships/hyperlink" Target="https://open.spotify.com/album/4xLYqr1Y6fZn9UZhpXygiP?si=M_boNO6OSwubxxt9C-g6qw" TargetMode="External"/><Relationship Id="rId335" Type="http://schemas.openxmlformats.org/officeDocument/2006/relationships/hyperlink" Target="https://thecrawlingchaosrecords.bandcamp.com/album/only-cold-winds-will-carry-my-name" TargetMode="External"/><Relationship Id="rId3580" Type="http://schemas.openxmlformats.org/officeDocument/2006/relationships/hyperlink" Target="https://cheapgas.bandcamp.com/album/altars-of-patrician-genocide" TargetMode="External"/><Relationship Id="rId339" Type="http://schemas.openxmlformats.org/officeDocument/2006/relationships/hyperlink" Target="https://downfallrecords.bandcamp.com/album/origin-of-sorrow-pre-order" TargetMode="External"/><Relationship Id="rId330" Type="http://schemas.openxmlformats.org/officeDocument/2006/relationships/hyperlink" Target="https://www.youtube.com/watch?v=lALML3aY1pw" TargetMode="External"/><Relationship Id="rId2250" Type="http://schemas.openxmlformats.org/officeDocument/2006/relationships/hyperlink" Target="https://open.spotify.com/album/0oFZBmi92gvcTc52vp1iuU?si=OypagCiTTwKWttOyXwn5_Q" TargetMode="External"/><Relationship Id="rId3582" Type="http://schemas.openxmlformats.org/officeDocument/2006/relationships/hyperlink" Target="https://open.spotify.com/album/51mDOs3ZMVnonujISVK14R?si=B4p5wlrVSDmRtm2hQBTkVw" TargetMode="External"/><Relationship Id="rId2251" Type="http://schemas.openxmlformats.org/officeDocument/2006/relationships/hyperlink" Target="https://chronazura.bandcamp.com/album/the-time-fusion" TargetMode="External"/><Relationship Id="rId3581" Type="http://schemas.openxmlformats.org/officeDocument/2006/relationships/hyperlink" Target="https://exelerate.bandcamp.com/album/hell-for-the-helpless" TargetMode="External"/><Relationship Id="rId2252" Type="http://schemas.openxmlformats.org/officeDocument/2006/relationships/hyperlink" Target="https://open.spotify.com/album/594AWV6Xjf32wX5wbNIDC5?si=B35uNyzaS6OZnYLBaZkQog" TargetMode="External"/><Relationship Id="rId3584" Type="http://schemas.openxmlformats.org/officeDocument/2006/relationships/hyperlink" Target="https://open.spotify.com/album/0EiwZwJiGkhvPubBfpj21h?si=4DUf4XHwSeGew0ytbNvLpA" TargetMode="External"/><Relationship Id="rId2253" Type="http://schemas.openxmlformats.org/officeDocument/2006/relationships/hyperlink" Target="https://yarostan.bandcamp.com/album/iii" TargetMode="External"/><Relationship Id="rId3583" Type="http://schemas.openxmlformats.org/officeDocument/2006/relationships/hyperlink" Target="https://ripplemusic.bandcamp.com/album/the-emperor-of-loss" TargetMode="External"/><Relationship Id="rId334" Type="http://schemas.openxmlformats.org/officeDocument/2006/relationships/hyperlink" Target="https://hallbar.bandcamp.com/album/nemesis" TargetMode="External"/><Relationship Id="rId2254" Type="http://schemas.openxmlformats.org/officeDocument/2006/relationships/hyperlink" Target="https://open.spotify.com/album/7o9MaMsgCiE0YW5M9PeVKT?si=rcakV6l-RdOgJN4tXcQvIQ" TargetMode="External"/><Relationship Id="rId3586" Type="http://schemas.openxmlformats.org/officeDocument/2006/relationships/hyperlink" Target="https://crucibledk.bandcamp.com/album/hail-to-the-force" TargetMode="External"/><Relationship Id="rId333" Type="http://schemas.openxmlformats.org/officeDocument/2006/relationships/hyperlink" Target="https://www.youtube.com/watch?v=cVXK-msyGJg" TargetMode="External"/><Relationship Id="rId2255" Type="http://schemas.openxmlformats.org/officeDocument/2006/relationships/hyperlink" Target="https://walg.bandcamp.com/album/v" TargetMode="External"/><Relationship Id="rId3585" Type="http://schemas.openxmlformats.org/officeDocument/2006/relationships/hyperlink" Target="https://www.youtube.com/watch?v=L4qDvrjgI2g" TargetMode="External"/><Relationship Id="rId332" Type="http://schemas.openxmlformats.org/officeDocument/2006/relationships/hyperlink" Target="https://open.spotify.com/album/7GZ5rEzRpClqVVPWImn2Qx?si=OiNMMvJ3SZ2uYBBJdGqOXQ" TargetMode="External"/><Relationship Id="rId2256" Type="http://schemas.openxmlformats.org/officeDocument/2006/relationships/hyperlink" Target="https://open.spotify.com/album/5f174XiMkSxd33WxyAFMg1?si=2Ck083SEREiYuTcdrHQ_pg" TargetMode="External"/><Relationship Id="rId3588" Type="http://schemas.openxmlformats.org/officeDocument/2006/relationships/hyperlink" Target="https://revelator2.bandcamp.com/album/light-the-devils-fire" TargetMode="External"/><Relationship Id="rId331" Type="http://schemas.openxmlformats.org/officeDocument/2006/relationships/hyperlink" Target="https://kosmosis111.bandcamp.com/album/kosmosis" TargetMode="External"/><Relationship Id="rId2257" Type="http://schemas.openxmlformats.org/officeDocument/2006/relationships/hyperlink" Target="https://antisoph.bandcamp.com/album/ateos" TargetMode="External"/><Relationship Id="rId3587" Type="http://schemas.openxmlformats.org/officeDocument/2006/relationships/hyperlink" Target="https://open.spotify.com/album/0BIlA0YweLNohTGI4ZLQ13?si=Ls6BhxbuSOev6d4pG94Rhg" TargetMode="External"/><Relationship Id="rId370" Type="http://schemas.openxmlformats.org/officeDocument/2006/relationships/hyperlink" Target="https://xtreemmusic.bandcamp.com/album/carnival-of-atrocities" TargetMode="External"/><Relationship Id="rId369" Type="http://schemas.openxmlformats.org/officeDocument/2006/relationships/hyperlink" Target="https://sacrednoose.bandcamp.com/album/vanishing-spires" TargetMode="External"/><Relationship Id="rId368" Type="http://schemas.openxmlformats.org/officeDocument/2006/relationships/hyperlink" Target="https://open.spotify.com/album/16vRM0mUm0A9IZyBHBKaTX?si=db0iFJqoTU21qavrrfjGiA" TargetMode="External"/><Relationship Id="rId2280" Type="http://schemas.openxmlformats.org/officeDocument/2006/relationships/hyperlink" Target="https://open.spotify.com/album/64LporjQWwKY0HQ3qyEutt?si=Q5FgGgAQTUmgURvIq2gx-g" TargetMode="External"/><Relationship Id="rId2281" Type="http://schemas.openxmlformats.org/officeDocument/2006/relationships/hyperlink" Target="https://www.youtube.com/watch?v=VP5RvLDkewg" TargetMode="External"/><Relationship Id="rId2282" Type="http://schemas.openxmlformats.org/officeDocument/2006/relationships/hyperlink" Target="https://sombretour.bandcamp.com/album/to-any-world-beyond-the-tomb" TargetMode="External"/><Relationship Id="rId363" Type="http://schemas.openxmlformats.org/officeDocument/2006/relationships/hyperlink" Target="https://alderglade.bandcamp.com/album/holocene-extinction" TargetMode="External"/><Relationship Id="rId2283" Type="http://schemas.openxmlformats.org/officeDocument/2006/relationships/hyperlink" Target="https://open.spotify.com/album/4JBhGQOgdW73ffaWnD9CVl?si=ZhVuuVKDRYyz1dziDKD_LQ" TargetMode="External"/><Relationship Id="rId362" Type="http://schemas.openxmlformats.org/officeDocument/2006/relationships/hyperlink" Target="https://www.youtube.com/watch?v=ElAHJIBX1Lk" TargetMode="External"/><Relationship Id="rId2284" Type="http://schemas.openxmlformats.org/officeDocument/2006/relationships/hyperlink" Target="https://kiltertrio.bandcamp.com/album/la-suspendida-live" TargetMode="External"/><Relationship Id="rId361" Type="http://schemas.openxmlformats.org/officeDocument/2006/relationships/hyperlink" Target="https://open.spotify.com/album/5DAj872CjCNwzJ83QKRHH5?si=A-JFcDwpQCiFnbwmeOL0Sg" TargetMode="External"/><Relationship Id="rId2285" Type="http://schemas.openxmlformats.org/officeDocument/2006/relationships/hyperlink" Target="https://needlessofficial.bandcamp.com/album/premonition" TargetMode="External"/><Relationship Id="rId360" Type="http://schemas.openxmlformats.org/officeDocument/2006/relationships/hyperlink" Target="https://mephiticcorpse.bandcamp.com/album/sickness-attracts-sickness" TargetMode="External"/><Relationship Id="rId2286" Type="http://schemas.openxmlformats.org/officeDocument/2006/relationships/hyperlink" Target="https://open.spotify.com/album/1O8v8TvNNNQElmfla8QjEQ?si=XObHsaQaSX6SxEdOMfJXHA" TargetMode="External"/><Relationship Id="rId367" Type="http://schemas.openxmlformats.org/officeDocument/2006/relationships/hyperlink" Target="https://hologramearth.bandcamp.com/album/city-of-gold" TargetMode="External"/><Relationship Id="rId2287" Type="http://schemas.openxmlformats.org/officeDocument/2006/relationships/hyperlink" Target="https://i-voidhangerrecords.bandcamp.com/album/curling-serpents-under-stone" TargetMode="External"/><Relationship Id="rId366" Type="http://schemas.openxmlformats.org/officeDocument/2006/relationships/hyperlink" Target="https://open.spotify.com/album/6gC7C9TRxUWSNqQprZHWCI?si=yCIXOaX8SgqBpG4WAAYP9g" TargetMode="External"/><Relationship Id="rId2288" Type="http://schemas.openxmlformats.org/officeDocument/2006/relationships/hyperlink" Target="https://weepingsores.bandcamp.com/album/the-convalescence-agonies" TargetMode="External"/><Relationship Id="rId365" Type="http://schemas.openxmlformats.org/officeDocument/2006/relationships/hyperlink" Target="https://www.youtube.com/watch?v=-zkDRttadjY" TargetMode="External"/><Relationship Id="rId2289" Type="http://schemas.openxmlformats.org/officeDocument/2006/relationships/hyperlink" Target="https://nofuneralsound.bandcamp.com/album/an-exercise-in-self-sufficiency" TargetMode="External"/><Relationship Id="rId364" Type="http://schemas.openxmlformats.org/officeDocument/2006/relationships/hyperlink" Target="https://open.spotify.com/album/1zJATuJuwqHr11L2H5tEZ1?si=aU5lmO-ERzq1zaupuzwoWg" TargetMode="External"/><Relationship Id="rId95" Type="http://schemas.openxmlformats.org/officeDocument/2006/relationships/hyperlink" Target="https://chidorimusic.bandcamp.com/album/microcosm-of-a-midlife-crisis" TargetMode="External"/><Relationship Id="rId94" Type="http://schemas.openxmlformats.org/officeDocument/2006/relationships/hyperlink" Target="https://open.spotify.com/album/50CfkwwXVlndYf0fsqWqmi?si=Fm_YYLKqSDyUihRv2df5Fw" TargetMode="External"/><Relationship Id="rId97" Type="http://schemas.openxmlformats.org/officeDocument/2006/relationships/hyperlink" Target="https://rigor-samsa.bandcamp.com/album/severance" TargetMode="External"/><Relationship Id="rId96" Type="http://schemas.openxmlformats.org/officeDocument/2006/relationships/hyperlink" Target="https://open.spotify.com/album/0i84lrXg38sedjRy4FzpYx?si=uqqrIe9AQVe_Um00HJvmfg" TargetMode="External"/><Relationship Id="rId99" Type="http://schemas.openxmlformats.org/officeDocument/2006/relationships/hyperlink" Target="https://www.youtube.com/watch?v=JWq2JCT__jk" TargetMode="External"/><Relationship Id="rId98" Type="http://schemas.openxmlformats.org/officeDocument/2006/relationships/hyperlink" Target="https://open.spotify.com/album/497ttzsNMUCJUCurEtZ6Eg?si=xyJgJ_zjRwmFj1mNTe9uAw" TargetMode="External"/><Relationship Id="rId91" Type="http://schemas.openxmlformats.org/officeDocument/2006/relationships/hyperlink" Target="https://thecimmerian.bandcamp.com/album/an-age-undreamed-of-2" TargetMode="External"/><Relationship Id="rId90" Type="http://schemas.openxmlformats.org/officeDocument/2006/relationships/hyperlink" Target="https://open.spotify.com/album/6ICZv3279G8LUsvxrsMp3j?si=5YweHocLR1q1OnyqQ0uoTA" TargetMode="External"/><Relationship Id="rId93" Type="http://schemas.openxmlformats.org/officeDocument/2006/relationships/hyperlink" Target="https://sightoftheia.bandcamp.com/album/the-great-dreamer" TargetMode="External"/><Relationship Id="rId92" Type="http://schemas.openxmlformats.org/officeDocument/2006/relationships/hyperlink" Target="https://cycleofinfinity.bandcamp.com/album/wisdom-of-the-ages" TargetMode="External"/><Relationship Id="rId359" Type="http://schemas.openxmlformats.org/officeDocument/2006/relationships/hyperlink" Target="https://open.spotify.com/album/08xtKwkwCwcZQe7yGDLtse?si=6MrhOTdoRC-8O-kn8shh_w" TargetMode="External"/><Relationship Id="rId358" Type="http://schemas.openxmlformats.org/officeDocument/2006/relationships/hyperlink" Target="https://voidburnband.bandcamp.com/album/voidburn" TargetMode="External"/><Relationship Id="rId357" Type="http://schemas.openxmlformats.org/officeDocument/2006/relationships/hyperlink" Target="https://open.spotify.com/album/3zdg8CL6SPwLNj4PlELDpD?si=qoktY891THCIM30bEYiPLQ" TargetMode="External"/><Relationship Id="rId2270" Type="http://schemas.openxmlformats.org/officeDocument/2006/relationships/hyperlink" Target="https://bleeth.bandcamp.com/album/marionette" TargetMode="External"/><Relationship Id="rId2271" Type="http://schemas.openxmlformats.org/officeDocument/2006/relationships/hyperlink" Target="https://open.spotify.com/album/12HY1SGDQoYhIj0ZpbUBa1?si=ka4CcVh5SfyOE61-od3XWg" TargetMode="External"/><Relationship Id="rId352" Type="http://schemas.openxmlformats.org/officeDocument/2006/relationships/hyperlink" Target="https://burndownedenmetal.bandcamp.com/album/dismal-epiphany" TargetMode="External"/><Relationship Id="rId2272" Type="http://schemas.openxmlformats.org/officeDocument/2006/relationships/hyperlink" Target="https://syncatto.bandcamp.com/album/memento" TargetMode="External"/><Relationship Id="rId351" Type="http://schemas.openxmlformats.org/officeDocument/2006/relationships/hyperlink" Target="https://theophonos.bandcamp.com/album/allegheny-rains" TargetMode="External"/><Relationship Id="rId2273" Type="http://schemas.openxmlformats.org/officeDocument/2006/relationships/hyperlink" Target="https://open.spotify.com/album/57a59bvWpKq7yKyns0chxp?si=ykWfzsjmRHSYuV4CsuzukQ" TargetMode="External"/><Relationship Id="rId350" Type="http://schemas.openxmlformats.org/officeDocument/2006/relationships/hyperlink" Target="https://open.spotify.com/album/6XJfoPohaXDxVTWl9glUZQ?si=9F21zU-FRMG5BW8lnVzVBg" TargetMode="External"/><Relationship Id="rId2274" Type="http://schemas.openxmlformats.org/officeDocument/2006/relationships/hyperlink" Target="https://open.spotify.com/album/2o9l5zN6SgYLCmL5dcsDfv?si=Wq5rw5PrQcG9xopYyfAFXg" TargetMode="External"/><Relationship Id="rId2275" Type="http://schemas.openxmlformats.org/officeDocument/2006/relationships/hyperlink" Target="https://vader-band.bandcamp.com/album/humanihility" TargetMode="External"/><Relationship Id="rId356" Type="http://schemas.openxmlformats.org/officeDocument/2006/relationships/hyperlink" Target="https://tristanharders.bandcamp.com/album/the-fortress-of-solitude" TargetMode="External"/><Relationship Id="rId2276" Type="http://schemas.openxmlformats.org/officeDocument/2006/relationships/hyperlink" Target="https://open.spotify.com/album/6TB3aho7r8pJDQfHkytgNl?si=7FfKrsyXS7mNryh9Svv73Q" TargetMode="External"/><Relationship Id="rId355" Type="http://schemas.openxmlformats.org/officeDocument/2006/relationships/hyperlink" Target="https://open.spotify.com/album/1J6HwqWw4IUeEGnQL6rRgk?si=UTI1ONSqRW64QLJhqYlryg" TargetMode="External"/><Relationship Id="rId2277" Type="http://schemas.openxmlformats.org/officeDocument/2006/relationships/hyperlink" Target="https://neurotech.bandcamp.com/album/exo-escapism" TargetMode="External"/><Relationship Id="rId354" Type="http://schemas.openxmlformats.org/officeDocument/2006/relationships/hyperlink" Target="https://furiesdirge.bandcamp.com/album/eye-for-eye" TargetMode="External"/><Relationship Id="rId2278" Type="http://schemas.openxmlformats.org/officeDocument/2006/relationships/hyperlink" Target="https://open.spotify.com/album/4NobwxkOrpy6KitkLasmmd?si=TNT685OiRwebl_w4CWzhBw" TargetMode="External"/><Relationship Id="rId353" Type="http://schemas.openxmlformats.org/officeDocument/2006/relationships/hyperlink" Target="https://open.spotify.com/album/0lky5FN2ofVrbKvqoVpyHr?si=hbseaJdzRqyst-fkVWpR2g" TargetMode="External"/><Relationship Id="rId2279" Type="http://schemas.openxmlformats.org/officeDocument/2006/relationships/hyperlink" Target="https://zegemabeachrecords.bandcamp.com/album/worlds-fastest-car" TargetMode="External"/><Relationship Id="rId2225" Type="http://schemas.openxmlformats.org/officeDocument/2006/relationships/hyperlink" Target="https://open.spotify.com/album/1MM3pFL5En4iJwyhsnmkMM?si=RozD5OXKTYq2O0-ScbXWRg" TargetMode="External"/><Relationship Id="rId3557" Type="http://schemas.openxmlformats.org/officeDocument/2006/relationships/hyperlink" Target="https://derwegeinerfreiheit.bandcamp.com/album/innern" TargetMode="External"/><Relationship Id="rId2226" Type="http://schemas.openxmlformats.org/officeDocument/2006/relationships/hyperlink" Target="https://www.youtube.com/watch?v=K9Qr4Q14pO4" TargetMode="External"/><Relationship Id="rId3556" Type="http://schemas.openxmlformats.org/officeDocument/2006/relationships/hyperlink" Target="https://open.spotify.com/album/2BvWbp8dAErYrocBxgzzhO?si=anNWIayhQQuFGtnzufy0jw" TargetMode="External"/><Relationship Id="rId2227" Type="http://schemas.openxmlformats.org/officeDocument/2006/relationships/hyperlink" Target="https://mykingdommusic.bandcamp.com/album/reqviem-for-the-oppressor" TargetMode="External"/><Relationship Id="rId3559" Type="http://schemas.openxmlformats.org/officeDocument/2006/relationships/hyperlink" Target="https://www.youtube.com/watch?v=4A0gz_NBUE4" TargetMode="External"/><Relationship Id="rId2228" Type="http://schemas.openxmlformats.org/officeDocument/2006/relationships/hyperlink" Target="https://www.youtube.com/watch?v=GKw3WAuU7R0" TargetMode="External"/><Relationship Id="rId3558" Type="http://schemas.openxmlformats.org/officeDocument/2006/relationships/hyperlink" Target="https://open.spotify.com/album/2iRGpguQOAuL4mT7W7CZ7M?si=uJMZBoq_RYWWpwg98pKwvg" TargetMode="External"/><Relationship Id="rId2229" Type="http://schemas.openxmlformats.org/officeDocument/2006/relationships/hyperlink" Target="https://lahdonaika.bandcamp.com/album/mustalle-maalle" TargetMode="External"/><Relationship Id="rId305" Type="http://schemas.openxmlformats.org/officeDocument/2006/relationships/hyperlink" Target="https://greatdanerecords.bandcamp.com/album/slaves-of-the-inhuman-future-world" TargetMode="External"/><Relationship Id="rId304" Type="http://schemas.openxmlformats.org/officeDocument/2006/relationships/hyperlink" Target="https://open.spotify.com/album/2HXFkhIWZpcBhpGXw6jbOg?si=Npdyr504R8ixmXnjA43a0Q" TargetMode="External"/><Relationship Id="rId303" Type="http://schemas.openxmlformats.org/officeDocument/2006/relationships/hyperlink" Target="https://tonnenvonhall.bandcamp.com/album/ein-abdruck-vom-messer-im-herzen" TargetMode="External"/><Relationship Id="rId302" Type="http://schemas.openxmlformats.org/officeDocument/2006/relationships/hyperlink" Target="https://www.youtube.com/watch?v=PVcQSCvytlQ" TargetMode="External"/><Relationship Id="rId309" Type="http://schemas.openxmlformats.org/officeDocument/2006/relationships/hyperlink" Target="https://relicsofhumanity.bandcamp.com/album/absolute-dismal-domain" TargetMode="External"/><Relationship Id="rId308" Type="http://schemas.openxmlformats.org/officeDocument/2006/relationships/hyperlink" Target="https://open.spotify.com/album/1EBlRO7qLuYg5GWCwvMkva?si=8dmYwuIlR22WZkcBruHZCw" TargetMode="External"/><Relationship Id="rId307" Type="http://schemas.openxmlformats.org/officeDocument/2006/relationships/hyperlink" Target="https://newmoralityzine.bandcamp.com/album/touch-heaven" TargetMode="External"/><Relationship Id="rId306" Type="http://schemas.openxmlformats.org/officeDocument/2006/relationships/hyperlink" Target="https://open.spotify.com/album/6lSWXNlCVxVwTA0eeMjmP2?si=QeNyouWqS5ypsSy3Xii78A" TargetMode="External"/><Relationship Id="rId3551" Type="http://schemas.openxmlformats.org/officeDocument/2006/relationships/hyperlink" Target="https://demonhuntermusic.bandcamp.com/album/there-was-a-light-here" TargetMode="External"/><Relationship Id="rId2220" Type="http://schemas.openxmlformats.org/officeDocument/2006/relationships/hyperlink" Target="https://open.spotify.com/album/6o5pP91iyZnygK0K5F1ipF?si=_w1hwRzFSDeKVZyqyS-LvQ" TargetMode="External"/><Relationship Id="rId3550" Type="http://schemas.openxmlformats.org/officeDocument/2006/relationships/hyperlink" Target="https://open.spotify.com/album/4imvqMyzjUkkImjm4ZAl28?si=LQwrt5L-TPmxEihM-rsBng" TargetMode="External"/><Relationship Id="rId301" Type="http://schemas.openxmlformats.org/officeDocument/2006/relationships/hyperlink" Target="https://open.spotify.com/album/4j3eqe9z0iRDrm1hx8sSpf?si=ss8-A3PnSsCxuv4RwaI4OA" TargetMode="External"/><Relationship Id="rId2221" Type="http://schemas.openxmlformats.org/officeDocument/2006/relationships/hyperlink" Target="https://asthesunfalls.bandcamp.com/album/pohjoisen-syd-n" TargetMode="External"/><Relationship Id="rId3553" Type="http://schemas.openxmlformats.org/officeDocument/2006/relationships/hyperlink" Target="https://slomatics.bandcamp.com/album/atomicult" TargetMode="External"/><Relationship Id="rId300" Type="http://schemas.openxmlformats.org/officeDocument/2006/relationships/hyperlink" Target="https://admirethegrim.bandcamp.com/album/resist" TargetMode="External"/><Relationship Id="rId2222" Type="http://schemas.openxmlformats.org/officeDocument/2006/relationships/hyperlink" Target="https://open.spotify.com/album/0aQrI93ZL83qqgC3b0mA5a?si=shJMSPeXTYaJWXS1d3lAAQ" TargetMode="External"/><Relationship Id="rId3552" Type="http://schemas.openxmlformats.org/officeDocument/2006/relationships/hyperlink" Target="https://open.spotify.com/album/5xisd8Wfd4ZHFLJgSSh7Cg?si=pDKU2JMTQUuFdMxRtPZkEA" TargetMode="External"/><Relationship Id="rId2223" Type="http://schemas.openxmlformats.org/officeDocument/2006/relationships/hyperlink" Target="https://goot.bandcamp.com/album/the-toll-remains-the-same" TargetMode="External"/><Relationship Id="rId3555" Type="http://schemas.openxmlformats.org/officeDocument/2006/relationships/hyperlink" Target="https://intercourse.bandcamp.com/album/how-i-fell-in-love-with-the-void" TargetMode="External"/><Relationship Id="rId2224" Type="http://schemas.openxmlformats.org/officeDocument/2006/relationships/hyperlink" Target="https://sentientruin.bandcamp.com/album/realms" TargetMode="External"/><Relationship Id="rId3554" Type="http://schemas.openxmlformats.org/officeDocument/2006/relationships/hyperlink" Target="https://open.spotify.com/album/1JsWouxzaEtos16LcdRlta?si=LQBuC35hSxekr1OnU7qjoA" TargetMode="External"/><Relationship Id="rId2214" Type="http://schemas.openxmlformats.org/officeDocument/2006/relationships/hyperlink" Target="https://war-anthem-records.bandcamp.com/album/laio" TargetMode="External"/><Relationship Id="rId3546" Type="http://schemas.openxmlformats.org/officeDocument/2006/relationships/hyperlink" Target="https://open.spotify.com/album/6WUyOqnMBMY2jph8tzHwfh?si=6oZE2_4kTGSsdulFvCbGAg" TargetMode="External"/><Relationship Id="rId2215" Type="http://schemas.openxmlformats.org/officeDocument/2006/relationships/hyperlink" Target="https://open.spotify.com/album/5dGdGwudzIWB6Dnr5s2vkC?si=kWqkGp0ESa24LhFWPwUZDQ" TargetMode="External"/><Relationship Id="rId3545" Type="http://schemas.openxmlformats.org/officeDocument/2006/relationships/hyperlink" Target="https://open.spotify.com/album/0wk685JsrY5zGqCjXtcLBv?si=x-6J7rf1RVGWbyIWG2-CgA" TargetMode="External"/><Relationship Id="rId2216" Type="http://schemas.openxmlformats.org/officeDocument/2006/relationships/hyperlink" Target="https://illusionthrash.bandcamp.com/album/stages-of-self-destruction" TargetMode="External"/><Relationship Id="rId3548" Type="http://schemas.openxmlformats.org/officeDocument/2006/relationships/hyperlink" Target="https://open.spotify.com/album/7FgX1nNULSZotCy38Gxu8A?si=M--5AEs4R1WtvA4JFa9YfQ" TargetMode="External"/><Relationship Id="rId2217" Type="http://schemas.openxmlformats.org/officeDocument/2006/relationships/hyperlink" Target="https://open.spotify.com/album/0d4qFABZuLQbv9YFpjovNh?si=a0QI016QS52Nbb0IXbRFwA" TargetMode="External"/><Relationship Id="rId3547" Type="http://schemas.openxmlformats.org/officeDocument/2006/relationships/hyperlink" Target="https://silentpendulumrecords.bandcamp.com/album/proxy" TargetMode="External"/><Relationship Id="rId2218" Type="http://schemas.openxmlformats.org/officeDocument/2006/relationships/hyperlink" Target="https://www.youtube.com/watch?v=wh9wsXSgZQA" TargetMode="External"/><Relationship Id="rId2219" Type="http://schemas.openxmlformats.org/officeDocument/2006/relationships/hyperlink" Target="https://pythia.bandcamp.com/album/v-pt-1-unhallowed" TargetMode="External"/><Relationship Id="rId3549" Type="http://schemas.openxmlformats.org/officeDocument/2006/relationships/hyperlink" Target="https://motherlesschicago.bandcamp.com/album/do-you-feel-safe" TargetMode="External"/><Relationship Id="rId3540" Type="http://schemas.openxmlformats.org/officeDocument/2006/relationships/hyperlink" Target="https://www.youtube.com/watch?v=zlNzfNUsxwU" TargetMode="External"/><Relationship Id="rId2210" Type="http://schemas.openxmlformats.org/officeDocument/2006/relationships/hyperlink" Target="https://ageofapocalypseny.bandcamp.com/album/in-oblivion" TargetMode="External"/><Relationship Id="rId3542" Type="http://schemas.openxmlformats.org/officeDocument/2006/relationships/hyperlink" Target="https://bloodfed.bandcamp.com/album/pandemonium" TargetMode="External"/><Relationship Id="rId2211" Type="http://schemas.openxmlformats.org/officeDocument/2006/relationships/hyperlink" Target="https://open.spotify.com/album/4oVqPhCDWuy7Q1NAVfr2jP?si=tY8sfscgT0CUuu8fAVF4PA" TargetMode="External"/><Relationship Id="rId3541" Type="http://schemas.openxmlformats.org/officeDocument/2006/relationships/hyperlink" Target="https://kraath.bandcamp.com/album/kraath" TargetMode="External"/><Relationship Id="rId2212" Type="http://schemas.openxmlformats.org/officeDocument/2006/relationships/hyperlink" Target="https://madrost.bandcamp.com/album/imagination-theory" TargetMode="External"/><Relationship Id="rId3544" Type="http://schemas.openxmlformats.org/officeDocument/2006/relationships/hyperlink" Target="https://sumerianrecords.bandcamp.com/album/the-wheel" TargetMode="External"/><Relationship Id="rId2213" Type="http://schemas.openxmlformats.org/officeDocument/2006/relationships/hyperlink" Target="https://open.spotify.com/album/0vOYXyvcQ13eyzR0OWFKHh?si=GkukYl6KTWemq0RjfCi2aQ" TargetMode="External"/><Relationship Id="rId3543" Type="http://schemas.openxmlformats.org/officeDocument/2006/relationships/hyperlink" Target="https://open.spotify.com/album/6W4wgBpKXJedscq8MhbLV5?si=23wXp7yyRVGAl4XdSeoziw" TargetMode="External"/><Relationship Id="rId2247" Type="http://schemas.openxmlformats.org/officeDocument/2006/relationships/hyperlink" Target="https://mossback33.bandcamp.com/album/black-canyon-city" TargetMode="External"/><Relationship Id="rId3579" Type="http://schemas.openxmlformats.org/officeDocument/2006/relationships/hyperlink" Target="https://open.spotify.com/album/54FHCIIshX5yKv8i6EsOXd?si=_5fpMJryR8GK7akX12zkkQ" TargetMode="External"/><Relationship Id="rId2248" Type="http://schemas.openxmlformats.org/officeDocument/2006/relationships/hyperlink" Target="https://open.spotify.com/album/4nX7aNRxdsFWhr3tbTMphD?si=1P8SxaRkTVik5uSvDjgntQ" TargetMode="External"/><Relationship Id="rId3578" Type="http://schemas.openxmlformats.org/officeDocument/2006/relationships/hyperlink" Target="https://thorndale.bandcamp.com/album/spiritual-chains" TargetMode="External"/><Relationship Id="rId2249" Type="http://schemas.openxmlformats.org/officeDocument/2006/relationships/hyperlink" Target="https://skyraid.bandcamp.com/album/kingdom-of-thall" TargetMode="External"/><Relationship Id="rId327" Type="http://schemas.openxmlformats.org/officeDocument/2006/relationships/hyperlink" Target="https://open.spotify.com/album/0RlS2SYjDtErgNmuuPpiki?si=2xwe0XN1TD248RtyfrwR5Q" TargetMode="External"/><Relationship Id="rId326" Type="http://schemas.openxmlformats.org/officeDocument/2006/relationships/hyperlink" Target="https://ande-be.bandcamp.com/album/de-schemering-van-werelden" TargetMode="External"/><Relationship Id="rId325" Type="http://schemas.openxmlformats.org/officeDocument/2006/relationships/hyperlink" Target="https://www.youtube.com/watch?v=KViFkTldDYQ" TargetMode="External"/><Relationship Id="rId324" Type="http://schemas.openxmlformats.org/officeDocument/2006/relationships/hyperlink" Target="https://open.spotify.com/album/4zNo1tB6hF4EmsQ4q4uqFh?si=312c4ia7QByOUnIeIGpCiA" TargetMode="External"/><Relationship Id="rId329" Type="http://schemas.openxmlformats.org/officeDocument/2006/relationships/hyperlink" Target="https://smokeweeddemon.bandcamp.com/album/the-doom-scroll" TargetMode="External"/><Relationship Id="rId328" Type="http://schemas.openxmlformats.org/officeDocument/2006/relationships/hyperlink" Target="https://www.youtube.com/watch?v=jrSPx7fSbj4" TargetMode="External"/><Relationship Id="rId3571" Type="http://schemas.openxmlformats.org/officeDocument/2006/relationships/hyperlink" Target="https://unaligned-label.bandcamp.com/album/a-form-beyond" TargetMode="External"/><Relationship Id="rId2240" Type="http://schemas.openxmlformats.org/officeDocument/2006/relationships/hyperlink" Target="https://open.spotify.com/album/1j2JvI4vs2MRqvRSMVMOvx?si=eBfIOYgdTPKULMhDEVHUCA" TargetMode="External"/><Relationship Id="rId3570" Type="http://schemas.openxmlformats.org/officeDocument/2006/relationships/hyperlink" Target="https://open.spotify.com/album/5aev1gvQaGxC0iddvoncOs?si=OLiASgKcTjGfyMDVPXxDxg" TargetMode="External"/><Relationship Id="rId2241" Type="http://schemas.openxmlformats.org/officeDocument/2006/relationships/hyperlink" Target="https://animatemusic.bandcamp.com/album/laudanum" TargetMode="External"/><Relationship Id="rId3573" Type="http://schemas.openxmlformats.org/officeDocument/2006/relationships/hyperlink" Target="https://www.youtube.com/watch?v=9ocO6CaT0Oo" TargetMode="External"/><Relationship Id="rId2242" Type="http://schemas.openxmlformats.org/officeDocument/2006/relationships/hyperlink" Target="https://open.spotify.com/album/2fxgZUzEK0BPPg6dk598qo?si=8iJpHhMUS0e9BhvDnBzE9g" TargetMode="External"/><Relationship Id="rId3572" Type="http://schemas.openxmlformats.org/officeDocument/2006/relationships/hyperlink" Target="https://open.spotify.com/album/4pVR6WBRlPwpXNKwgqkW1k?si=EyilD6guSMatxqaHYlJiMQ" TargetMode="External"/><Relationship Id="rId323" Type="http://schemas.openxmlformats.org/officeDocument/2006/relationships/hyperlink" Target="https://dejecter.bandcamp.com/album/oblation-husk" TargetMode="External"/><Relationship Id="rId2243" Type="http://schemas.openxmlformats.org/officeDocument/2006/relationships/hyperlink" Target="https://nebirucrust.bandcamp.com/album/kontrast" TargetMode="External"/><Relationship Id="rId3575" Type="http://schemas.openxmlformats.org/officeDocument/2006/relationships/hyperlink" Target="https://open.spotify.com/album/0CYToHB6LeAEPnbkBFfWhY?si=NlOc7zVuS6m7564WFHadkQ" TargetMode="External"/><Relationship Id="rId322" Type="http://schemas.openxmlformats.org/officeDocument/2006/relationships/hyperlink" Target="https://www.youtube.com/watch?v=xh3ek3flqnY" TargetMode="External"/><Relationship Id="rId2244" Type="http://schemas.openxmlformats.org/officeDocument/2006/relationships/hyperlink" Target="https://open.spotify.com/album/0PAAtCE8T8V53SNUBUPeTq?si=jITcaNFIQ1m95c9aqyUOCg" TargetMode="External"/><Relationship Id="rId3574" Type="http://schemas.openxmlformats.org/officeDocument/2006/relationships/hyperlink" Target="https://ashenparis.bandcamp.com/album/chimera" TargetMode="External"/><Relationship Id="rId321" Type="http://schemas.openxmlformats.org/officeDocument/2006/relationships/hyperlink" Target="https://open.spotify.com/album/1GlHyCsGv70VT4dsMtHM5d?si=wt7R2JsNSVmmXGkQ6NP5Vg" TargetMode="External"/><Relationship Id="rId2245" Type="http://schemas.openxmlformats.org/officeDocument/2006/relationships/hyperlink" Target="https://mskaplan.bandcamp.com/album/heavy-eternal-ache" TargetMode="External"/><Relationship Id="rId3577" Type="http://schemas.openxmlformats.org/officeDocument/2006/relationships/hyperlink" Target="https://open.spotify.com/album/1TNOdkiQ4xRPsVwivsPPxC?si=j7-QUmISQPu_qQZLYtQRpg" TargetMode="External"/><Relationship Id="rId320" Type="http://schemas.openxmlformats.org/officeDocument/2006/relationships/hyperlink" Target="https://shriekingdemons-label.bandcamp.com/album/the-festering-dwellers" TargetMode="External"/><Relationship Id="rId2246" Type="http://schemas.openxmlformats.org/officeDocument/2006/relationships/hyperlink" Target="https://open.spotify.com/album/1YXnFbc6qGlr70mtvy2nUF?si=pvCz63tBRPO-s1E2lGF23Q" TargetMode="External"/><Relationship Id="rId3576" Type="http://schemas.openxmlformats.org/officeDocument/2006/relationships/hyperlink" Target="https://theogoniarecords.bandcamp.com/album/intertemporal" TargetMode="External"/><Relationship Id="rId2236" Type="http://schemas.openxmlformats.org/officeDocument/2006/relationships/hyperlink" Target="https://open.spotify.com/album/3equ0V8N9Fdg48lThimUr4?si=d_8CjJjASdySeoWsCOhHmQ" TargetMode="External"/><Relationship Id="rId3568" Type="http://schemas.openxmlformats.org/officeDocument/2006/relationships/hyperlink" Target="https://open.spotify.com/album/4pOEtwmUG4PBP47SbdGzC5?si=oxMKc3t2Rg6Bcshi3Dx2Bw" TargetMode="External"/><Relationship Id="rId2237" Type="http://schemas.openxmlformats.org/officeDocument/2006/relationships/hyperlink" Target="https://pluvia.bandcamp.com/album/saturne-furie" TargetMode="External"/><Relationship Id="rId3567" Type="http://schemas.openxmlformats.org/officeDocument/2006/relationships/hyperlink" Target="https://open.spotify.com/album/7H14q1uaSsDDgSV0rn3W5c?si=ruIX-NgYT8m6AyHkK6CDjA" TargetMode="External"/><Relationship Id="rId2238" Type="http://schemas.openxmlformats.org/officeDocument/2006/relationships/hyperlink" Target="https://open.spotify.com/album/4uemZ0METrowZk8lU59AL3?si=SMd1q34GRXmZw3SkJnGWWA" TargetMode="External"/><Relationship Id="rId2239" Type="http://schemas.openxmlformats.org/officeDocument/2006/relationships/hyperlink" Target="https://aexylium.bandcamp.com/album/myth-of-mankind" TargetMode="External"/><Relationship Id="rId3569" Type="http://schemas.openxmlformats.org/officeDocument/2006/relationships/hyperlink" Target="https://brevine.bandcamp.com/album/lhotse-2" TargetMode="External"/><Relationship Id="rId316" Type="http://schemas.openxmlformats.org/officeDocument/2006/relationships/hyperlink" Target="https://skaldr1.bandcamp.com/album/sa-s" TargetMode="External"/><Relationship Id="rId315" Type="http://schemas.openxmlformats.org/officeDocument/2006/relationships/hyperlink" Target="https://open.spotify.com/album/1JCmP4FBrcsqJCRFDnGd7e?si=tNTgUsHvTG23qi0IYnHyJQ" TargetMode="External"/><Relationship Id="rId314" Type="http://schemas.openxmlformats.org/officeDocument/2006/relationships/hyperlink" Target="https://selvans.bandcamp.com/album/saturnalia" TargetMode="External"/><Relationship Id="rId313" Type="http://schemas.openxmlformats.org/officeDocument/2006/relationships/hyperlink" Target="https://open.spotify.com/album/2QLXN1B64SqSTRzGO8AroC?si=bSL7g-tsQTq8J1IvJxUDHg" TargetMode="External"/><Relationship Id="rId319" Type="http://schemas.openxmlformats.org/officeDocument/2006/relationships/hyperlink" Target="https://open.spotify.com/album/037eBy2VomBM2lOxTlbceU?si=ydbSsWvBQ7SuR0cEiDqWtQ" TargetMode="External"/><Relationship Id="rId318" Type="http://schemas.openxmlformats.org/officeDocument/2006/relationships/hyperlink" Target="https://spesimin.bandcamp.com/album/spesimin-2" TargetMode="External"/><Relationship Id="rId317" Type="http://schemas.openxmlformats.org/officeDocument/2006/relationships/hyperlink" Target="https://open.spotify.com/album/0t8ghJ9A5zzp9LXe1Pppe5?si=b9HDnUDBQySiWiRa7H8VZA" TargetMode="External"/><Relationship Id="rId3560" Type="http://schemas.openxmlformats.org/officeDocument/2006/relationships/hyperlink" Target="https://generationprog.bandcamp.com/album/the-world-outside" TargetMode="External"/><Relationship Id="rId2230" Type="http://schemas.openxmlformats.org/officeDocument/2006/relationships/hyperlink" Target="https://open.spotify.com/album/045mdV3j42LcYYv8EXD9qT?si=RQ_4-EBpSkKZZz97XORKHg" TargetMode="External"/><Relationship Id="rId3562" Type="http://schemas.openxmlformats.org/officeDocument/2006/relationships/hyperlink" Target="https://btbam.bandcamp.com/album/the-blue-nowhere-24-bit-hd-audio" TargetMode="External"/><Relationship Id="rId2231" Type="http://schemas.openxmlformats.org/officeDocument/2006/relationships/hyperlink" Target="https://serapisproject.bandcamp.com/album/side-stories" TargetMode="External"/><Relationship Id="rId3561" Type="http://schemas.openxmlformats.org/officeDocument/2006/relationships/hyperlink" Target="https://open.spotify.com/album/7jXhOCgtRVUo3BvySX6czg?si=iXf1jvWTTs-PpSdiutx3Lg" TargetMode="External"/><Relationship Id="rId312" Type="http://schemas.openxmlformats.org/officeDocument/2006/relationships/hyperlink" Target="https://lunarbandofficial.bandcamp.com/album/tempora-mutantur" TargetMode="External"/><Relationship Id="rId2232" Type="http://schemas.openxmlformats.org/officeDocument/2006/relationships/hyperlink" Target="https://tassi.bandcamp.com/album/idamon-novasah-liva" TargetMode="External"/><Relationship Id="rId3564" Type="http://schemas.openxmlformats.org/officeDocument/2006/relationships/hyperlink" Target="https://lornashore.bandcamp.com/album/i-feel-the-everblack-festering-within-me-24-bit-hd-audio" TargetMode="External"/><Relationship Id="rId311" Type="http://schemas.openxmlformats.org/officeDocument/2006/relationships/hyperlink" Target="https://www.youtube.com/watch?v=GIBbLjEU3Ac" TargetMode="External"/><Relationship Id="rId2233" Type="http://schemas.openxmlformats.org/officeDocument/2006/relationships/hyperlink" Target="https://www.youtube.com/watch?v=E12pfRLeEJk" TargetMode="External"/><Relationship Id="rId3563" Type="http://schemas.openxmlformats.org/officeDocument/2006/relationships/hyperlink" Target="https://open.spotify.com/album/7qy9gnX5SXAeW9fO6pzwTh?si=FfUb1IlIQRqFmdNBDxaErw" TargetMode="External"/><Relationship Id="rId310" Type="http://schemas.openxmlformats.org/officeDocument/2006/relationships/hyperlink" Target="https://open.spotify.com/album/5o0WRW3MaHUYIE8XtC8bi2?si=q2Qp1geHTXeOhK7J05lZwQ" TargetMode="External"/><Relationship Id="rId2234" Type="http://schemas.openxmlformats.org/officeDocument/2006/relationships/hyperlink" Target="https://upperdecker.bandcamp.com/album/the-scatonomicon" TargetMode="External"/><Relationship Id="rId3566" Type="http://schemas.openxmlformats.org/officeDocument/2006/relationships/hyperlink" Target="https://silverstein.bandcamp.com/album/pink-moon" TargetMode="External"/><Relationship Id="rId2235" Type="http://schemas.openxmlformats.org/officeDocument/2006/relationships/hyperlink" Target="https://valatie.bandcamp.com/album/dragged-through-the-garden" TargetMode="External"/><Relationship Id="rId3565" Type="http://schemas.openxmlformats.org/officeDocument/2006/relationships/hyperlink" Target="https://open.spotify.com/album/07y8y3CSFTq48HwejrTdGw?si=W7MuP3E3QMWdCBnXIrtghQ" TargetMode="External"/><Relationship Id="rId4040" Type="http://schemas.openxmlformats.org/officeDocument/2006/relationships/hyperlink" Target="https://open.spotify.com/album/1N8z73QEcI8OjjcRs5Sm0Q?si=_ZmI1Au0Qk-qcpZNZlhlLQ" TargetMode="External"/><Relationship Id="rId4042" Type="http://schemas.openxmlformats.org/officeDocument/2006/relationships/hyperlink" Target="https://open.spotify.com/album/2SAJaPELEnZ3TnfpHSDbGC?si=hoOVblBuQxaspuLfTL1zTg" TargetMode="External"/><Relationship Id="rId4041" Type="http://schemas.openxmlformats.org/officeDocument/2006/relationships/hyperlink" Target="https://slyther.bandcamp.com/album/chronicles-of-despair" TargetMode="External"/><Relationship Id="rId4044" Type="http://schemas.openxmlformats.org/officeDocument/2006/relationships/hyperlink" Target="https://open.spotify.com/album/4xOlRYPAPSYeEy7YogRutF?si=dsCVTf8HSMm_bTakg-NIPA" TargetMode="External"/><Relationship Id="rId4043" Type="http://schemas.openxmlformats.org/officeDocument/2006/relationships/hyperlink" Target="https://deadheatca.bandcamp.com/album/process-of-elimination" TargetMode="External"/><Relationship Id="rId4046" Type="http://schemas.openxmlformats.org/officeDocument/2006/relationships/hyperlink" Target="https://open.spotify.com/album/5hZeAFxLqhSumVPfNykR7W?si=d4QO2hKqTTaPXiX1CXeRRA" TargetMode="External"/><Relationship Id="rId4045" Type="http://schemas.openxmlformats.org/officeDocument/2006/relationships/hyperlink" Target="https://uniqueleaderrecords.bandcamp.com/album/stare-into-the-seething-wounds" TargetMode="External"/><Relationship Id="rId4048" Type="http://schemas.openxmlformats.org/officeDocument/2006/relationships/hyperlink" Target="https://open.spotify.com/album/0I3TtLPDLG2CtQsU0cXNAm?si=utSkU7uCS4aX9xIyUKlLBg" TargetMode="External"/><Relationship Id="rId4047" Type="http://schemas.openxmlformats.org/officeDocument/2006/relationships/hyperlink" Target="https://morkemn.bandcamp.com/album/to-carry-on" TargetMode="External"/><Relationship Id="rId4049" Type="http://schemas.openxmlformats.org/officeDocument/2006/relationships/hyperlink" Target="https://mesacounojo.bandcamp.com/album/malignity" TargetMode="External"/><Relationship Id="rId4031" Type="http://schemas.openxmlformats.org/officeDocument/2006/relationships/hyperlink" Target="https://skold.bandcamp.com/album/caught-in-the-throes" TargetMode="External"/><Relationship Id="rId4030" Type="http://schemas.openxmlformats.org/officeDocument/2006/relationships/hyperlink" Target="https://open.spotify.com/album/7y5OWsiatwngkMtaPXgyET?si=AS2mXqyGSl-mxgbH_Px12A" TargetMode="External"/><Relationship Id="rId297" Type="http://schemas.openxmlformats.org/officeDocument/2006/relationships/hyperlink" Target="https://maceration.bandcamp.com/album/serpent-devourment" TargetMode="External"/><Relationship Id="rId4033" Type="http://schemas.openxmlformats.org/officeDocument/2006/relationships/hyperlink" Target="https://undersave-label.bandcamp.com/album/merged-in-abstract-perdition" TargetMode="External"/><Relationship Id="rId296" Type="http://schemas.openxmlformats.org/officeDocument/2006/relationships/hyperlink" Target="https://www.youtube.com/watch?v=zhxFa2FPIdo" TargetMode="External"/><Relationship Id="rId4032" Type="http://schemas.openxmlformats.org/officeDocument/2006/relationships/hyperlink" Target="https://open.spotify.com/album/6mESG1qQmgfGf0DAp6kBjA?si=z33dlMmiQzmrSNt3Mqi-LQ" TargetMode="External"/><Relationship Id="rId295" Type="http://schemas.openxmlformats.org/officeDocument/2006/relationships/hyperlink" Target="https://praetorianuk.bandcamp.com/album/pylon-cult" TargetMode="External"/><Relationship Id="rId4035" Type="http://schemas.openxmlformats.org/officeDocument/2006/relationships/hyperlink" Target="https://www.youtube.com/watch?v=F8Spvr_lF64" TargetMode="External"/><Relationship Id="rId294" Type="http://schemas.openxmlformats.org/officeDocument/2006/relationships/hyperlink" Target="https://open.spotify.com/album/6UGB0MDs8xZNjrY35VCVaU?si=9lLpmNW8TTOXKOIjea77VQ" TargetMode="External"/><Relationship Id="rId4034" Type="http://schemas.openxmlformats.org/officeDocument/2006/relationships/hyperlink" Target="https://open.spotify.com/album/6SyvywaeTOf4KoEt1KCWSQ?si=jYp6n_HWRNGJcYvF3OLs-A" TargetMode="External"/><Relationship Id="rId4037" Type="http://schemas.openxmlformats.org/officeDocument/2006/relationships/hyperlink" Target="https://open.spotify.com/album/4e4aX7XbGP7N7rPjV3tRBo?si=_Evze5bpQpWGcO4LyECv0g" TargetMode="External"/><Relationship Id="rId4036" Type="http://schemas.openxmlformats.org/officeDocument/2006/relationships/hyperlink" Target="https://serpentgod.bandcamp.com/album/denial" TargetMode="External"/><Relationship Id="rId299" Type="http://schemas.openxmlformats.org/officeDocument/2006/relationships/hyperlink" Target="https://www.youtube.com/watch?v=k8RMnCyyiqs" TargetMode="External"/><Relationship Id="rId4039" Type="http://schemas.openxmlformats.org/officeDocument/2006/relationships/hyperlink" Target="https://lavadome.bandcamp.com/album/indiscriminate-extermination" TargetMode="External"/><Relationship Id="rId298" Type="http://schemas.openxmlformats.org/officeDocument/2006/relationships/hyperlink" Target="https://open.spotify.com/album/2TSMsNIktcLSERrqjZacUj?si=Dsd2VoNkTy6fMJaOL6g24A" TargetMode="External"/><Relationship Id="rId4038" Type="http://schemas.openxmlformats.org/officeDocument/2006/relationships/hyperlink" Target="https://www.youtube.com/watch?v=LLnIC_7g_2M" TargetMode="External"/><Relationship Id="rId4060" Type="http://schemas.openxmlformats.org/officeDocument/2006/relationships/hyperlink" Target="https://open.spotify.com/album/5iGhUlvh2y7tJQyn65p0fd?si=XlKzhZ0rQR-3foMiGHF9MA" TargetMode="External"/><Relationship Id="rId4062" Type="http://schemas.openxmlformats.org/officeDocument/2006/relationships/hyperlink" Target="https://open.spotify.com/album/7bvExH0ZN19PJNudLCkXGj?si=K34DTj0TSxmv8p29QLucAQ" TargetMode="External"/><Relationship Id="rId4061" Type="http://schemas.openxmlformats.org/officeDocument/2006/relationships/hyperlink" Target="https://heavyhitterfl.bandcamp.com/album/coming-to-terms" TargetMode="External"/><Relationship Id="rId4064" Type="http://schemas.openxmlformats.org/officeDocument/2006/relationships/hyperlink" Target="https://open.spotify.com/album/2Lx50PuUP7tje6ttC1toIk?si=36a-BIBSR9CB2DIsPR4WWQ" TargetMode="External"/><Relationship Id="rId4063" Type="http://schemas.openxmlformats.org/officeDocument/2006/relationships/hyperlink" Target="https://cthvn.bandcamp.com/album/hymn" TargetMode="External"/><Relationship Id="rId4066" Type="http://schemas.openxmlformats.org/officeDocument/2006/relationships/hyperlink" Target="https://fedash.bandcamp.com/album/rotting-exuberance" TargetMode="External"/><Relationship Id="rId4065" Type="http://schemas.openxmlformats.org/officeDocument/2006/relationships/hyperlink" Target="https://plaguedoctorlv.bandcamp.com/album/plague-doctor" TargetMode="External"/><Relationship Id="rId4068" Type="http://schemas.openxmlformats.org/officeDocument/2006/relationships/hyperlink" Target="https://open.spotify.com/album/5g8MI9XTPxGE5ksR53Bm7H?si=05pnExnsTIu2Xq01-qJdFw" TargetMode="External"/><Relationship Id="rId4067" Type="http://schemas.openxmlformats.org/officeDocument/2006/relationships/hyperlink" Target="https://allhell.bandcamp.com/album/sunsetter" TargetMode="External"/><Relationship Id="rId4069" Type="http://schemas.openxmlformats.org/officeDocument/2006/relationships/hyperlink" Target="https://vulnificusbdm.bandcamp.com/album/inclination" TargetMode="External"/><Relationship Id="rId4051" Type="http://schemas.openxmlformats.org/officeDocument/2006/relationships/hyperlink" Target="https://starer.bandcamp.com/album/ancient-monuments-and-modern-sadness-2" TargetMode="External"/><Relationship Id="rId4050" Type="http://schemas.openxmlformats.org/officeDocument/2006/relationships/hyperlink" Target="https://open.spotify.com/album/21tpjvVHbvNlBaKLmrHNxr?si=f3CTCUwKRJaPVI9HjiYpNg" TargetMode="External"/><Relationship Id="rId4053" Type="http://schemas.openxmlformats.org/officeDocument/2006/relationships/hyperlink" Target="https://cemican1.bandcamp.com/album/u-kuukankil-mayakaaj" TargetMode="External"/><Relationship Id="rId4052" Type="http://schemas.openxmlformats.org/officeDocument/2006/relationships/hyperlink" Target="https://open.spotify.com/album/56gZmz91MAGIRa0Ett6vnw?si=d16ax57ATkuwmXE9Pt6ORQ" TargetMode="External"/><Relationship Id="rId4055" Type="http://schemas.openxmlformats.org/officeDocument/2006/relationships/hyperlink" Target="https://open.spotify.com/album/1CuzNgilWnyMo4yLhS8eC1?si=PGICN33VQdW_0ldqR46WNg" TargetMode="External"/><Relationship Id="rId4054" Type="http://schemas.openxmlformats.org/officeDocument/2006/relationships/hyperlink" Target="https://edgedcircleproductions.bandcamp.com/album/risen-from-the-flames" TargetMode="External"/><Relationship Id="rId4057" Type="http://schemas.openxmlformats.org/officeDocument/2006/relationships/hyperlink" Target="https://open.spotify.com/album/2Fejl2xumGmBWdyTtlpxYo?si=-z1VkmaURFuQDhZNJVDfdw" TargetMode="External"/><Relationship Id="rId4056" Type="http://schemas.openxmlformats.org/officeDocument/2006/relationships/hyperlink" Target="https://tanvald.bandcamp.com/album/nemofilista" TargetMode="External"/><Relationship Id="rId4059" Type="http://schemas.openxmlformats.org/officeDocument/2006/relationships/hyperlink" Target="https://pulverised.bandcamp.com/album/never-ending-night-of-terror" TargetMode="External"/><Relationship Id="rId4058" Type="http://schemas.openxmlformats.org/officeDocument/2006/relationships/hyperlink" Target="https://www.youtube.com/watch?v=bYtVtY9GgEg" TargetMode="External"/><Relationship Id="rId4008" Type="http://schemas.openxmlformats.org/officeDocument/2006/relationships/hyperlink" Target="https://waystothegrave.bandcamp.com/album/echoes-of-extinction" TargetMode="External"/><Relationship Id="rId4007" Type="http://schemas.openxmlformats.org/officeDocument/2006/relationships/hyperlink" Target="https://open.spotify.com/album/0ea7kKW9urApKz2E5MIgPW?si=OhHYOvX0RPi2PqXkBKq4Cg" TargetMode="External"/><Relationship Id="rId4009" Type="http://schemas.openxmlformats.org/officeDocument/2006/relationships/hyperlink" Target="https://open.spotify.com/album/4YbNxC0dtsQNjr263whDZy?si=tbuwb8edSEiyuaSB9RvnRg" TargetMode="External"/><Relationship Id="rId271" Type="http://schemas.openxmlformats.org/officeDocument/2006/relationships/hyperlink" Target="https://open.spotify.com/album/5yyleHJoSzzYgobZUC4Fhl?si=ThtVpTw6Sc6ht8D1t62xjQ" TargetMode="External"/><Relationship Id="rId270" Type="http://schemas.openxmlformats.org/officeDocument/2006/relationships/hyperlink" Target="https://sylvanaut.bandcamp.com/album/strings-tied-to-stars" TargetMode="External"/><Relationship Id="rId269" Type="http://schemas.openxmlformats.org/officeDocument/2006/relationships/hyperlink" Target="https://www.youtube.com/watch?v=p2XW9kcOGzU" TargetMode="External"/><Relationship Id="rId264" Type="http://schemas.openxmlformats.org/officeDocument/2006/relationships/hyperlink" Target="https://open.spotify.com/album/5hMo6zO1KUVG1ipxqN0y7O?si=ryPkqHV7TQuVuTL4i-3Z9Q" TargetMode="External"/><Relationship Id="rId4000" Type="http://schemas.openxmlformats.org/officeDocument/2006/relationships/hyperlink" Target="https://plaguecurse.bandcamp.com/album/verminous-contempt" TargetMode="External"/><Relationship Id="rId263" Type="http://schemas.openxmlformats.org/officeDocument/2006/relationships/hyperlink" Target="https://accursedct.bandcamp.com/album/ascension" TargetMode="External"/><Relationship Id="rId262" Type="http://schemas.openxmlformats.org/officeDocument/2006/relationships/hyperlink" Target="https://open.spotify.com/album/694R0JFzzlDeIE8jVbvP3X?si=Cgh1j4veS2S0hbluLuoXWg" TargetMode="External"/><Relationship Id="rId4002" Type="http://schemas.openxmlformats.org/officeDocument/2006/relationships/hyperlink" Target="https://omnivide.bandcamp.com/album/arise" TargetMode="External"/><Relationship Id="rId261" Type="http://schemas.openxmlformats.org/officeDocument/2006/relationships/hyperlink" Target="https://ihxhi.bandcamp.com/album/ihxhi-ep" TargetMode="External"/><Relationship Id="rId4001" Type="http://schemas.openxmlformats.org/officeDocument/2006/relationships/hyperlink" Target="https://open.spotify.com/album/5xN5UuAD0BjIQoOG5HSTzS?si=003oCSq5Qlmelh5jExUcxw" TargetMode="External"/><Relationship Id="rId268" Type="http://schemas.openxmlformats.org/officeDocument/2006/relationships/hyperlink" Target="https://open.spotify.com/album/7zXJR6GaBrGiba6TkFZULI?si=2kopQJIgT5-B185Jyp_Ohw" TargetMode="External"/><Relationship Id="rId4004" Type="http://schemas.openxmlformats.org/officeDocument/2006/relationships/hyperlink" Target="https://balttw.bandcamp.com/album/the-hardest-thing-about-being-god-is-that-no-one-believes-me" TargetMode="External"/><Relationship Id="rId267" Type="http://schemas.openxmlformats.org/officeDocument/2006/relationships/hyperlink" Target="https://uthullun.bandcamp.com/album/the-barbed-thread-of-madness" TargetMode="External"/><Relationship Id="rId4003" Type="http://schemas.openxmlformats.org/officeDocument/2006/relationships/hyperlink" Target="https://open.spotify.com/album/10lvUSJvKevCWxAOZpAinK?si=pyuAKMqPQtGY6tUm-rt30g" TargetMode="External"/><Relationship Id="rId266" Type="http://schemas.openxmlformats.org/officeDocument/2006/relationships/hyperlink" Target="https://open.spotify.com/album/6sSU5fbGonPs7l5praMjlq?si=k8i-sotHSYuL8bwvA7A3KA" TargetMode="External"/><Relationship Id="rId4006" Type="http://schemas.openxmlformats.org/officeDocument/2006/relationships/hyperlink" Target="https://www.youtube.com/watch?v=Wg_53tukzbQ" TargetMode="External"/><Relationship Id="rId265" Type="http://schemas.openxmlformats.org/officeDocument/2006/relationships/hyperlink" Target="https://fosmetal.bandcamp.com/album/n-l-mo-chro-in-aon-rud" TargetMode="External"/><Relationship Id="rId4005" Type="http://schemas.openxmlformats.org/officeDocument/2006/relationships/hyperlink" Target="https://open.spotify.com/album/3nDaZvMPDBa3ZKtx60mISJ?si=EkMFF5PVTfKxqKi-gewgKg" TargetMode="External"/><Relationship Id="rId260" Type="http://schemas.openxmlformats.org/officeDocument/2006/relationships/hyperlink" Target="https://irongriffin.bandcamp.com/album/gate-tower" TargetMode="External"/><Relationship Id="rId259" Type="http://schemas.openxmlformats.org/officeDocument/2006/relationships/hyperlink" Target="https://open.spotify.com/album/6ugnfocaNfjqExM2HypXgU?si=8nfW-o8NQ5uXoT6imcTWdQ" TargetMode="External"/><Relationship Id="rId258" Type="http://schemas.openxmlformats.org/officeDocument/2006/relationships/hyperlink" Target="https://otakucentesis.bandcamp.com/album/secondary-reconstruction-of-adipose-tissue" TargetMode="External"/><Relationship Id="rId2290" Type="http://schemas.openxmlformats.org/officeDocument/2006/relationships/hyperlink" Target="https://open.spotify.com/album/24USHugsPuTb5l5KqYpXUC?si=PhcrpNOTQtezA0yCm2Hh7Q" TargetMode="External"/><Relationship Id="rId2291" Type="http://schemas.openxmlformats.org/officeDocument/2006/relationships/hyperlink" Target="https://www.youtube.com/watch?v=qjsDI1sPV2E" TargetMode="External"/><Relationship Id="rId2292" Type="http://schemas.openxmlformats.org/officeDocument/2006/relationships/hyperlink" Target="https://obsidiantongue.bandcamp.com/album/eclipsing-worlds-of-scorn" TargetMode="External"/><Relationship Id="rId2293" Type="http://schemas.openxmlformats.org/officeDocument/2006/relationships/hyperlink" Target="https://open.spotify.com/album/5QQI7yhhUQPkqkuaePRHmt?si=iUcw5S8qT52U6Uha-1nyrw" TargetMode="External"/><Relationship Id="rId253" Type="http://schemas.openxmlformats.org/officeDocument/2006/relationships/hyperlink" Target="https://open.spotify.com/album/2DC1RHZipqJ1K7NGiKIkCw?si=lRM4w9l3R4iyhK4QE23S3w" TargetMode="External"/><Relationship Id="rId2294" Type="http://schemas.openxmlformats.org/officeDocument/2006/relationships/hyperlink" Target="https://www.youtube.com/watch?v=UzB3QCDMtbk" TargetMode="External"/><Relationship Id="rId252" Type="http://schemas.openxmlformats.org/officeDocument/2006/relationships/hyperlink" Target="https://acrosstheshade.bandcamp.com/album/madness" TargetMode="External"/><Relationship Id="rId2295" Type="http://schemas.openxmlformats.org/officeDocument/2006/relationships/hyperlink" Target="https://wormrot.bandcamp.com/album/tnt" TargetMode="External"/><Relationship Id="rId251" Type="http://schemas.openxmlformats.org/officeDocument/2006/relationships/hyperlink" Target="https://open.spotify.com/album/28QzF9bxqQ8sbgJmHogK51?si=hK0ZIhpbS9OVhM1KCUxKMg" TargetMode="External"/><Relationship Id="rId2296" Type="http://schemas.openxmlformats.org/officeDocument/2006/relationships/hyperlink" Target="https://open.spotify.com/album/6qJb2du3Pkq2qyGr9yjnR7?si=7G8dvbVZSbWc-NU3TXGNng" TargetMode="External"/><Relationship Id="rId250" Type="http://schemas.openxmlformats.org/officeDocument/2006/relationships/hyperlink" Target="https://vacanthomeau.bandcamp.com/album/can-you-show-me-who-i-am" TargetMode="External"/><Relationship Id="rId2297" Type="http://schemas.openxmlformats.org/officeDocument/2006/relationships/hyperlink" Target="https://grincult.bandcamp.com/album/acid-gods" TargetMode="External"/><Relationship Id="rId257" Type="http://schemas.openxmlformats.org/officeDocument/2006/relationships/hyperlink" Target="https://open.spotify.com/album/6isIkieZmRuQGOEjIsEuGO?si=U5I0_pW8QF6ErkyQx4ksYQ" TargetMode="External"/><Relationship Id="rId2298" Type="http://schemas.openxmlformats.org/officeDocument/2006/relationships/hyperlink" Target="https://open.spotify.com/album/0taa5B96xzp3KCCnTPPLs2?si=QmlNo6-TTX2dy8vI_uz7-w" TargetMode="External"/><Relationship Id="rId256" Type="http://schemas.openxmlformats.org/officeDocument/2006/relationships/hyperlink" Target="https://mortuivultus.bandcamp.com/album/distant-echoes" TargetMode="External"/><Relationship Id="rId2299" Type="http://schemas.openxmlformats.org/officeDocument/2006/relationships/hyperlink" Target="https://www.youtube.com/watch?v=osME8L38iwI" TargetMode="External"/><Relationship Id="rId255" Type="http://schemas.openxmlformats.org/officeDocument/2006/relationships/hyperlink" Target="https://centuryswe.bandcamp.com/album/sign-of-the-storm" TargetMode="External"/><Relationship Id="rId254" Type="http://schemas.openxmlformats.org/officeDocument/2006/relationships/hyperlink" Target="https://ironrot.bandcamp.com/album/desiccation-desolation-retribution" TargetMode="External"/><Relationship Id="rId4029" Type="http://schemas.openxmlformats.org/officeDocument/2006/relationships/hyperlink" Target="https://sanguisugabogg.bandcamp.com/album/hideous-aftermath-24-bit-hd-audio" TargetMode="External"/><Relationship Id="rId293" Type="http://schemas.openxmlformats.org/officeDocument/2006/relationships/hyperlink" Target="https://griefritualmusic.bandcamp.com/album/collapse" TargetMode="External"/><Relationship Id="rId292" Type="http://schemas.openxmlformats.org/officeDocument/2006/relationships/hyperlink" Target="https://open.spotify.com/album/3rD0WM09ivJWHGSmtGFP9d?si=TQ03-gKBTGGpIZHCFPHEng" TargetMode="External"/><Relationship Id="rId291" Type="http://schemas.openxmlformats.org/officeDocument/2006/relationships/hyperlink" Target="https://dusktone.bandcamp.com/album/catharsis" TargetMode="External"/><Relationship Id="rId290" Type="http://schemas.openxmlformats.org/officeDocument/2006/relationships/hyperlink" Target="https://open.spotify.com/album/3IFjSlXvV4NUaT8oj4jfS2?si=Y7GBa7DlQQCuhfM1_TGBZQ" TargetMode="External"/><Relationship Id="rId4020" Type="http://schemas.openxmlformats.org/officeDocument/2006/relationships/hyperlink" Target="https://frayle.bandcamp.com/album/heretics-lullabies" TargetMode="External"/><Relationship Id="rId286" Type="http://schemas.openxmlformats.org/officeDocument/2006/relationships/hyperlink" Target="https://open.spotify.com/album/4KOGGwuBnSgOaGjYyG246w?si=9wvtbqoLTzuy1gC_a1sQ1w" TargetMode="External"/><Relationship Id="rId4022" Type="http://schemas.openxmlformats.org/officeDocument/2006/relationships/hyperlink" Target="https://open.spotify.com/album/7lP4sm3rKuo3nspTKSFO2T?si=bQoZrwiORJ2rfsZki5Qrbg" TargetMode="External"/><Relationship Id="rId285" Type="http://schemas.openxmlformats.org/officeDocument/2006/relationships/hyperlink" Target="https://adrift666.bandcamp.com/album/dry-soil" TargetMode="External"/><Relationship Id="rId4021" Type="http://schemas.openxmlformats.org/officeDocument/2006/relationships/hyperlink" Target="https://open.spotify.com/album/1yrjFP9HZz1cEpzErD0Efy?si=tFagK1IDSIWgVJkYn5hdkw" TargetMode="External"/><Relationship Id="rId284" Type="http://schemas.openxmlformats.org/officeDocument/2006/relationships/hyperlink" Target="https://open.spotify.com/album/6O6QTzcoqyCijeZx32qMfn?si=qdVCHCH5Qd20rNtYfT5J_Q" TargetMode="External"/><Relationship Id="rId4024" Type="http://schemas.openxmlformats.org/officeDocument/2006/relationships/hyperlink" Target="https://open.spotify.com/album/539NyK2f8x7jdjTPu1TFi3?si=JfmpY50JSaW_TepyU-2yBQ" TargetMode="External"/><Relationship Id="rId283" Type="http://schemas.openxmlformats.org/officeDocument/2006/relationships/hyperlink" Target="https://gnarlmyth.bandcamp.com/album/cataclysmia" TargetMode="External"/><Relationship Id="rId4023" Type="http://schemas.openxmlformats.org/officeDocument/2006/relationships/hyperlink" Target="https://coastlands.bandcamp.com/album/coastlands" TargetMode="External"/><Relationship Id="rId4026" Type="http://schemas.openxmlformats.org/officeDocument/2006/relationships/hyperlink" Target="https://open.spotify.com/album/1kP4aEae4acQLCNZSd2E8B?si=XGvu-0ugReKjMW-jCIQyyQ" TargetMode="External"/><Relationship Id="rId289" Type="http://schemas.openxmlformats.org/officeDocument/2006/relationships/hyperlink" Target="https://open.spotify.com/album/2akaIK1XrP5jJ15AsSrjWz?si=UcdaHkDeQRCnQvEimZHEzQ" TargetMode="External"/><Relationship Id="rId4025" Type="http://schemas.openxmlformats.org/officeDocument/2006/relationships/hyperlink" Target="https://haeresis.bandcamp.com/album/si-vis-pacem-para-bellum" TargetMode="External"/><Relationship Id="rId288" Type="http://schemas.openxmlformats.org/officeDocument/2006/relationships/hyperlink" Target="https://open.spotify.com/album/5N2Asaw4Vv1TGCOuUYO8s4?si=_pNVKE4vRGWvadEZkakfeQ" TargetMode="External"/><Relationship Id="rId4028" Type="http://schemas.openxmlformats.org/officeDocument/2006/relationships/hyperlink" Target="https://open.spotify.com/album/2jKylYCTicMlclQKh9akmh?si=nhGsjIpdSTuiz5tfEgpoIQ" TargetMode="External"/><Relationship Id="rId287" Type="http://schemas.openxmlformats.org/officeDocument/2006/relationships/hyperlink" Target="https://open.spotify.com/album/2gqtAK0TVcUYALlqfVIy0t?si=zV4VfHJWQKKHjgAZSXHJpw" TargetMode="External"/><Relationship Id="rId4027" Type="http://schemas.openxmlformats.org/officeDocument/2006/relationships/hyperlink" Target="https://subsoundrecords.bandcamp.com/album/litania" TargetMode="External"/><Relationship Id="rId4019" Type="http://schemas.openxmlformats.org/officeDocument/2006/relationships/hyperlink" Target="https://open.spotify.com/album/4cfJVZJoDexgjxsHqCEnN7?si=K76MRcu0TRW7t3E0_nTgjw" TargetMode="External"/><Relationship Id="rId4018" Type="http://schemas.openxmlformats.org/officeDocument/2006/relationships/hyperlink" Target="https://godalone.bandcamp.com/album/the-beep-test" TargetMode="External"/><Relationship Id="rId282" Type="http://schemas.openxmlformats.org/officeDocument/2006/relationships/hyperlink" Target="https://open.spotify.com/album/5YPx2suoQyTY04q7W1GPXz?si=kpsnxRVBRCysSCgAiGPHxA" TargetMode="External"/><Relationship Id="rId281" Type="http://schemas.openxmlformats.org/officeDocument/2006/relationships/hyperlink" Target="https://menhyr.bandcamp.com/album/echoes-of-the-monolith" TargetMode="External"/><Relationship Id="rId280" Type="http://schemas.openxmlformats.org/officeDocument/2006/relationships/hyperlink" Target="https://open.spotify.com/album/2xltEuewVTb95JFhagbzNu?si=UXuh8UOfTzeufO33JLb31Q" TargetMode="External"/><Relationship Id="rId275" Type="http://schemas.openxmlformats.org/officeDocument/2006/relationships/hyperlink" Target="https://coldbloodsupplicant.bandcamp.com/album/heavensward" TargetMode="External"/><Relationship Id="rId4011" Type="http://schemas.openxmlformats.org/officeDocument/2006/relationships/hyperlink" Target="https://soulblind.bandcamp.com/album/red-sky-mourning" TargetMode="External"/><Relationship Id="rId274" Type="http://schemas.openxmlformats.org/officeDocument/2006/relationships/hyperlink" Target="https://vomityourshirt.bandcamp.com/album/of-chaos-and-eternal-night" TargetMode="External"/><Relationship Id="rId4010" Type="http://schemas.openxmlformats.org/officeDocument/2006/relationships/hyperlink" Target="https://www.youtube.com/watch?v=D062r2JfOvw" TargetMode="External"/><Relationship Id="rId273" Type="http://schemas.openxmlformats.org/officeDocument/2006/relationships/hyperlink" Target="https://open.spotify.com/album/0q6PzJ3AouAuTdAHRWrX9r?si=eoBVqAuQTUKLcBTmSYfiZg" TargetMode="External"/><Relationship Id="rId4013" Type="http://schemas.openxmlformats.org/officeDocument/2006/relationships/hyperlink" Target="https://terzijdehorde.bandcamp.com/album/our-breath-is-not-ours-alone-2" TargetMode="External"/><Relationship Id="rId272" Type="http://schemas.openxmlformats.org/officeDocument/2006/relationships/hyperlink" Target="https://enterpriseearth.bandcamp.com/album/descent-into-madness" TargetMode="External"/><Relationship Id="rId4012" Type="http://schemas.openxmlformats.org/officeDocument/2006/relationships/hyperlink" Target="https://open.spotify.com/album/5bRccN4Jnq0Nyi79zrGSNq?si=dW2_aQYcSqagwC2f4rEutw" TargetMode="External"/><Relationship Id="rId279" Type="http://schemas.openxmlformats.org/officeDocument/2006/relationships/hyperlink" Target="https://pinheadmusic.bandcamp.com/album/egomessiah" TargetMode="External"/><Relationship Id="rId4015" Type="http://schemas.openxmlformats.org/officeDocument/2006/relationships/hyperlink" Target="https://www.youtube.com/watch?v=C7CTon3LIJI" TargetMode="External"/><Relationship Id="rId278" Type="http://schemas.openxmlformats.org/officeDocument/2006/relationships/hyperlink" Target="https://open.spotify.com/album/57Su2zr1axyRz62rpq2j4n?si=ngdeeSWYRkGXYOKUUBf70Q" TargetMode="External"/><Relationship Id="rId4014" Type="http://schemas.openxmlformats.org/officeDocument/2006/relationships/hyperlink" Target="https://open.spotify.com/album/3DAFXkSP8RR1PbredSKIXZ?si=PDwZkybZSliggGHayL4x7Q" TargetMode="External"/><Relationship Id="rId277" Type="http://schemas.openxmlformats.org/officeDocument/2006/relationships/hyperlink" Target="https://pentagram666.bandcamp.com/album/pentagram-lightning-in-a-bottle" TargetMode="External"/><Relationship Id="rId4017" Type="http://schemas.openxmlformats.org/officeDocument/2006/relationships/hyperlink" Target="https://open.spotify.com/album/2fk70OLdLHzvDsFH6HrQRW?si=2J8DTJGKRTKBIiGuzY_JAg" TargetMode="External"/><Relationship Id="rId276" Type="http://schemas.openxmlformats.org/officeDocument/2006/relationships/hyperlink" Target="https://open.spotify.com/album/5on0HLlfhUQtWby2YmLMBZ?si=HHjYW5HCR2GHmcDLhaplQQ" TargetMode="External"/><Relationship Id="rId4016" Type="http://schemas.openxmlformats.org/officeDocument/2006/relationships/hyperlink" Target="https://ripplemusic.bandcamp.com/album/perpetual-wasteland" TargetMode="External"/><Relationship Id="rId1851" Type="http://schemas.openxmlformats.org/officeDocument/2006/relationships/hyperlink" Target="https://greengoat.bandcamp.com/album/aloft" TargetMode="External"/><Relationship Id="rId1852" Type="http://schemas.openxmlformats.org/officeDocument/2006/relationships/hyperlink" Target="https://open.spotify.com/album/0NSTPlhYVs5j0QJyDyigkf?si=tydKYWD7Q3qaetQYXtEj-w" TargetMode="External"/><Relationship Id="rId1853" Type="http://schemas.openxmlformats.org/officeDocument/2006/relationships/hyperlink" Target="https://valdivium.bandcamp.com/album/valdivium" TargetMode="External"/><Relationship Id="rId1854" Type="http://schemas.openxmlformats.org/officeDocument/2006/relationships/hyperlink" Target="https://open.spotify.com/album/0VW6QJA64NDJN1eApDdwmu?si=xO3sbNWXSfi91UxLh4y-og" TargetMode="External"/><Relationship Id="rId1855" Type="http://schemas.openxmlformats.org/officeDocument/2006/relationships/hyperlink" Target="https://theconduit.bandcamp.com/album/conquest" TargetMode="External"/><Relationship Id="rId1856" Type="http://schemas.openxmlformats.org/officeDocument/2006/relationships/hyperlink" Target="https://open.spotify.com/album/1g1HAtLTku2Nfr1E8Q4hJg?si=_hRu_2YjRm238gPci--bNw" TargetMode="External"/><Relationship Id="rId1857" Type="http://schemas.openxmlformats.org/officeDocument/2006/relationships/hyperlink" Target="https://emma-goldman.bandcamp.com/album/all-you-are-is-we" TargetMode="External"/><Relationship Id="rId1858" Type="http://schemas.openxmlformats.org/officeDocument/2006/relationships/hyperlink" Target="https://dispyt.bandcamp.com/album/fr-n-melankoli-till-meningsl-shet" TargetMode="External"/><Relationship Id="rId1859" Type="http://schemas.openxmlformats.org/officeDocument/2006/relationships/hyperlink" Target="https://slowdraw.bandcamp.com/album/the-peoples-department-of-governmental-checks-balances" TargetMode="External"/><Relationship Id="rId1850" Type="http://schemas.openxmlformats.org/officeDocument/2006/relationships/hyperlink" Target="https://open.spotify.com/album/6kazHUMBea2kzk6bJX6EVb?si=jRQlRS2pTYiIkT5MiiIE4w" TargetMode="External"/><Relationship Id="rId1840" Type="http://schemas.openxmlformats.org/officeDocument/2006/relationships/hyperlink" Target="https://phantombandgdl.bandcamp.com/album/tyrants-of-wrath" TargetMode="External"/><Relationship Id="rId1841" Type="http://schemas.openxmlformats.org/officeDocument/2006/relationships/hyperlink" Target="https://open.spotify.com/album/5sBiARcDUdmEmGTFNh2wip?si=q973buGGQPaaO9nZsj4Pag" TargetMode="External"/><Relationship Id="rId1842" Type="http://schemas.openxmlformats.org/officeDocument/2006/relationships/hyperlink" Target="https://www.youtube.com/watch?v=Jxb-QyOUMPg" TargetMode="External"/><Relationship Id="rId1843" Type="http://schemas.openxmlformats.org/officeDocument/2006/relationships/hyperlink" Target="https://higherwalls.bandcamp.com/album/no-end" TargetMode="External"/><Relationship Id="rId1844" Type="http://schemas.openxmlformats.org/officeDocument/2006/relationships/hyperlink" Target="https://open.spotify.com/album/1sPiDWIvsgAGFC6uGlJDkQ?si=Kvqw8StuQKKNsjDj8oMbyA" TargetMode="External"/><Relationship Id="rId1845" Type="http://schemas.openxmlformats.org/officeDocument/2006/relationships/hyperlink" Target="https://atrate.bandcamp.com/album/beyond-depth-beyond-thought-beyond-self" TargetMode="External"/><Relationship Id="rId1846" Type="http://schemas.openxmlformats.org/officeDocument/2006/relationships/hyperlink" Target="https://indar.bandcamp.com/album/anlage" TargetMode="External"/><Relationship Id="rId1847" Type="http://schemas.openxmlformats.org/officeDocument/2006/relationships/hyperlink" Target="https://open.spotify.com/album/7sJToAgqCDshEbMFtoQKRZ?si=5oLZkXfFST-yWLuxF7MXuw" TargetMode="External"/><Relationship Id="rId1848" Type="http://schemas.openxmlformats.org/officeDocument/2006/relationships/hyperlink" Target="https://revolvermannrecords.bandcamp.com/album/swan-song" TargetMode="External"/><Relationship Id="rId1849" Type="http://schemas.openxmlformats.org/officeDocument/2006/relationships/hyperlink" Target="https://pointmortband.bandcamp.com/album/le-point-de-non-retour" TargetMode="External"/><Relationship Id="rId1873" Type="http://schemas.openxmlformats.org/officeDocument/2006/relationships/hyperlink" Target="https://songs-of-arrakis.bandcamp.com/album/live-at-the-biscuit-factory" TargetMode="External"/><Relationship Id="rId1874" Type="http://schemas.openxmlformats.org/officeDocument/2006/relationships/hyperlink" Target="https://open.spotify.com/album/2UJ570adCvtSI0PTt9b8rC?si=LRJTXPwlRhm1pEqDCUGUfw" TargetMode="External"/><Relationship Id="rId1875" Type="http://schemas.openxmlformats.org/officeDocument/2006/relationships/hyperlink" Target="https://firmament-band.bandcamp.com/album/a-new-world-if-you-can-take-it" TargetMode="External"/><Relationship Id="rId1876" Type="http://schemas.openxmlformats.org/officeDocument/2006/relationships/hyperlink" Target="https://open.spotify.com/album/2yXogGMc5lcz5NYZqrKIq7?si=n-tMfUH8RvGvJh7QXzl2zw" TargetMode="External"/><Relationship Id="rId1877" Type="http://schemas.openxmlformats.org/officeDocument/2006/relationships/hyperlink" Target="https://uxia.bandcamp.com/album/uxia" TargetMode="External"/><Relationship Id="rId1878" Type="http://schemas.openxmlformats.org/officeDocument/2006/relationships/hyperlink" Target="https://open.spotify.com/album/1EmPTA2TK8w9LlbDdU2BBA?si=gIfpyYujS7yOP2mGHTtfnA" TargetMode="External"/><Relationship Id="rId1879" Type="http://schemas.openxmlformats.org/officeDocument/2006/relationships/hyperlink" Target="https://leper-colony.bandcamp.com/album/those-of-the-morbid" TargetMode="External"/><Relationship Id="rId1870" Type="http://schemas.openxmlformats.org/officeDocument/2006/relationships/hyperlink" Target="https://loghyr.bandcamp.com/album/and-now-we-reap-the-fruit-from-our-seeds-of-distrust" TargetMode="External"/><Relationship Id="rId1871" Type="http://schemas.openxmlformats.org/officeDocument/2006/relationships/hyperlink" Target="https://leatherhearsesl.bandcamp.com/album/burn-in-heaven-i" TargetMode="External"/><Relationship Id="rId1872" Type="http://schemas.openxmlformats.org/officeDocument/2006/relationships/hyperlink" Target="https://pallbearer.bandcamp.com/album/live-at-jjs" TargetMode="External"/><Relationship Id="rId1862" Type="http://schemas.openxmlformats.org/officeDocument/2006/relationships/hyperlink" Target="https://greatdanerecords.bandcamp.com/album/melody-of-chaos" TargetMode="External"/><Relationship Id="rId1863" Type="http://schemas.openxmlformats.org/officeDocument/2006/relationships/hyperlink" Target="https://lightlessdoom.bandcamp.com/album/a-foreseen-loss" TargetMode="External"/><Relationship Id="rId1864" Type="http://schemas.openxmlformats.org/officeDocument/2006/relationships/hyperlink" Target="https://satanath.bandcamp.com/album/sat386-kaaper-while-flows-the-nile-2025" TargetMode="External"/><Relationship Id="rId1865" Type="http://schemas.openxmlformats.org/officeDocument/2006/relationships/hyperlink" Target="https://hemlokk.bandcamp.com/album/feohland" TargetMode="External"/><Relationship Id="rId1866" Type="http://schemas.openxmlformats.org/officeDocument/2006/relationships/hyperlink" Target="https://open.spotify.com/album/63KNlHRk5cb9d56ygEceWL?si=cCCuY9y-TNS7vuF6KmzHQQ" TargetMode="External"/><Relationship Id="rId1867" Type="http://schemas.openxmlformats.org/officeDocument/2006/relationships/hyperlink" Target="https://treeofhell.bandcamp.com/album/the-spire-in-the-hull-2" TargetMode="External"/><Relationship Id="rId1868" Type="http://schemas.openxmlformats.org/officeDocument/2006/relationships/hyperlink" Target="https://open.spotify.com/album/7MrXQiBWImYyRhT34Qprzw?si=kPgpJOy4T6yISK7cyjU_cw" TargetMode="External"/><Relationship Id="rId1869" Type="http://schemas.openxmlformats.org/officeDocument/2006/relationships/hyperlink" Target="https://pathologicallyexplicit.bandcamp.com/album/murdered-the-brutal-gore-grotesque" TargetMode="External"/><Relationship Id="rId1860" Type="http://schemas.openxmlformats.org/officeDocument/2006/relationships/hyperlink" Target="https://open.spotify.com/album/6snAKKK3ZVvuzLS0iGtvsS?si=YR-E8DZXTsaJmGVMh44i0w" TargetMode="External"/><Relationship Id="rId1861" Type="http://schemas.openxmlformats.org/officeDocument/2006/relationships/hyperlink" Target="https://demonicdeathjudge.bandcamp.com/album/absolutely-launched" TargetMode="External"/><Relationship Id="rId1810" Type="http://schemas.openxmlformats.org/officeDocument/2006/relationships/hyperlink" Target="https://listenable-records.bandcamp.com/album/hymns-of-misanthropy-release-date" TargetMode="External"/><Relationship Id="rId1811" Type="http://schemas.openxmlformats.org/officeDocument/2006/relationships/hyperlink" Target="https://open.spotify.com/album/0BwjhQmgh8tbc795g3Ttrx?si=kRn0HDnxTYOikAsrz-hmEw" TargetMode="External"/><Relationship Id="rId1812" Type="http://schemas.openxmlformats.org/officeDocument/2006/relationships/hyperlink" Target="https://elanexperiment.bandcamp.com/album/elan-vs-elan" TargetMode="External"/><Relationship Id="rId1813" Type="http://schemas.openxmlformats.org/officeDocument/2006/relationships/hyperlink" Target="https://open.spotify.com/album/3MawmXf9L50EPz18E3INeR?si=kQrR80PsQxu7EWnjTLowyw" TargetMode="External"/><Relationship Id="rId1814" Type="http://schemas.openxmlformats.org/officeDocument/2006/relationships/hyperlink" Target="https://www.youtube.com/watch?v=7W-DAtsVrzM" TargetMode="External"/><Relationship Id="rId1815" Type="http://schemas.openxmlformats.org/officeDocument/2006/relationships/hyperlink" Target="https://noisebringer-records.bandcamp.com/album/live-in-oberhausen-24-bit-hd-audio" TargetMode="External"/><Relationship Id="rId1816" Type="http://schemas.openxmlformats.org/officeDocument/2006/relationships/hyperlink" Target="https://open.spotify.com/album/1caRlZsmIScBX4JvvUjPkL?si=bNwQ5KQLS5CGk5QCkxE-Rw" TargetMode="External"/><Relationship Id="rId1817" Type="http://schemas.openxmlformats.org/officeDocument/2006/relationships/hyperlink" Target="https://onsetter.bandcamp.com/album/malice" TargetMode="External"/><Relationship Id="rId1818" Type="http://schemas.openxmlformats.org/officeDocument/2006/relationships/hyperlink" Target="https://open.spotify.com/album/5gEaQB4Uc4T4FJd7uhVctm?si=K4_EsWGOTPCOh17f_YA1pg" TargetMode="External"/><Relationship Id="rId1819" Type="http://schemas.openxmlformats.org/officeDocument/2006/relationships/hyperlink" Target="https://supremevoid.bandcamp.com/album/towards-oblivion" TargetMode="External"/><Relationship Id="rId4080" Type="http://schemas.openxmlformats.org/officeDocument/2006/relationships/hyperlink" Target="https://open.spotify.com/album/1r2GypRGK0yNmoVhnibFaA?si=aP8sJ_ZNR5iJ7mQgvw9_GQ" TargetMode="External"/><Relationship Id="rId4082" Type="http://schemas.openxmlformats.org/officeDocument/2006/relationships/hyperlink" Target="https://open.spotify.com/album/31Vj9vTi7allfCCWwcKTbH?si=37cx0NFnQ-GAFIIoN6MxAg" TargetMode="External"/><Relationship Id="rId4081" Type="http://schemas.openxmlformats.org/officeDocument/2006/relationships/hyperlink" Target="https://refusethefuture.bandcamp.com/album/burned-beyond" TargetMode="External"/><Relationship Id="rId4084" Type="http://schemas.openxmlformats.org/officeDocument/2006/relationships/hyperlink" Target="https://open.spotify.com/album/6VlrOw4JjIC6dOmGrogheJ?si=W4av_YYGR3ShrgTuBZtJrA" TargetMode="External"/><Relationship Id="rId4083" Type="http://schemas.openxmlformats.org/officeDocument/2006/relationships/hyperlink" Target="https://mntzm.bandcamp.com/album/veto" TargetMode="External"/><Relationship Id="rId4086" Type="http://schemas.openxmlformats.org/officeDocument/2006/relationships/hyperlink" Target="https://open.spotify.com/album/5KuNfo5f83fiHbIJU7ZOEE?si=x96UjR7dRVOk7g3wl0w8BQ" TargetMode="External"/><Relationship Id="rId4085" Type="http://schemas.openxmlformats.org/officeDocument/2006/relationships/hyperlink" Target="https://earshot.bandcamp.com/album/humaning" TargetMode="External"/><Relationship Id="rId4088" Type="http://schemas.openxmlformats.org/officeDocument/2006/relationships/hyperlink" Target="https://open.spotify.com/album/02Y8ShLFOELujDMp5DX8Nb?si=Zp2MEWv6RjKq8fIOwIupjw" TargetMode="External"/><Relationship Id="rId4087" Type="http://schemas.openxmlformats.org/officeDocument/2006/relationships/hyperlink" Target="https://kirkwindsteinnola.bandcamp.com/album/ethereal-waves" TargetMode="External"/><Relationship Id="rId4089" Type="http://schemas.openxmlformats.org/officeDocument/2006/relationships/hyperlink" Target="https://egorlappo.bandcamp.com/album/skyline" TargetMode="External"/><Relationship Id="rId1800" Type="http://schemas.openxmlformats.org/officeDocument/2006/relationships/hyperlink" Target="https://open.spotify.com/album/3PjEGiujAgHRjhhkrIJl9i?si=II_rt0HjS32nMYKt3PXxkw" TargetMode="External"/><Relationship Id="rId1801" Type="http://schemas.openxmlformats.org/officeDocument/2006/relationships/hyperlink" Target="https://blisterbrigade.bandcamp.com/album/a-rioting-new-breed" TargetMode="External"/><Relationship Id="rId1802" Type="http://schemas.openxmlformats.org/officeDocument/2006/relationships/hyperlink" Target="https://open.spotify.com/album/33MXiDXjvcYnTzsDCrzObL?si=Bx6YAArGQMOQDxhej9r3Sg" TargetMode="External"/><Relationship Id="rId1803" Type="http://schemas.openxmlformats.org/officeDocument/2006/relationships/hyperlink" Target="https://www.youtube.com/watch?v=ybzUSYwEK_s" TargetMode="External"/><Relationship Id="rId1804" Type="http://schemas.openxmlformats.org/officeDocument/2006/relationships/hyperlink" Target="https://edgedcircleproductions.bandcamp.com/album/bloodpainted-visions-of-perpetual-conflict" TargetMode="External"/><Relationship Id="rId1805" Type="http://schemas.openxmlformats.org/officeDocument/2006/relationships/hyperlink" Target="https://open.spotify.com/album/0NByIghrGpauRRKp5Zgq4n?si=Popkm53_QSysWeBgtAf_Ig" TargetMode="External"/><Relationship Id="rId1806" Type="http://schemas.openxmlformats.org/officeDocument/2006/relationships/hyperlink" Target="https://www.youtube.com/watch?v=N63rdk_1h68" TargetMode="External"/><Relationship Id="rId1807" Type="http://schemas.openxmlformats.org/officeDocument/2006/relationships/hyperlink" Target="https://disfuneral-fr.bandcamp.com/album/in-horror-reborn" TargetMode="External"/><Relationship Id="rId1808" Type="http://schemas.openxmlformats.org/officeDocument/2006/relationships/hyperlink" Target="https://open.spotify.com/album/2gpAxPBzjrhz3lMWXMdTU8?si=nq3sn0eFQ12vsAPS0Dys0A" TargetMode="External"/><Relationship Id="rId1809" Type="http://schemas.openxmlformats.org/officeDocument/2006/relationships/hyperlink" Target="https://www.youtube.com/watch?v=o463uP2nR9g" TargetMode="External"/><Relationship Id="rId4071" Type="http://schemas.openxmlformats.org/officeDocument/2006/relationships/hyperlink" Target="https://www.youtube.com/watch?v=eMdWFwA_mOo" TargetMode="External"/><Relationship Id="rId4070" Type="http://schemas.openxmlformats.org/officeDocument/2006/relationships/hyperlink" Target="https://open.spotify.com/album/2pnEBfYMCzwXXId9iMxtHI?si=ALkhfXY7RkSeXaBysu7Tfg" TargetMode="External"/><Relationship Id="rId4073" Type="http://schemas.openxmlformats.org/officeDocument/2006/relationships/hyperlink" Target="https://open.spotify.com/album/7BgDjmAmqadrsbtPHh7xVX?si=MFoQz4_ZSQWaWbap0uv6WA" TargetMode="External"/><Relationship Id="rId4072" Type="http://schemas.openxmlformats.org/officeDocument/2006/relationships/hyperlink" Target="https://abriction.bandcamp.com/album/forbidden-bounds" TargetMode="External"/><Relationship Id="rId4075" Type="http://schemas.openxmlformats.org/officeDocument/2006/relationships/hyperlink" Target="https://open.spotify.com/album/6MDdFeugnSE4Jen0FWGwl5?si=rx2xqIZKRiWHtO51j6UdhQ" TargetMode="External"/><Relationship Id="rId4074" Type="http://schemas.openxmlformats.org/officeDocument/2006/relationships/hyperlink" Target="https://krakh.bandcamp.com/album/holes-in-our-hearts" TargetMode="External"/><Relationship Id="rId4077" Type="http://schemas.openxmlformats.org/officeDocument/2006/relationships/hyperlink" Target="https://katakombasweden.bandcamp.com/album/the-second-death" TargetMode="External"/><Relationship Id="rId4076" Type="http://schemas.openxmlformats.org/officeDocument/2006/relationships/hyperlink" Target="https://www.youtube.com/watch?v=_kvx7v2PWN4" TargetMode="External"/><Relationship Id="rId4079" Type="http://schemas.openxmlformats.org/officeDocument/2006/relationships/hyperlink" Target="https://plegia.bandcamp.com/album/obedience" TargetMode="External"/><Relationship Id="rId4078" Type="http://schemas.openxmlformats.org/officeDocument/2006/relationships/hyperlink" Target="https://eter-jje.bandcamp.com/album/cicho-wiat-w" TargetMode="External"/><Relationship Id="rId1830" Type="http://schemas.openxmlformats.org/officeDocument/2006/relationships/hyperlink" Target="https://open.spotify.com/album/3Vt7X5xuiZwdYjbEOXtski?si=Md8oTp9VRQGiZ2x7KuE6mA" TargetMode="External"/><Relationship Id="rId1831" Type="http://schemas.openxmlformats.org/officeDocument/2006/relationships/hyperlink" Target="https://samiarus.bandcamp.com/album/reign-destroyer" TargetMode="External"/><Relationship Id="rId1832" Type="http://schemas.openxmlformats.org/officeDocument/2006/relationships/hyperlink" Target="https://open.spotify.com/album/0YSs4XyJ9SaU1VgCigW5Il?si=IKOVERFMS9GFTeFwxgmWpA" TargetMode="External"/><Relationship Id="rId1833" Type="http://schemas.openxmlformats.org/officeDocument/2006/relationships/hyperlink" Target="https://www.youtube.com/watch?v=r8n-scW6vxw" TargetMode="External"/><Relationship Id="rId1834" Type="http://schemas.openxmlformats.org/officeDocument/2006/relationships/hyperlink" Target="https://echoesoftheextinct.bandcamp.com/album/era-of-darkness" TargetMode="External"/><Relationship Id="rId1835" Type="http://schemas.openxmlformats.org/officeDocument/2006/relationships/hyperlink" Target="https://open.spotify.com/album/2yAV8u1EioBjPhrX21Je2r?si=q3YB7VRiRISjh3t5GX79RQ" TargetMode="External"/><Relationship Id="rId1836" Type="http://schemas.openxmlformats.org/officeDocument/2006/relationships/hyperlink" Target="https://www.youtube.com/watch?v=bwwdBerrauc" TargetMode="External"/><Relationship Id="rId1837" Type="http://schemas.openxmlformats.org/officeDocument/2006/relationships/hyperlink" Target="https://dusktone.bandcamp.com/album/the-grieving-fields" TargetMode="External"/><Relationship Id="rId1838" Type="http://schemas.openxmlformats.org/officeDocument/2006/relationships/hyperlink" Target="https://open.spotify.com/album/3sAI6e2IgJuLT0i0ZAmiaM?si=PRhtw5IITO-XbFd-HhuOag" TargetMode="External"/><Relationship Id="rId1839" Type="http://schemas.openxmlformats.org/officeDocument/2006/relationships/hyperlink" Target="https://www.youtube.com/watch?v=MuOIsVaH7xg" TargetMode="External"/><Relationship Id="rId1820" Type="http://schemas.openxmlformats.org/officeDocument/2006/relationships/hyperlink" Target="https://open.spotify.com/album/31LvtFIWSKYbsTTPmxinGE?si=DKwMWryRQQmsGiY6grJkew" TargetMode="External"/><Relationship Id="rId1821" Type="http://schemas.openxmlformats.org/officeDocument/2006/relationships/hyperlink" Target="https://www.youtube.com/watch?v=30RMKo8akKY" TargetMode="External"/><Relationship Id="rId1822" Type="http://schemas.openxmlformats.org/officeDocument/2006/relationships/hyperlink" Target="https://mykingdommusic.bandcamp.com/album/underheavens-of-blood-ghosts-and-saltwater" TargetMode="External"/><Relationship Id="rId1823" Type="http://schemas.openxmlformats.org/officeDocument/2006/relationships/hyperlink" Target="https://open.spotify.com/album/1xkvgp9pKeNRpTJomi6o2L?si=2zbs26J0RrSmWnlsGEh5MQ" TargetMode="External"/><Relationship Id="rId1824" Type="http://schemas.openxmlformats.org/officeDocument/2006/relationships/hyperlink" Target="https://strangemono.bandcamp.com/album/dreams-beyond-control" TargetMode="External"/><Relationship Id="rId1825" Type="http://schemas.openxmlformats.org/officeDocument/2006/relationships/hyperlink" Target="https://open.spotify.com/album/7AisIhHgYga2M9fFV1sXQj?si=lV-688WvQD6O1EsIG0bu5g" TargetMode="External"/><Relationship Id="rId1826" Type="http://schemas.openxmlformats.org/officeDocument/2006/relationships/hyperlink" Target="https://arduamusic.bandcamp.com/album/heritage" TargetMode="External"/><Relationship Id="rId1827" Type="http://schemas.openxmlformats.org/officeDocument/2006/relationships/hyperlink" Target="https://open.spotify.com/album/7eDJd2tnYRH8AWk2Y6hOQi?si=d9-IBop0SVaSe-7o90Y3pg" TargetMode="External"/><Relationship Id="rId1828" Type="http://schemas.openxmlformats.org/officeDocument/2006/relationships/hyperlink" Target="https://www.youtube.com/watch?v=PcGCa6ptjRY" TargetMode="External"/><Relationship Id="rId1829" Type="http://schemas.openxmlformats.org/officeDocument/2006/relationships/hyperlink" Target="https://wisdomfools.bandcamp.com/album/prophecy" TargetMode="External"/><Relationship Id="rId4091" Type="http://schemas.openxmlformats.org/officeDocument/2006/relationships/hyperlink" Target="https://javiervaldi.bandcamp.com/album/serendipia" TargetMode="External"/><Relationship Id="rId4090" Type="http://schemas.openxmlformats.org/officeDocument/2006/relationships/hyperlink" Target="https://open.spotify.com/album/1DCRg1e1DULZWPoPmX4Yiy?si=DxqVrizTTMm1KX2uu3aSig" TargetMode="External"/><Relationship Id="rId4093" Type="http://schemas.openxmlformats.org/officeDocument/2006/relationships/hyperlink" Target="https://sunn.bandcamp.com/album/eternitys-pillars-b-w-raise-the-chalice-reverential" TargetMode="External"/><Relationship Id="rId4092" Type="http://schemas.openxmlformats.org/officeDocument/2006/relationships/hyperlink" Target="https://open.spotify.com/album/4wOPoMtiAwR5MVF4aNtd4c?si=zaOldGzETD6DoWNv52XTUA" TargetMode="External"/><Relationship Id="rId4095" Type="http://schemas.openxmlformats.org/officeDocument/2006/relationships/hyperlink" Target="https://invillith.bandcamp.com/album/paradigm" TargetMode="External"/><Relationship Id="rId4094" Type="http://schemas.openxmlformats.org/officeDocument/2006/relationships/hyperlink" Target="https://open.spotify.com/album/5Cc27cEdMtcjzfZKFGod0Q?si=jPTjPyS1RcKJzEk8S-ebWA" TargetMode="External"/><Relationship Id="rId4097" Type="http://schemas.openxmlformats.org/officeDocument/2006/relationships/hyperlink" Target="https://open.spotify.com/album/6ch6iOPzgGAY6ztod5FUwI?si=bnKkJNZjQuaXUboONOTSyQ" TargetMode="External"/><Relationship Id="rId4096" Type="http://schemas.openxmlformats.org/officeDocument/2006/relationships/hyperlink" Target="https://laddersontables.bandcamp.com/album/ground-dweller-remade" TargetMode="External"/><Relationship Id="rId4099" Type="http://schemas.openxmlformats.org/officeDocument/2006/relationships/hyperlink" Target="https://open.spotify.com/album/0y7ysUrYtulGCebYM7caqq?si=0NhLj2jlQl6uA4b_WXlSxg" TargetMode="External"/><Relationship Id="rId4098" Type="http://schemas.openxmlformats.org/officeDocument/2006/relationships/hyperlink" Target="https://juneauofficial.bandcamp.com/album/scraps-of-the-final-lights" TargetMode="External"/><Relationship Id="rId2302" Type="http://schemas.openxmlformats.org/officeDocument/2006/relationships/hyperlink" Target="https://www.youtube.com/watch?v=bBW-071hJu8" TargetMode="External"/><Relationship Id="rId3634" Type="http://schemas.openxmlformats.org/officeDocument/2006/relationships/hyperlink" Target="https://open.spotify.com/album/6psbqwDQReX6d7Y6HITsRU?si=GwcdZI0oSOSUJ9sQq-SWJw" TargetMode="External"/><Relationship Id="rId2303" Type="http://schemas.openxmlformats.org/officeDocument/2006/relationships/hyperlink" Target="https://centurymedia.bandcamp.com/album/songs-of-last-resort-24-bit-hd-audio" TargetMode="External"/><Relationship Id="rId3633" Type="http://schemas.openxmlformats.org/officeDocument/2006/relationships/hyperlink" Target="https://bbbrecords.bandcamp.com/album/paybacks-a-bitch" TargetMode="External"/><Relationship Id="rId2304" Type="http://schemas.openxmlformats.org/officeDocument/2006/relationships/hyperlink" Target="https://open.spotify.com/album/4gGvvykDoDctKKSznfUJ0g?si=N1hJgjRoSwqJRJhgISWjPg" TargetMode="External"/><Relationship Id="rId3636" Type="http://schemas.openxmlformats.org/officeDocument/2006/relationships/hyperlink" Target="https://ashbreather.bandcamp.com/album/la-grande-bouffe" TargetMode="External"/><Relationship Id="rId2305" Type="http://schemas.openxmlformats.org/officeDocument/2006/relationships/hyperlink" Target="https://planningforburial.bandcamp.com/album/its-closeness-its-easy" TargetMode="External"/><Relationship Id="rId3635" Type="http://schemas.openxmlformats.org/officeDocument/2006/relationships/hyperlink" Target="https://conatus93.bandcamp.com/album/fractured-radiance" TargetMode="External"/><Relationship Id="rId2306" Type="http://schemas.openxmlformats.org/officeDocument/2006/relationships/hyperlink" Target="https://open.spotify.com/album/4wQZhZ5XQmqAuelrwpjWrM?si=v1y7siagSUmQunwzBo97yQ" TargetMode="External"/><Relationship Id="rId3638" Type="http://schemas.openxmlformats.org/officeDocument/2006/relationships/hyperlink" Target="https://heavypsychsoundsrecords.bandcamp.com/album/dusted-angel-this-side-of-the-dirt" TargetMode="External"/><Relationship Id="rId2307" Type="http://schemas.openxmlformats.org/officeDocument/2006/relationships/hyperlink" Target="https://www.youtube.com/watch?v=bsTLEOU2Z7s" TargetMode="External"/><Relationship Id="rId3637" Type="http://schemas.openxmlformats.org/officeDocument/2006/relationships/hyperlink" Target="https://open.spotify.com/album/3JjfAEiLKWaTi5rD2oSdCi?si=lok2e-KtQh6918Y-w_qYlw" TargetMode="External"/><Relationship Id="rId2308" Type="http://schemas.openxmlformats.org/officeDocument/2006/relationships/hyperlink" Target="https://eschaton-label.bandcamp.com/album/techtalitarian" TargetMode="External"/><Relationship Id="rId2309" Type="http://schemas.openxmlformats.org/officeDocument/2006/relationships/hyperlink" Target="https://open.spotify.com/album/2IVxn6ld9Sg4bRU5GLTQpn?si=-KtSo-hFTjaGvl0CiqPUsg" TargetMode="External"/><Relationship Id="rId3639" Type="http://schemas.openxmlformats.org/officeDocument/2006/relationships/hyperlink" Target="https://open.spotify.com/album/6nGUfdsXNf1qqFO01h5IWM?si=uD7MiSeIQiy-vjDbTTHFvQ" TargetMode="External"/><Relationship Id="rId3630" Type="http://schemas.openxmlformats.org/officeDocument/2006/relationships/hyperlink" Target="https://lijkschouwer.bandcamp.com/album/all-what-did-the-blade-reveal" TargetMode="External"/><Relationship Id="rId2300" Type="http://schemas.openxmlformats.org/officeDocument/2006/relationships/hyperlink" Target="https://agoniarecords.bandcamp.com/album/tetrad-m" TargetMode="External"/><Relationship Id="rId3632" Type="http://schemas.openxmlformats.org/officeDocument/2006/relationships/hyperlink" Target="https://genizah.bandcamp.com/album/quieting-urgency" TargetMode="External"/><Relationship Id="rId2301" Type="http://schemas.openxmlformats.org/officeDocument/2006/relationships/hyperlink" Target="https://open.spotify.com/album/7MMzUswxDU6vL6pBVVioqh?si=PUHAfGqiTZeYHzfs3ko8Qg" TargetMode="External"/><Relationship Id="rId3631" Type="http://schemas.openxmlformats.org/officeDocument/2006/relationships/hyperlink" Target="https://spiritualbeast.bandcamp.com/album/insomnis-somnia" TargetMode="External"/><Relationship Id="rId3623" Type="http://schemas.openxmlformats.org/officeDocument/2006/relationships/hyperlink" Target="https://soblvn.bandcamp.com/album/mankind-as-a-concept-of-self-failure-and-a-constant-cycle-of-reaffirmed-suffering" TargetMode="External"/><Relationship Id="rId3622" Type="http://schemas.openxmlformats.org/officeDocument/2006/relationships/hyperlink" Target="https://brotthogg.bandcamp.com/album/ved-veis-ende" TargetMode="External"/><Relationship Id="rId3625" Type="http://schemas.openxmlformats.org/officeDocument/2006/relationships/hyperlink" Target="https://open.spotify.com/album/6xSL8TkVyAMgsqGlHoeenz?si=wFHFMAL2QuOBG4gTfy3WeA" TargetMode="External"/><Relationship Id="rId3624" Type="http://schemas.openxmlformats.org/officeDocument/2006/relationships/hyperlink" Target="https://diespnea.bandcamp.com/album/radici" TargetMode="External"/><Relationship Id="rId3627" Type="http://schemas.openxmlformats.org/officeDocument/2006/relationships/hyperlink" Target="https://catsclaw.bandcamp.com/album/perfect-death" TargetMode="External"/><Relationship Id="rId3626" Type="http://schemas.openxmlformats.org/officeDocument/2006/relationships/hyperlink" Target="https://fighter-records.bandcamp.com/album/lizard-secrets-part-3-utopia" TargetMode="External"/><Relationship Id="rId3629" Type="http://schemas.openxmlformats.org/officeDocument/2006/relationships/hyperlink" Target="https://neks.bandcamp.com/album/point-of-no-return-2" TargetMode="External"/><Relationship Id="rId3628" Type="http://schemas.openxmlformats.org/officeDocument/2006/relationships/hyperlink" Target="https://goatmilker.bandcamp.com/album/goatmilker" TargetMode="External"/><Relationship Id="rId3621" Type="http://schemas.openxmlformats.org/officeDocument/2006/relationships/hyperlink" Target="https://pathologicallyexplicit.bandcamp.com/album/infectious-algorithm-mechanism" TargetMode="External"/><Relationship Id="rId3620" Type="http://schemas.openxmlformats.org/officeDocument/2006/relationships/hyperlink" Target="https://pathologicallyexplicit.bandcamp.com/album/vitrectomy-valediction-universe" TargetMode="External"/><Relationship Id="rId2324" Type="http://schemas.openxmlformats.org/officeDocument/2006/relationships/hyperlink" Target="https://open.spotify.com/album/6hwDBv5QZ4ul4qVxVUlRee?si=XWSkeh8mRpmNMCUJxa9ISA" TargetMode="External"/><Relationship Id="rId3656" Type="http://schemas.openxmlformats.org/officeDocument/2006/relationships/hyperlink" Target="https://open.spotify.com/album/678Uo0rdm3OJfgD5EY3iyz?si=IgIKmop7SJKAuFSHjeaF4w" TargetMode="External"/><Relationship Id="rId2325" Type="http://schemas.openxmlformats.org/officeDocument/2006/relationships/hyperlink" Target="https://deathrattle333.bandcamp.com/album/the-moral-chokehold" TargetMode="External"/><Relationship Id="rId3655" Type="http://schemas.openxmlformats.org/officeDocument/2006/relationships/hyperlink" Target="https://avantgardemusic.bandcamp.com/album/isolate-x" TargetMode="External"/><Relationship Id="rId2326" Type="http://schemas.openxmlformats.org/officeDocument/2006/relationships/hyperlink" Target="https://open.spotify.com/album/6J9CpQhTaS324QUW7SSV9y?si=VTItzeVrTdix8lkN0TMtUw" TargetMode="External"/><Relationship Id="rId3658" Type="http://schemas.openxmlformats.org/officeDocument/2006/relationships/hyperlink" Target="https://tithepdx.bandcamp.com/album/communion-in-anguish" TargetMode="External"/><Relationship Id="rId2327" Type="http://schemas.openxmlformats.org/officeDocument/2006/relationships/hyperlink" Target="https://open.spotify.com/album/0pqTOwm8qUXnKlIpUzvOPt?si=NNoFfi1kSOmRJIx7qnAd1Q" TargetMode="External"/><Relationship Id="rId3657" Type="http://schemas.openxmlformats.org/officeDocument/2006/relationships/hyperlink" Target="https://adnauseam-official.bandcamp.com/album/live-at-roadburn-24bit" TargetMode="External"/><Relationship Id="rId2328" Type="http://schemas.openxmlformats.org/officeDocument/2006/relationships/hyperlink" Target="https://gridiron.bandcamp.com/album/poetry-from-pain" TargetMode="External"/><Relationship Id="rId2329" Type="http://schemas.openxmlformats.org/officeDocument/2006/relationships/hyperlink" Target="https://open.spotify.com/album/6TjZKHd7WjBNEIycaQpyA8?si=v6bLope-R-OTqk8EaHfHfw" TargetMode="External"/><Relationship Id="rId3659" Type="http://schemas.openxmlformats.org/officeDocument/2006/relationships/hyperlink" Target="https://open.spotify.com/album/68YhJJQak7ujfRdnQkvrli?si=Ze6F-4_uQGSmwUefGZ2juQ" TargetMode="External"/><Relationship Id="rId3650" Type="http://schemas.openxmlformats.org/officeDocument/2006/relationships/hyperlink" Target="https://open.spotify.com/album/3x1mOC89hdDMk77F0pvfYa?si=izmN_HnhSImPXMEr5wz8Qw" TargetMode="External"/><Relationship Id="rId2320" Type="http://schemas.openxmlformats.org/officeDocument/2006/relationships/hyperlink" Target="https://www.youtube.com/watch?v=kPp7kvZoVvo" TargetMode="External"/><Relationship Id="rId3652" Type="http://schemas.openxmlformats.org/officeDocument/2006/relationships/hyperlink" Target="https://sunniva.bandcamp.com/album/hypostasis" TargetMode="External"/><Relationship Id="rId2321" Type="http://schemas.openxmlformats.org/officeDocument/2006/relationships/hyperlink" Target="https://lowbeforethebreeze.bandcamp.com/album/a-hole-beneath-the-home-we-shared-2" TargetMode="External"/><Relationship Id="rId3651" Type="http://schemas.openxmlformats.org/officeDocument/2006/relationships/hyperlink" Target="https://www.youtube.com/watch?v=X-v8i7yRkq4" TargetMode="External"/><Relationship Id="rId2322" Type="http://schemas.openxmlformats.org/officeDocument/2006/relationships/hyperlink" Target="https://open.spotify.com/album/1ZO9fF5C989beP0bbp2xRV?si=L9pmbrilR_mDA3WpYOQvrQ" TargetMode="External"/><Relationship Id="rId3654" Type="http://schemas.openxmlformats.org/officeDocument/2006/relationships/hyperlink" Target="https://www.youtube.com/watch?v=Ff1l1x-V2S4" TargetMode="External"/><Relationship Id="rId2323" Type="http://schemas.openxmlformats.org/officeDocument/2006/relationships/hyperlink" Target="https://listenable-records.bandcamp.com/album/icons-of-ruins" TargetMode="External"/><Relationship Id="rId3653" Type="http://schemas.openxmlformats.org/officeDocument/2006/relationships/hyperlink" Target="https://open.spotify.com/album/50jzef1QgBIJaYiy2VbuUa?si=mDboSEN_Q3aI57DUt0b70Q" TargetMode="External"/><Relationship Id="rId2313" Type="http://schemas.openxmlformats.org/officeDocument/2006/relationships/hyperlink" Target="https://www.youtube.com/watch?v=75mCr7po6g4" TargetMode="External"/><Relationship Id="rId3645" Type="http://schemas.openxmlformats.org/officeDocument/2006/relationships/hyperlink" Target="https://thebestoftheworst.bandcamp.com/album/new-dead-ends" TargetMode="External"/><Relationship Id="rId2314" Type="http://schemas.openxmlformats.org/officeDocument/2006/relationships/hyperlink" Target="https://riversofnihil.bandcamp.com/album/rivers-of-nihil" TargetMode="External"/><Relationship Id="rId3644" Type="http://schemas.openxmlformats.org/officeDocument/2006/relationships/hyperlink" Target="https://open.spotify.com/album/5Ry0SOkKaRHinNoYdQ5VNy?si=TWCQZkIrRe-xETOEtwuXbg" TargetMode="External"/><Relationship Id="rId2315" Type="http://schemas.openxmlformats.org/officeDocument/2006/relationships/hyperlink" Target="https://open.spotify.com/album/5qwj8HdGnmlctKKAzbbi9m?si=AqVcVv2UTP-g82JQpl7dZQ" TargetMode="External"/><Relationship Id="rId3647" Type="http://schemas.openxmlformats.org/officeDocument/2006/relationships/hyperlink" Target="https://sentientruin.bandcamp.com/album/kuboa" TargetMode="External"/><Relationship Id="rId2316" Type="http://schemas.openxmlformats.org/officeDocument/2006/relationships/hyperlink" Target="https://www.youtube.com/watch?v=y-nale3RPbU" TargetMode="External"/><Relationship Id="rId3646" Type="http://schemas.openxmlformats.org/officeDocument/2006/relationships/hyperlink" Target="https://open.spotify.com/album/0euz5ze1A24AJ16PwqAp0s?si=hSoKidISQb-kUETKVl7kRw" TargetMode="External"/><Relationship Id="rId2317" Type="http://schemas.openxmlformats.org/officeDocument/2006/relationships/hyperlink" Target="https://open.spotify.com/album/3DoK95Nd0E2FLRE4uUNzsW?si=fvIdlhVbS1q4u1YgWQ2KEw" TargetMode="External"/><Relationship Id="rId3649" Type="http://schemas.openxmlformats.org/officeDocument/2006/relationships/hyperlink" Target="https://www.youtube.com/watch?v=vJ5xvGDHofA" TargetMode="External"/><Relationship Id="rId2318" Type="http://schemas.openxmlformats.org/officeDocument/2006/relationships/hyperlink" Target="https://coltsblood.bandcamp.com/album/obscured-into-nebulous-dusk" TargetMode="External"/><Relationship Id="rId3648" Type="http://schemas.openxmlformats.org/officeDocument/2006/relationships/hyperlink" Target="https://open.spotify.com/album/6sRAZ2ah7OOrNHOyCCFi2E?si=2AXjN2EJTM2g2HIuxINHgw" TargetMode="External"/><Relationship Id="rId2319" Type="http://schemas.openxmlformats.org/officeDocument/2006/relationships/hyperlink" Target="https://open.spotify.com/album/0hr4RpnpXBwwovzIR5L71R?si=jycNGqgBT8Oh3v9pUaOddg" TargetMode="External"/><Relationship Id="rId3641" Type="http://schemas.openxmlformats.org/officeDocument/2006/relationships/hyperlink" Target="https://deafclub31g.bandcamp.com/album/we-demand-a-permanent-state-of-happiness" TargetMode="External"/><Relationship Id="rId2310" Type="http://schemas.openxmlformats.org/officeDocument/2006/relationships/hyperlink" Target="https://www.youtube.com/watch?v=en2iAZVkYz4" TargetMode="External"/><Relationship Id="rId3640" Type="http://schemas.openxmlformats.org/officeDocument/2006/relationships/hyperlink" Target="https://www.youtube.com/watch?v=6GEv10_3G1o" TargetMode="External"/><Relationship Id="rId2311" Type="http://schemas.openxmlformats.org/officeDocument/2006/relationships/hyperlink" Target="https://vildhjarta.bandcamp.com/album/d-r-skogen-sjunger-under-evighetens-granar-24-bit-hd-audio" TargetMode="External"/><Relationship Id="rId3643" Type="http://schemas.openxmlformats.org/officeDocument/2006/relationships/hyperlink" Target="https://underneathpa.bandcamp.com/album/in-the-shadow-of-a-watchtower" TargetMode="External"/><Relationship Id="rId2312" Type="http://schemas.openxmlformats.org/officeDocument/2006/relationships/hyperlink" Target="https://open.spotify.com/album/509CFsKMmX9wl3xfOTdDsj?si=UjqDZY5ZRVuBAAFoztD2Gw" TargetMode="External"/><Relationship Id="rId3642" Type="http://schemas.openxmlformats.org/officeDocument/2006/relationships/hyperlink" Target="https://open.spotify.com/album/3RtDMNjD3aN9zf2yhV8Qqq?si=nZZcUAQDREOppAp2SG3sSw" TargetMode="External"/><Relationship Id="rId1895" Type="http://schemas.openxmlformats.org/officeDocument/2006/relationships/hyperlink" Target="https://open.spotify.com/album/3dTxmpuUJXEe14mIR0lw7i?si=qQmYZvx9TNGrNFHqbTxuXQ" TargetMode="External"/><Relationship Id="rId1896" Type="http://schemas.openxmlformats.org/officeDocument/2006/relationships/hyperlink" Target="https://20buckspin.bandcamp.com/album/bleed" TargetMode="External"/><Relationship Id="rId1897" Type="http://schemas.openxmlformats.org/officeDocument/2006/relationships/hyperlink" Target="https://open.spotify.com/album/3fYvHadlDuqFaxRFRTNZue?si=sfrRXnoBRd249acW1LtHLQ" TargetMode="External"/><Relationship Id="rId1898" Type="http://schemas.openxmlformats.org/officeDocument/2006/relationships/hyperlink" Target="https://www.youtube.com/watch?v=tp2Y8_97K2U" TargetMode="External"/><Relationship Id="rId1899" Type="http://schemas.openxmlformats.org/officeDocument/2006/relationships/hyperlink" Target="https://propagandhi.bandcamp.com/album/at-peace" TargetMode="External"/><Relationship Id="rId1890" Type="http://schemas.openxmlformats.org/officeDocument/2006/relationships/hyperlink" Target="https://open.spotify.com/album/5UzXnyoEvyviYEvHCzUSFT?si=FEN5152sTD2ly-KB7agNBQ" TargetMode="External"/><Relationship Id="rId1891" Type="http://schemas.openxmlformats.org/officeDocument/2006/relationships/hyperlink" Target="https://open.spotify.com/album/5sNQ4RTcCSdbW87rwEFFDL?si=0rFP3MXTRMCybqrbj5QUDg" TargetMode="External"/><Relationship Id="rId1892" Type="http://schemas.openxmlformats.org/officeDocument/2006/relationships/hyperlink" Target="https://jawbreakerrecords.bandcamp.com/album/the-ascent-the-hunger" TargetMode="External"/><Relationship Id="rId1893" Type="http://schemas.openxmlformats.org/officeDocument/2006/relationships/hyperlink" Target="https://open.spotify.com/album/2lk8A2mLzp8vPVaWErboTN?si=XNF69AvlTR6oDrDKbod0FA" TargetMode="External"/><Relationship Id="rId1894" Type="http://schemas.openxmlformats.org/officeDocument/2006/relationships/hyperlink" Target="https://fallfiftyfeet.bandcamp.com/album/counterfeit-recollections" TargetMode="External"/><Relationship Id="rId1884" Type="http://schemas.openxmlformats.org/officeDocument/2006/relationships/hyperlink" Target="https://arvband.bandcamp.com/album/curse-courage" TargetMode="External"/><Relationship Id="rId1885" Type="http://schemas.openxmlformats.org/officeDocument/2006/relationships/hyperlink" Target="https://open.spotify.com/album/7B40L5ty2KHOdWFk1q7tN2?si=H5-8GWubSJufvYcebrNy7A" TargetMode="External"/><Relationship Id="rId1886" Type="http://schemas.openxmlformats.org/officeDocument/2006/relationships/hyperlink" Target="https://www.youtube.com/watch?v=KDssb80_zmU" TargetMode="External"/><Relationship Id="rId1887" Type="http://schemas.openxmlformats.org/officeDocument/2006/relationships/hyperlink" Target="https://labyrinthusstellarum.bandcamp.com/album/rift-in-reality" TargetMode="External"/><Relationship Id="rId1888" Type="http://schemas.openxmlformats.org/officeDocument/2006/relationships/hyperlink" Target="https://open.spotify.com/album/4hXx7roeDOqjQO8CZ4CxjV?si=S6v8_17YSOilhrLdlwTMiQ" TargetMode="External"/><Relationship Id="rId1889" Type="http://schemas.openxmlformats.org/officeDocument/2006/relationships/hyperlink" Target="https://hypaethralrecords.bandcamp.com/album/incendiary-sanctum" TargetMode="External"/><Relationship Id="rId1880" Type="http://schemas.openxmlformats.org/officeDocument/2006/relationships/hyperlink" Target="https://open.spotify.com/album/3R7GP7o6iUkoz20CTWqEYu?si=ZmK86eo4SY-fu5ZWsB7kAA" TargetMode="External"/><Relationship Id="rId1881" Type="http://schemas.openxmlformats.org/officeDocument/2006/relationships/hyperlink" Target="https://www.youtube.com/watch?v=yX9T_NczYWQ" TargetMode="External"/><Relationship Id="rId1882" Type="http://schemas.openxmlformats.org/officeDocument/2006/relationships/hyperlink" Target="https://ladlo.bandcamp.com/album/ananke" TargetMode="External"/><Relationship Id="rId1883" Type="http://schemas.openxmlformats.org/officeDocument/2006/relationships/hyperlink" Target="https://open.spotify.com/album/4qpvuSD6U8oolqS44WSUTV?si=wRof_y-tQH6Ok9dKTI_WkQ" TargetMode="External"/><Relationship Id="rId3612" Type="http://schemas.openxmlformats.org/officeDocument/2006/relationships/hyperlink" Target="https://open.spotify.com/album/5OvVvOZpu1OH1SzcYYgvry?si=wsp46avHS9-HPG8O6kwf2g" TargetMode="External"/><Relationship Id="rId3611" Type="http://schemas.openxmlformats.org/officeDocument/2006/relationships/hyperlink" Target="https://starset.bandcamp.com/album/silos" TargetMode="External"/><Relationship Id="rId3614" Type="http://schemas.openxmlformats.org/officeDocument/2006/relationships/hyperlink" Target="https://open.spotify.com/album/2wH2ccZTgbCYjlvuGJC1d1?si=3IJco20pQlqtooNLWMHlVA" TargetMode="External"/><Relationship Id="rId3613" Type="http://schemas.openxmlformats.org/officeDocument/2006/relationships/hyperlink" Target="https://destructionritual.bandcamp.com/album/providence" TargetMode="External"/><Relationship Id="rId3616" Type="http://schemas.openxmlformats.org/officeDocument/2006/relationships/hyperlink" Target="https://ennui-by-mistake.bandcamp.com/album/orchestrating-insanity" TargetMode="External"/><Relationship Id="rId3615" Type="http://schemas.openxmlformats.org/officeDocument/2006/relationships/hyperlink" Target="https://www.youtube.com/watch?v=V8hy9ZC4fg4" TargetMode="External"/><Relationship Id="rId3618" Type="http://schemas.openxmlformats.org/officeDocument/2006/relationships/hyperlink" Target="https://open.spotify.com/album/4kmJUNXHYqWN9ZKDa2zmqA?si=vV5lxJCrReaDcCTsTx742w" TargetMode="External"/><Relationship Id="rId3617" Type="http://schemas.openxmlformats.org/officeDocument/2006/relationships/hyperlink" Target="https://frissonincorporated.bandcamp.com/album/a-white-noise" TargetMode="External"/><Relationship Id="rId3619" Type="http://schemas.openxmlformats.org/officeDocument/2006/relationships/hyperlink" Target="https://ospa1959.bandcamp.com/album/ospa-1959" TargetMode="External"/><Relationship Id="rId3610" Type="http://schemas.openxmlformats.org/officeDocument/2006/relationships/hyperlink" Target="https://www.youtube.com/watch?v=gSfVWWbHNyQ" TargetMode="External"/><Relationship Id="rId3601" Type="http://schemas.openxmlformats.org/officeDocument/2006/relationships/hyperlink" Target="https://open.spotify.com/album/321ErvE4MJsqF6j8BT2QIb?si=lcuoR9rUSEGEGactPML7IA" TargetMode="External"/><Relationship Id="rId3600" Type="http://schemas.openxmlformats.org/officeDocument/2006/relationships/hyperlink" Target="https://mattmiller2.bandcamp.com/album/fiber-tormentum-2" TargetMode="External"/><Relationship Id="rId3603" Type="http://schemas.openxmlformats.org/officeDocument/2006/relationships/hyperlink" Target="https://open.spotify.com/album/49hmi60xli7uR8EaDdfx5n?si=zs8nLAtLQwyB7l0CNe9aog" TargetMode="External"/><Relationship Id="rId3602" Type="http://schemas.openxmlformats.org/officeDocument/2006/relationships/hyperlink" Target="https://dusktone.bandcamp.com/album/i-haggans-afton" TargetMode="External"/><Relationship Id="rId3605" Type="http://schemas.openxmlformats.org/officeDocument/2006/relationships/hyperlink" Target="https://dusktone.bandcamp.com/album/underwater-darkness" TargetMode="External"/><Relationship Id="rId3604" Type="http://schemas.openxmlformats.org/officeDocument/2006/relationships/hyperlink" Target="https://www.youtube.com/watch?v=gexODxEbFFg" TargetMode="External"/><Relationship Id="rId3607" Type="http://schemas.openxmlformats.org/officeDocument/2006/relationships/hyperlink" Target="https://www.youtube.com/watch?v=8THzn3QtG3Q" TargetMode="External"/><Relationship Id="rId3606" Type="http://schemas.openxmlformats.org/officeDocument/2006/relationships/hyperlink" Target="https://open.spotify.com/album/2VTrFEYTUd0VglCrtrxy6Q?si=gtNODixdR9OTi5fc8fW1MQ" TargetMode="External"/><Relationship Id="rId3609" Type="http://schemas.openxmlformats.org/officeDocument/2006/relationships/hyperlink" Target="https://open.spotify.com/album/1uOIryTRg8cWLEAFOmrwVC?si=YJO8QraaQJG7ft_vqQu2OA" TargetMode="External"/><Relationship Id="rId3608" Type="http://schemas.openxmlformats.org/officeDocument/2006/relationships/hyperlink" Target="https://hyperstrikeband.bandcamp.com/album/high-risk" TargetMode="External"/><Relationship Id="rId1059" Type="http://schemas.openxmlformats.org/officeDocument/2006/relationships/hyperlink" Target="https://fighter-records.bandcamp.com/album/unsafe-space" TargetMode="External"/><Relationship Id="rId228" Type="http://schemas.openxmlformats.org/officeDocument/2006/relationships/hyperlink" Target="https://departuredoom.bandcamp.com/album/mired-in-descension" TargetMode="External"/><Relationship Id="rId227" Type="http://schemas.openxmlformats.org/officeDocument/2006/relationships/hyperlink" Target="https://open.spotify.com/album/7AjU8D4VsCvlUrBWweP3Xq?si=9WuDdjKkQ_uvBI5GQ3r-Ig" TargetMode="External"/><Relationship Id="rId226" Type="http://schemas.openxmlformats.org/officeDocument/2006/relationships/hyperlink" Target="https://hjortnoise.bandcamp.com/album/evolve-iv-viii" TargetMode="External"/><Relationship Id="rId225" Type="http://schemas.openxmlformats.org/officeDocument/2006/relationships/hyperlink" Target="https://open.spotify.com/album/5fioEAxDZf7RRNyolLeG5c?si=76Ah2KSQT4S_m-GKuBzt5A" TargetMode="External"/><Relationship Id="rId2380" Type="http://schemas.openxmlformats.org/officeDocument/2006/relationships/hyperlink" Target="https://imipolex.bandcamp.com/album/acts-of-vulgar-piety" TargetMode="External"/><Relationship Id="rId229" Type="http://schemas.openxmlformats.org/officeDocument/2006/relationships/hyperlink" Target="https://open.spotify.com/album/3y6Yhvm8QbQld3jLpMhkhS?si=LdERbROZRx2low_ZztP7lg" TargetMode="External"/><Relationship Id="rId1050" Type="http://schemas.openxmlformats.org/officeDocument/2006/relationships/hyperlink" Target="https://open.spotify.com/album/6mWixVR0sZmlEUy8666X09?si=jzzZV-sERRGl7JIzxqZCXw" TargetMode="External"/><Relationship Id="rId2381" Type="http://schemas.openxmlformats.org/officeDocument/2006/relationships/hyperlink" Target="https://open.spotify.com/album/53dBnKF4sEcFmInsVCWy6c?si=jdgq5fsITBuQfrh8nSBTvA" TargetMode="External"/><Relationship Id="rId220" Type="http://schemas.openxmlformats.org/officeDocument/2006/relationships/hyperlink" Target="https://www.youtube.com/watch?v=tasIWt2ofDE" TargetMode="External"/><Relationship Id="rId1051" Type="http://schemas.openxmlformats.org/officeDocument/2006/relationships/hyperlink" Target="https://dionebc.bandcamp.com/album/astrolatry" TargetMode="External"/><Relationship Id="rId2382" Type="http://schemas.openxmlformats.org/officeDocument/2006/relationships/hyperlink" Target="https://axisoflight.bandcamp.com/album/to-the-great-unbearing-north" TargetMode="External"/><Relationship Id="rId1052" Type="http://schemas.openxmlformats.org/officeDocument/2006/relationships/hyperlink" Target="https://open.spotify.com/album/0qrZFnkioHMc8SsQhlCfsA?si=J1CGLNygS_CDH_er3l9PMQ" TargetMode="External"/><Relationship Id="rId2383" Type="http://schemas.openxmlformats.org/officeDocument/2006/relationships/hyperlink" Target="https://ghostsofthesun.bandcamp.com/album/animist" TargetMode="External"/><Relationship Id="rId1053" Type="http://schemas.openxmlformats.org/officeDocument/2006/relationships/hyperlink" Target="https://caesaraugustus.bandcamp.com/album/the-ides-of-march" TargetMode="External"/><Relationship Id="rId2384" Type="http://schemas.openxmlformats.org/officeDocument/2006/relationships/hyperlink" Target="https://dimscua.bandcamp.com/album/dust-eater" TargetMode="External"/><Relationship Id="rId1054" Type="http://schemas.openxmlformats.org/officeDocument/2006/relationships/hyperlink" Target="https://ursatheband.bandcamp.com/album/call-of-the-infinite-2" TargetMode="External"/><Relationship Id="rId2385" Type="http://schemas.openxmlformats.org/officeDocument/2006/relationships/hyperlink" Target="https://open.spotify.com/album/6zLcG5aCbG4tgR9epACX3b?si=8JuCdmMZQsKof4STD5AaMg" TargetMode="External"/><Relationship Id="rId224" Type="http://schemas.openxmlformats.org/officeDocument/2006/relationships/hyperlink" Target="https://umbersound.bandcamp.com/album/if-the-flies-could-sing" TargetMode="External"/><Relationship Id="rId1055" Type="http://schemas.openxmlformats.org/officeDocument/2006/relationships/hyperlink" Target="https://open.spotify.com/album/5ga6tW4gmd7LqBU9BvzrKH?si=vY73VOzFRE2XhF6nkAewkA" TargetMode="External"/><Relationship Id="rId2386" Type="http://schemas.openxmlformats.org/officeDocument/2006/relationships/hyperlink" Target="https://xiraleth.bandcamp.com/album/stellar-worship-2" TargetMode="External"/><Relationship Id="rId223" Type="http://schemas.openxmlformats.org/officeDocument/2006/relationships/hyperlink" Target="https://ringlorn.bandcamp.com/album/tales-of-war-and-magic" TargetMode="External"/><Relationship Id="rId1056" Type="http://schemas.openxmlformats.org/officeDocument/2006/relationships/hyperlink" Target="https://roninofficial.bandcamp.com/album/animo-as-static" TargetMode="External"/><Relationship Id="rId2387" Type="http://schemas.openxmlformats.org/officeDocument/2006/relationships/hyperlink" Target="https://tesa.bandcamp.com/album/i-n-t-e-r-v-a-l" TargetMode="External"/><Relationship Id="rId222" Type="http://schemas.openxmlformats.org/officeDocument/2006/relationships/hyperlink" Target="https://open.spotify.com/album/7iN4pSAPXdVyfJHNJsLQHV?si=C3kmeoDjTnybINQQaqHf5w" TargetMode="External"/><Relationship Id="rId1057" Type="http://schemas.openxmlformats.org/officeDocument/2006/relationships/hyperlink" Target="https://open.spotify.com/album/0C6Ve9jbwpMv84Q5eulj4g?si=BsYGwH0NSPuOFnvio-bbIw" TargetMode="External"/><Relationship Id="rId2388" Type="http://schemas.openxmlformats.org/officeDocument/2006/relationships/hyperlink" Target="https://open.spotify.com/album/73FEldJup3CwBPSx305V1L?si=-GpLRKTPSFCpl31Fg52aiQ" TargetMode="External"/><Relationship Id="rId221" Type="http://schemas.openxmlformats.org/officeDocument/2006/relationships/hyperlink" Target="https://ohthehumanitymass.bandcamp.com/album/ground-to-dust" TargetMode="External"/><Relationship Id="rId1058" Type="http://schemas.openxmlformats.org/officeDocument/2006/relationships/hyperlink" Target="https://moulk.bandcamp.com/album/moulk-reloadah" TargetMode="External"/><Relationship Id="rId2389" Type="http://schemas.openxmlformats.org/officeDocument/2006/relationships/hyperlink" Target="https://open.spotify.com/album/0qgco2VlGjrVPODE0RMU6J?si=0zCMbhEfTeuvHW8Z78Rlyw" TargetMode="External"/><Relationship Id="rId1048" Type="http://schemas.openxmlformats.org/officeDocument/2006/relationships/hyperlink" Target="https://www.youtube.com/watch?v=x0xbGtnrR3Q" TargetMode="External"/><Relationship Id="rId2379" Type="http://schemas.openxmlformats.org/officeDocument/2006/relationships/hyperlink" Target="https://open.spotify.com/album/0jEuEzWEzusCQQg2TSNcYz?si=a8F5sAZvQBST9OeyoR3plA" TargetMode="External"/><Relationship Id="rId1049" Type="http://schemas.openxmlformats.org/officeDocument/2006/relationships/hyperlink" Target="https://atfirstatfirst.bandcamp.com/album/the-courage-of-shutting-up" TargetMode="External"/><Relationship Id="rId217" Type="http://schemas.openxmlformats.org/officeDocument/2006/relationships/hyperlink" Target="https://open.spotify.com/album/62wCXxtkyXJyay0MuGU2C3?si=7yOJ3RoDRAq87a556wV1ag" TargetMode="External"/><Relationship Id="rId216" Type="http://schemas.openxmlformats.org/officeDocument/2006/relationships/hyperlink" Target="https://sleepbomb.bandcamp.com/album/the-sleeping-dead" TargetMode="External"/><Relationship Id="rId215" Type="http://schemas.openxmlformats.org/officeDocument/2006/relationships/hyperlink" Target="https://open.spotify.com/album/7q5LO5yGtHUcnqGNf0R0Zi?si=AZSs3kLLRx-4r1wKFUi64w" TargetMode="External"/><Relationship Id="rId214" Type="http://schemas.openxmlformats.org/officeDocument/2006/relationships/hyperlink" Target="https://beneathasteelsky1.bandcamp.com/album/cleave" TargetMode="External"/><Relationship Id="rId219" Type="http://schemas.openxmlformats.org/officeDocument/2006/relationships/hyperlink" Target="https://open.spotify.com/album/5n50QtB5UOic18xt6aLsEn?si=GgwNeur5Q7iRD5nVhqeCJA" TargetMode="External"/><Relationship Id="rId218" Type="http://schemas.openxmlformats.org/officeDocument/2006/relationships/hyperlink" Target="https://everlastingspew.bandcamp.com/album/excessive-escalation-of-cruelty" TargetMode="External"/><Relationship Id="rId2370" Type="http://schemas.openxmlformats.org/officeDocument/2006/relationships/hyperlink" Target="https://krocophile.bandcamp.com/album/sewer-king-king-of-the-sewer" TargetMode="External"/><Relationship Id="rId1040" Type="http://schemas.openxmlformats.org/officeDocument/2006/relationships/hyperlink" Target="https://open.spotify.com/album/53CQSyD6X6ZFrpOlz1AxtC?si=dTKNaFrtRMmMXtzKxB8-8w" TargetMode="External"/><Relationship Id="rId2371" Type="http://schemas.openxmlformats.org/officeDocument/2006/relationships/hyperlink" Target="https://killiad.bandcamp.com/album/killiad" TargetMode="External"/><Relationship Id="rId1041" Type="http://schemas.openxmlformats.org/officeDocument/2006/relationships/hyperlink" Target="https://chaosmic.bandcamp.com/album/remind-death-we-fight" TargetMode="External"/><Relationship Id="rId2372" Type="http://schemas.openxmlformats.org/officeDocument/2006/relationships/hyperlink" Target="https://open.spotify.com/album/2ulv3ABG9JfjEWLUNNFxiY?si=E-4cGfVnQMuak0_lOW7Zjw" TargetMode="External"/><Relationship Id="rId1042" Type="http://schemas.openxmlformats.org/officeDocument/2006/relationships/hyperlink" Target="https://temperer.bandcamp.com/album/qad" TargetMode="External"/><Relationship Id="rId2373" Type="http://schemas.openxmlformats.org/officeDocument/2006/relationships/hyperlink" Target="https://eye-of-autumn.bandcamp.com/album/kaleidoscope" TargetMode="External"/><Relationship Id="rId1043" Type="http://schemas.openxmlformats.org/officeDocument/2006/relationships/hyperlink" Target="https://open.spotify.com/album/5woF845vTQ3DptAmze6dXH?si=E3FOOe8ET0WnNNeIdTN9Aw" TargetMode="External"/><Relationship Id="rId2374" Type="http://schemas.openxmlformats.org/officeDocument/2006/relationships/hyperlink" Target="https://calamityvessel.bandcamp.com/album/visions-from-the-peak-of-dawn" TargetMode="External"/><Relationship Id="rId213" Type="http://schemas.openxmlformats.org/officeDocument/2006/relationships/hyperlink" Target="https://open.spotify.com/album/51D4j5A6bClqy2PsKTE6q2?si=tfKdJcLBRM2693H6DlysRQ" TargetMode="External"/><Relationship Id="rId1044" Type="http://schemas.openxmlformats.org/officeDocument/2006/relationships/hyperlink" Target="https://www.youtube.com/watch?v=67Kvt0xh0x8" TargetMode="External"/><Relationship Id="rId2375" Type="http://schemas.openxmlformats.org/officeDocument/2006/relationships/hyperlink" Target="https://facadedoom.bandcamp.com/album/radiant" TargetMode="External"/><Relationship Id="rId212" Type="http://schemas.openxmlformats.org/officeDocument/2006/relationships/hyperlink" Target="https://bumblefoot.bandcamp.com/album/returns" TargetMode="External"/><Relationship Id="rId1045" Type="http://schemas.openxmlformats.org/officeDocument/2006/relationships/hyperlink" Target="https://pyrenj.bandcamp.com/album/this-is-how-we-lose-fullness" TargetMode="External"/><Relationship Id="rId2376" Type="http://schemas.openxmlformats.org/officeDocument/2006/relationships/hyperlink" Target="https://open.spotify.com/album/2Tx9BBKKkA0VfnIZxvvNgM?si=vCrH8iHORkqG-Sy9IWIBFg" TargetMode="External"/><Relationship Id="rId211" Type="http://schemas.openxmlformats.org/officeDocument/2006/relationships/hyperlink" Target="https://www.youtube.com/watch?v=e6IPMpfk0qA" TargetMode="External"/><Relationship Id="rId1046" Type="http://schemas.openxmlformats.org/officeDocument/2006/relationships/hyperlink" Target="https://open.spotify.com/album/6LoSKe1ORaoSUR5FI9DCfq?si=zR-coOClQTmm8WNWS52r0w" TargetMode="External"/><Relationship Id="rId2377" Type="http://schemas.openxmlformats.org/officeDocument/2006/relationships/hyperlink" Target="https://aphonicthrenody.bandcamp.com/album/a-silence-too-old" TargetMode="External"/><Relationship Id="rId210" Type="http://schemas.openxmlformats.org/officeDocument/2006/relationships/hyperlink" Target="https://open.spotify.com/album/4CEb42ONr9y3VEkpvU87yd?si=67o9zay6QGOgw4XqKGCLQw" TargetMode="External"/><Relationship Id="rId1047" Type="http://schemas.openxmlformats.org/officeDocument/2006/relationships/hyperlink" Target="https://heathenheretic.bandcamp.com/album/whispers-from-the-abyss" TargetMode="External"/><Relationship Id="rId2378" Type="http://schemas.openxmlformats.org/officeDocument/2006/relationships/hyperlink" Target="https://helioscopenoise.bandcamp.com/album/swansong" TargetMode="External"/><Relationship Id="rId4107" Type="http://schemas.openxmlformats.org/officeDocument/2006/relationships/hyperlink" Target="https://lammothofficial.bandcamp.com/album/aetherfrost-caverns" TargetMode="External"/><Relationship Id="rId4106" Type="http://schemas.openxmlformats.org/officeDocument/2006/relationships/hyperlink" Target="https://open.spotify.com/album/7dsrfnlyKHqnDzySje9Vy3?si=1bQFsrhJQXG9zIDpdAue2A" TargetMode="External"/><Relationship Id="rId4109" Type="http://schemas.openxmlformats.org/officeDocument/2006/relationships/hyperlink" Target="https://open.spotify.com/album/3JhfHIDrHGnzRfoHSqQDtN?si=liHoGEEuQT6IDUpUMXrpQQ" TargetMode="External"/><Relationship Id="rId4108" Type="http://schemas.openxmlformats.org/officeDocument/2006/relationships/hyperlink" Target="https://azellrr.bandcamp.com/album/astralis" TargetMode="External"/><Relationship Id="rId249" Type="http://schemas.openxmlformats.org/officeDocument/2006/relationships/hyperlink" Target="https://open.spotify.com/album/7EnedUjCJ5YRfW8u8LMLQY?si=bjcNgucBTzOcLKxZFggfVw" TargetMode="External"/><Relationship Id="rId248" Type="http://schemas.openxmlformats.org/officeDocument/2006/relationships/hyperlink" Target="https://klausztrofonia.bandcamp.com/album/egyenes-ker-l" TargetMode="External"/><Relationship Id="rId247" Type="http://schemas.openxmlformats.org/officeDocument/2006/relationships/hyperlink" Target="https://open.spotify.com/album/0rNeRv1peV7kj4G8x3fTMI?si=pz85Hm6lS8SIIiqgK-1SYw" TargetMode="External"/><Relationship Id="rId1070" Type="http://schemas.openxmlformats.org/officeDocument/2006/relationships/hyperlink" Target="https://metalcontemplation.bandcamp.com/album/au-bord-du-pr-cipice" TargetMode="External"/><Relationship Id="rId1071" Type="http://schemas.openxmlformats.org/officeDocument/2006/relationships/hyperlink" Target="https://nohandpath.bandcamp.com/album/-" TargetMode="External"/><Relationship Id="rId1072" Type="http://schemas.openxmlformats.org/officeDocument/2006/relationships/hyperlink" Target="https://open.spotify.com/album/2s0VeAVwQ2X2sL2twxdXsv?si=w5yuBRhxQku2TebcLDIshg" TargetMode="External"/><Relationship Id="rId242" Type="http://schemas.openxmlformats.org/officeDocument/2006/relationships/hyperlink" Target="https://www.youtube.com/watch?v=wlK9W-3lKYs" TargetMode="External"/><Relationship Id="rId1073" Type="http://schemas.openxmlformats.org/officeDocument/2006/relationships/hyperlink" Target="https://dimhall.bandcamp.com/album/himlakroppar" TargetMode="External"/><Relationship Id="rId241" Type="http://schemas.openxmlformats.org/officeDocument/2006/relationships/hyperlink" Target="https://open.spotify.com/album/1D2iSN5H4dehZqzJA3Z7tK?si=Uukx86-5Say3A-pFdVrSug" TargetMode="External"/><Relationship Id="rId1074" Type="http://schemas.openxmlformats.org/officeDocument/2006/relationships/hyperlink" Target="https://open.spotify.com/album/7G6gtCoEVjsYhFCF4IjeGd?si=8bPu6AwZQdWsd9pofNFcpQ" TargetMode="External"/><Relationship Id="rId240" Type="http://schemas.openxmlformats.org/officeDocument/2006/relationships/hyperlink" Target="https://thearchonrift.bandcamp.com/album/the-arcane-chronicle-ep" TargetMode="External"/><Relationship Id="rId1075" Type="http://schemas.openxmlformats.org/officeDocument/2006/relationships/hyperlink" Target="https://open.spotify.com/album/3Q5fhKQDoLgW2xA4XOmtWt?si=EbOTJVOMRxiwi6L3dqcabw" TargetMode="External"/><Relationship Id="rId4101" Type="http://schemas.openxmlformats.org/officeDocument/2006/relationships/hyperlink" Target="https://open.spotify.com/album/0DxCrfiBVbmfVH9m7wJ0Oi?si=nNC4agDXTcmKYyNp0MqEtg" TargetMode="External"/><Relationship Id="rId1076" Type="http://schemas.openxmlformats.org/officeDocument/2006/relationships/hyperlink" Target="https://disarmoniamundi.bandcamp.com/album/the-dormant-stranger" TargetMode="External"/><Relationship Id="rId4100" Type="http://schemas.openxmlformats.org/officeDocument/2006/relationships/hyperlink" Target="https://elidi.bandcamp.com/album/angor-animi" TargetMode="External"/><Relationship Id="rId246" Type="http://schemas.openxmlformats.org/officeDocument/2006/relationships/hyperlink" Target="https://disrupted.bandcamp.com/album/stinking-death" TargetMode="External"/><Relationship Id="rId1077" Type="http://schemas.openxmlformats.org/officeDocument/2006/relationships/hyperlink" Target="https://open.spotify.com/album/57MMCP5VPL7iYHORkg00xr?si=thRsR0J8RKqFWSlcYOapwQ" TargetMode="External"/><Relationship Id="rId4103" Type="http://schemas.openxmlformats.org/officeDocument/2006/relationships/hyperlink" Target="https://open.spotify.com/album/5AcQyYfTNLiiGsNfmsBQcM?si=jGXO1vxAQfqg7FfubNDJDg" TargetMode="External"/><Relationship Id="rId245" Type="http://schemas.openxmlformats.org/officeDocument/2006/relationships/hyperlink" Target="https://open.spotify.com/album/6jdczsp7kBGe5NbK7DJfql?si=Z1kIv60-ShSqwB97Xp9aqQ" TargetMode="External"/><Relationship Id="rId1078" Type="http://schemas.openxmlformats.org/officeDocument/2006/relationships/hyperlink" Target="https://20buckspin.bandcamp.com/album/corpus-offal" TargetMode="External"/><Relationship Id="rId4102" Type="http://schemas.openxmlformats.org/officeDocument/2006/relationships/hyperlink" Target="https://throughloverec.bandcamp.com/album/smilingisoverated" TargetMode="External"/><Relationship Id="rId244" Type="http://schemas.openxmlformats.org/officeDocument/2006/relationships/hyperlink" Target="https://open.spotify.com/album/0Q5lFIjWczdmjo5tX6a7Ck?si=bwtyedSoSGi09BKNe3RBWQ" TargetMode="External"/><Relationship Id="rId1079" Type="http://schemas.openxmlformats.org/officeDocument/2006/relationships/hyperlink" Target="https://open.spotify.com/album/0DcPF4GroagnzMNcaVP8WP?si=2s-fkyhcR0mfbrH6EYCsGQ" TargetMode="External"/><Relationship Id="rId4105" Type="http://schemas.openxmlformats.org/officeDocument/2006/relationships/hyperlink" Target="https://soulgrinder1.bandcamp.com/album/frozen-halls" TargetMode="External"/><Relationship Id="rId243" Type="http://schemas.openxmlformats.org/officeDocument/2006/relationships/hyperlink" Target="https://kkr-granddevourer.bandcamp.com/album/traversing-the-void" TargetMode="External"/><Relationship Id="rId4104" Type="http://schemas.openxmlformats.org/officeDocument/2006/relationships/hyperlink" Target="https://impermanenceofficial.bandcamp.com/album/anicca" TargetMode="External"/><Relationship Id="rId239" Type="http://schemas.openxmlformats.org/officeDocument/2006/relationships/hyperlink" Target="https://vortexsutra.bandcamp.com/album/glimpse-into-the-transcendental" TargetMode="External"/><Relationship Id="rId238" Type="http://schemas.openxmlformats.org/officeDocument/2006/relationships/hyperlink" Target="https://www.youtube.com/watch?v=dnCx_OWlI50" TargetMode="External"/><Relationship Id="rId237" Type="http://schemas.openxmlformats.org/officeDocument/2006/relationships/hyperlink" Target="https://open.spotify.com/album/0pHsqXgopdkfEKJSBg4hZf?si=ygrK36GWT5-weNvdyNFsnA" TargetMode="External"/><Relationship Id="rId236" Type="http://schemas.openxmlformats.org/officeDocument/2006/relationships/hyperlink" Target="https://scitalis.bandcamp.com/album/maledictum" TargetMode="External"/><Relationship Id="rId2390" Type="http://schemas.openxmlformats.org/officeDocument/2006/relationships/hyperlink" Target="https://panaceaofficialband.bandcamp.com/album/panacea" TargetMode="External"/><Relationship Id="rId1060" Type="http://schemas.openxmlformats.org/officeDocument/2006/relationships/hyperlink" Target="https://pyramidmass.bandcamp.com/album/gargling-rot" TargetMode="External"/><Relationship Id="rId2391" Type="http://schemas.openxmlformats.org/officeDocument/2006/relationships/hyperlink" Target="https://open.spotify.com/album/0RBQLJG6MnuE3ufIvxTr8F?si=sJXvQkebRqK1d4_gnsYPqQ" TargetMode="External"/><Relationship Id="rId1061" Type="http://schemas.openxmlformats.org/officeDocument/2006/relationships/hyperlink" Target="https://chiasmatheband.bandcamp.com/album/reaches" TargetMode="External"/><Relationship Id="rId2392" Type="http://schemas.openxmlformats.org/officeDocument/2006/relationships/hyperlink" Target="https://www.youtube.com/watch?v=as2Hwd3n1qA" TargetMode="External"/><Relationship Id="rId231" Type="http://schemas.openxmlformats.org/officeDocument/2006/relationships/hyperlink" Target="https://open.spotify.com/album/2tiPdn9HtaGefCFu3qwRXs?si=hMHe3eJYRLanN4MPsvL_gg" TargetMode="External"/><Relationship Id="rId1062" Type="http://schemas.openxmlformats.org/officeDocument/2006/relationships/hyperlink" Target="https://sculforge.bandcamp.com/album/cosmic-crusade-chronicles" TargetMode="External"/><Relationship Id="rId2393" Type="http://schemas.openxmlformats.org/officeDocument/2006/relationships/hyperlink" Target="https://diagonalpath.bandcamp.com/album/this-was-an-ocean" TargetMode="External"/><Relationship Id="rId230" Type="http://schemas.openxmlformats.org/officeDocument/2006/relationships/hyperlink" Target="https://stellarfrequencies.bandcamp.com/album/soaring" TargetMode="External"/><Relationship Id="rId1063" Type="http://schemas.openxmlformats.org/officeDocument/2006/relationships/hyperlink" Target="https://www.youtube.com/watch?v=1Iait2Rv-PE" TargetMode="External"/><Relationship Id="rId2394" Type="http://schemas.openxmlformats.org/officeDocument/2006/relationships/hyperlink" Target="https://open.spotify.com/album/42JjPY6972gO8FXbzzfPsP?si=gcbb9dyVRvOF3HezAdjGDg" TargetMode="External"/><Relationship Id="rId1064" Type="http://schemas.openxmlformats.org/officeDocument/2006/relationships/hyperlink" Target="https://sergeantthunderhoof.bandcamp.com/album/avon-calling" TargetMode="External"/><Relationship Id="rId2395" Type="http://schemas.openxmlformats.org/officeDocument/2006/relationships/hyperlink" Target="https://giantsknife1.bandcamp.com/album/at-the-end-of-all-things" TargetMode="External"/><Relationship Id="rId1065" Type="http://schemas.openxmlformats.org/officeDocument/2006/relationships/hyperlink" Target="https://official54band.bandcamp.com/album/xx" TargetMode="External"/><Relationship Id="rId2396" Type="http://schemas.openxmlformats.org/officeDocument/2006/relationships/hyperlink" Target="https://open.spotify.com/album/37HzH0ptxADEOeei4xbyKo?si=gxq2SLCoR8OmQXxnWZN3Aw" TargetMode="External"/><Relationship Id="rId235" Type="http://schemas.openxmlformats.org/officeDocument/2006/relationships/hyperlink" Target="https://vomitriste.bandcamp.com/album/black-abyss-invocation" TargetMode="External"/><Relationship Id="rId1066" Type="http://schemas.openxmlformats.org/officeDocument/2006/relationships/hyperlink" Target="https://www.youtube.com/watch?v=ASYVlv0iNok" TargetMode="External"/><Relationship Id="rId2397" Type="http://schemas.openxmlformats.org/officeDocument/2006/relationships/hyperlink" Target="https://stortregn.bandcamp.com/album/one-eternal-ep" TargetMode="External"/><Relationship Id="rId234" Type="http://schemas.openxmlformats.org/officeDocument/2006/relationships/hyperlink" Target="https://open.spotify.com/album/4FcMYCu1Bs6fpOrSFlLEFE?si=DrwXwv4GQRy-TeqKeTJbKQ" TargetMode="External"/><Relationship Id="rId1067" Type="http://schemas.openxmlformats.org/officeDocument/2006/relationships/hyperlink" Target="https://avenc.bandcamp.com/album/p-stums" TargetMode="External"/><Relationship Id="rId2398" Type="http://schemas.openxmlformats.org/officeDocument/2006/relationships/hyperlink" Target="https://open.spotify.com/album/3CnIvlP3s56KU6mE3Kiq17?si=205gvNdRQL-UUzoV9hUsIQ" TargetMode="External"/><Relationship Id="rId233" Type="http://schemas.openxmlformats.org/officeDocument/2006/relationships/hyperlink" Target="https://holls.bandcamp.com/album/ill" TargetMode="External"/><Relationship Id="rId1068" Type="http://schemas.openxmlformats.org/officeDocument/2006/relationships/hyperlink" Target="https://secretcutter.bandcamp.com/album/-" TargetMode="External"/><Relationship Id="rId2399" Type="http://schemas.openxmlformats.org/officeDocument/2006/relationships/hyperlink" Target="https://battlesnakeband.bandcamp.com/album/dawn-of-the-exultants-and-the-hunt-for-the-shepherd" TargetMode="External"/><Relationship Id="rId232" Type="http://schemas.openxmlformats.org/officeDocument/2006/relationships/hyperlink" Target="https://breathsunboneblood.bandcamp.com/album/primeval-2" TargetMode="External"/><Relationship Id="rId1069" Type="http://schemas.openxmlformats.org/officeDocument/2006/relationships/hyperlink" Target="https://open.spotify.com/album/5byTzdEdfdHp5RQwH46kji?si=M5nED8W2TpW7gXTcBA6GrQ" TargetMode="External"/><Relationship Id="rId1015" Type="http://schemas.openxmlformats.org/officeDocument/2006/relationships/hyperlink" Target="https://open.spotify.com/album/3c39vubVoELc5402PKlvEK?si=6XtsSUQrSPuBTM-NNSV86g" TargetMode="External"/><Relationship Id="rId2346" Type="http://schemas.openxmlformats.org/officeDocument/2006/relationships/hyperlink" Target="https://open.spotify.com/album/2AeR1fwv8q6ocY1FAjShdB?si=jc8J15L_R5-kfOQeRL74OQ" TargetMode="External"/><Relationship Id="rId3678" Type="http://schemas.openxmlformats.org/officeDocument/2006/relationships/hyperlink" Target="https://open.spotify.com/album/4a79W8RSKsy6ZyZNrQzT3m?si=-XKJw-ADRi2jrDFzAFlmRw" TargetMode="External"/><Relationship Id="rId1016" Type="http://schemas.openxmlformats.org/officeDocument/2006/relationships/hyperlink" Target="https://deha.bandcamp.com/album/nethermost-absolute-comfort" TargetMode="External"/><Relationship Id="rId2347" Type="http://schemas.openxmlformats.org/officeDocument/2006/relationships/hyperlink" Target="https://goath-vanrecords.bandcamp.com/album/goath-iv-silencing-the-prophets-of-deceit" TargetMode="External"/><Relationship Id="rId3677" Type="http://schemas.openxmlformats.org/officeDocument/2006/relationships/hyperlink" Target="https://novembersdoom1989.bandcamp.com/album/major-arcana" TargetMode="External"/><Relationship Id="rId1017" Type="http://schemas.openxmlformats.org/officeDocument/2006/relationships/hyperlink" Target="https://open.spotify.com/album/5Y8MlakddHscpBq0Pxu5lY?si=vjmIWd-sSTW0mPzXWWwZdw" TargetMode="External"/><Relationship Id="rId2348" Type="http://schemas.openxmlformats.org/officeDocument/2006/relationships/hyperlink" Target="https://open.spotify.com/album/23kjq7jc9eoEtwPzyWgNFT?si=ePbEk0n4TtWHPdy9j8vadg" TargetMode="External"/><Relationship Id="rId1018" Type="http://schemas.openxmlformats.org/officeDocument/2006/relationships/hyperlink" Target="https://www.youtube.com/watch?v=LEVaeYKu_Wc" TargetMode="External"/><Relationship Id="rId2349" Type="http://schemas.openxmlformats.org/officeDocument/2006/relationships/hyperlink" Target="https://zigzags.bandcamp.com/album/deadbeat-at-dawn" TargetMode="External"/><Relationship Id="rId3679" Type="http://schemas.openxmlformats.org/officeDocument/2006/relationships/hyperlink" Target="https://newworlddepression.bandcamp.com/album/abysmal-void" TargetMode="External"/><Relationship Id="rId1019" Type="http://schemas.openxmlformats.org/officeDocument/2006/relationships/hyperlink" Target="https://moonlitmonolith.bandcamp.com/album/no-space-to-grow" TargetMode="External"/><Relationship Id="rId3670" Type="http://schemas.openxmlformats.org/officeDocument/2006/relationships/hyperlink" Target="https://castlerat.bandcamp.com/album/the-bestiary" TargetMode="External"/><Relationship Id="rId2340" Type="http://schemas.openxmlformats.org/officeDocument/2006/relationships/hyperlink" Target="https://www.youtube.com/watch?v=oV1H9qXFGfw" TargetMode="External"/><Relationship Id="rId3672" Type="http://schemas.openxmlformats.org/officeDocument/2006/relationships/hyperlink" Target="https://paradiselostofficial.bandcamp.com/album/ascension" TargetMode="External"/><Relationship Id="rId1010" Type="http://schemas.openxmlformats.org/officeDocument/2006/relationships/hyperlink" Target="https://open.spotify.com/album/7Ey5R3vEO53LPfuhIjhPa8?si=hPhIDzwETn-jcLAI6JkE0Q" TargetMode="External"/><Relationship Id="rId2341" Type="http://schemas.openxmlformats.org/officeDocument/2006/relationships/hyperlink" Target="https://edgedcircleproductions.bandcamp.com/album/kur" TargetMode="External"/><Relationship Id="rId3671" Type="http://schemas.openxmlformats.org/officeDocument/2006/relationships/hyperlink" Target="https://open.spotify.com/album/2P4EZTQfqkw1iUyoMH72nw?si=Go0PLhx-RKm4RkUr3dGH_A" TargetMode="External"/><Relationship Id="rId1011" Type="http://schemas.openxmlformats.org/officeDocument/2006/relationships/hyperlink" Target="https://www.youtube.com/watch?v=sXCcpW3iPM0" TargetMode="External"/><Relationship Id="rId2342" Type="http://schemas.openxmlformats.org/officeDocument/2006/relationships/hyperlink" Target="https://open.spotify.com/album/69ubIKjSelz2zBiKR3CMv3?si=MBnpri_zSoS_kostkJTwag" TargetMode="External"/><Relationship Id="rId3674" Type="http://schemas.openxmlformats.org/officeDocument/2006/relationships/hyperlink" Target="https://abyssalis-label.bandcamp.com/album/adaptation" TargetMode="External"/><Relationship Id="rId1012" Type="http://schemas.openxmlformats.org/officeDocument/2006/relationships/hyperlink" Target="https://depraver.bandcamp.com/album/necrocryptic-obliteration" TargetMode="External"/><Relationship Id="rId2343" Type="http://schemas.openxmlformats.org/officeDocument/2006/relationships/hyperlink" Target="https://svartvinter.bandcamp.com/album/isvind" TargetMode="External"/><Relationship Id="rId3673" Type="http://schemas.openxmlformats.org/officeDocument/2006/relationships/hyperlink" Target="https://open.spotify.com/album/7H732EUjLKsi8M8kfdWd57?si=rG4HM31KRPi5lqjMU--hTg" TargetMode="External"/><Relationship Id="rId1013" Type="http://schemas.openxmlformats.org/officeDocument/2006/relationships/hyperlink" Target="https://open.spotify.com/album/3ATfttSlJrjbax5AgCqu36?si=Rp-rAWb_RlKBT49HFWJpew" TargetMode="External"/><Relationship Id="rId2344" Type="http://schemas.openxmlformats.org/officeDocument/2006/relationships/hyperlink" Target="https://open.spotify.com/album/1PkuuD1POy7t5xJHoYVvZB?si=LcG3xPQxTdOTl6ocuzziGg" TargetMode="External"/><Relationship Id="rId3676" Type="http://schemas.openxmlformats.org/officeDocument/2006/relationships/hyperlink" Target="https://www.youtube.com/watch?v=BUiZ1DJsPQ8" TargetMode="External"/><Relationship Id="rId1014" Type="http://schemas.openxmlformats.org/officeDocument/2006/relationships/hyperlink" Target="https://hpgd.bandcamp.com/album/besides" TargetMode="External"/><Relationship Id="rId2345" Type="http://schemas.openxmlformats.org/officeDocument/2006/relationships/hyperlink" Target="https://diesectau.bandcamp.com/album/hide-from-the-light" TargetMode="External"/><Relationship Id="rId3675" Type="http://schemas.openxmlformats.org/officeDocument/2006/relationships/hyperlink" Target="https://open.spotify.com/album/3B3GxrNlrONdfarNjOiWhH?si=7Cyc7-jNRKu2l7Bfe8FoFw" TargetMode="External"/><Relationship Id="rId1004" Type="http://schemas.openxmlformats.org/officeDocument/2006/relationships/hyperlink" Target="https://open.spotify.com/album/1zrXOMv7IFXqK0yt41XLcc?si=u-fYcWBQQCe49DhfPHmNXw" TargetMode="External"/><Relationship Id="rId2335" Type="http://schemas.openxmlformats.org/officeDocument/2006/relationships/hyperlink" Target="https://open.spotify.com/album/5cujyAlYGxnPVJRu2O6I7V?si=4KJ0JwlMTcuP5lSTCNyD_A" TargetMode="External"/><Relationship Id="rId3667" Type="http://schemas.openxmlformats.org/officeDocument/2006/relationships/hyperlink" Target="https://heretoir.bandcamp.com/album/solastalgia" TargetMode="External"/><Relationship Id="rId1005" Type="http://schemas.openxmlformats.org/officeDocument/2006/relationships/hyperlink" Target="https://www.youtube.com/watch?v=RxrTUFb8bMY" TargetMode="External"/><Relationship Id="rId2336" Type="http://schemas.openxmlformats.org/officeDocument/2006/relationships/hyperlink" Target="https://www.youtube.com/watch?v=LEPv_2v0zdY" TargetMode="External"/><Relationship Id="rId3666" Type="http://schemas.openxmlformats.org/officeDocument/2006/relationships/hyperlink" Target="https://open.spotify.com/album/0ZD43Iey2ZYLqIYuuxFDXH?si=60-n7S1xSd6n4ibflm7qAA" TargetMode="External"/><Relationship Id="rId1006" Type="http://schemas.openxmlformats.org/officeDocument/2006/relationships/hyperlink" Target="https://heathenthrash.bandcamp.com/album/bleed-the-world-live" TargetMode="External"/><Relationship Id="rId2337" Type="http://schemas.openxmlformats.org/officeDocument/2006/relationships/hyperlink" Target="https://furnacesweden.bandcamp.com/album/eternally-enthroned" TargetMode="External"/><Relationship Id="rId3669" Type="http://schemas.openxmlformats.org/officeDocument/2006/relationships/hyperlink" Target="https://www.youtube.com/watch?v=hJ9ZXXVEZ5w" TargetMode="External"/><Relationship Id="rId1007" Type="http://schemas.openxmlformats.org/officeDocument/2006/relationships/hyperlink" Target="https://open.spotify.com/album/1oWzmw9axS6lf9OuqMgtJf?si=AcQ_YPm-SVe0j7oZMXfbKg" TargetMode="External"/><Relationship Id="rId2338" Type="http://schemas.openxmlformats.org/officeDocument/2006/relationships/hyperlink" Target="https://everlastingspew.bandcamp.com/album/ultimo-mondo-cane" TargetMode="External"/><Relationship Id="rId3668" Type="http://schemas.openxmlformats.org/officeDocument/2006/relationships/hyperlink" Target="https://open.spotify.com/album/0PDqDit36F21mqcEp5STVC?si=CcMtcf7iTDOIuFdB_rjdvQ" TargetMode="External"/><Relationship Id="rId1008" Type="http://schemas.openxmlformats.org/officeDocument/2006/relationships/hyperlink" Target="https://dusktone.bandcamp.com/album/wolves-of-the-underworld" TargetMode="External"/><Relationship Id="rId2339" Type="http://schemas.openxmlformats.org/officeDocument/2006/relationships/hyperlink" Target="https://open.spotify.com/album/4M87QKfbhhN2mFMfABTL4U?si=SAu2o_gRQqa_VNmVgcKmAg" TargetMode="External"/><Relationship Id="rId1009" Type="http://schemas.openxmlformats.org/officeDocument/2006/relationships/hyperlink" Target="https://ciconia.bandcamp.com/album/synaesthetic-garbage" TargetMode="External"/><Relationship Id="rId3661" Type="http://schemas.openxmlformats.org/officeDocument/2006/relationships/hyperlink" Target="https://nexion.bandcamp.com/album/sundrung" TargetMode="External"/><Relationship Id="rId2330" Type="http://schemas.openxmlformats.org/officeDocument/2006/relationships/hyperlink" Target="https://cwfen.bandcamp.com/album/sorrows" TargetMode="External"/><Relationship Id="rId3660" Type="http://schemas.openxmlformats.org/officeDocument/2006/relationships/hyperlink" Target="https://www.youtube.com/watch?v=Ir_Ky7HfS9w" TargetMode="External"/><Relationship Id="rId1000" Type="http://schemas.openxmlformats.org/officeDocument/2006/relationships/hyperlink" Target="https://everlastingspew.bandcamp.com/album/tales-from-the-entrails-a-necrology" TargetMode="External"/><Relationship Id="rId2331" Type="http://schemas.openxmlformats.org/officeDocument/2006/relationships/hyperlink" Target="https://open.spotify.com/album/1YhBRekUsokZNiAuC1yzF5?si=Ng8tTQ3jQAqTiFYk6HCrFw" TargetMode="External"/><Relationship Id="rId3663" Type="http://schemas.openxmlformats.org/officeDocument/2006/relationships/hyperlink" Target="https://iprevail.bandcamp.com/album/violent-nature" TargetMode="External"/><Relationship Id="rId1001" Type="http://schemas.openxmlformats.org/officeDocument/2006/relationships/hyperlink" Target="https://open.spotify.com/album/3XsLZYp4vm7aveEvw8qunP?si=OsO5uzzlQL2V1nimB-1itg" TargetMode="External"/><Relationship Id="rId2332" Type="http://schemas.openxmlformats.org/officeDocument/2006/relationships/hyperlink" Target="https://lordvigo.bandcamp.com/album/walk-the-shadows" TargetMode="External"/><Relationship Id="rId3662" Type="http://schemas.openxmlformats.org/officeDocument/2006/relationships/hyperlink" Target="https://open.spotify.com/album/1f1keXUeTyNK7zhb1lp7l3?si=7_NAtLIWRjm9I9G-LtS32A" TargetMode="External"/><Relationship Id="rId1002" Type="http://schemas.openxmlformats.org/officeDocument/2006/relationships/hyperlink" Target="https://www.youtube.com/watch?v=JqrRCDL5wog" TargetMode="External"/><Relationship Id="rId2333" Type="http://schemas.openxmlformats.org/officeDocument/2006/relationships/hyperlink" Target="https://www.youtube.com/watch?v=ksD6oGK4yck" TargetMode="External"/><Relationship Id="rId3665" Type="http://schemas.openxmlformats.org/officeDocument/2006/relationships/hyperlink" Target="https://purenoise.bandcamp.com/album/join-us-in-creating-excellence" TargetMode="External"/><Relationship Id="rId1003" Type="http://schemas.openxmlformats.org/officeDocument/2006/relationships/hyperlink" Target="https://thesanhedrin.bandcamp.com/album/heat-lightning" TargetMode="External"/><Relationship Id="rId2334" Type="http://schemas.openxmlformats.org/officeDocument/2006/relationships/hyperlink" Target="https://puteraeon.bandcamp.com/album/mountains-of-madness" TargetMode="External"/><Relationship Id="rId3664" Type="http://schemas.openxmlformats.org/officeDocument/2006/relationships/hyperlink" Target="https://open.spotify.com/album/7r72bICF1RIxeNOKCGDP6U?si=po-3Eb5SQIqrv8M9z1C4Ng" TargetMode="External"/><Relationship Id="rId1037" Type="http://schemas.openxmlformats.org/officeDocument/2006/relationships/hyperlink" Target="https://aneveningwithknives.bandcamp.com/album/end-of-time" TargetMode="External"/><Relationship Id="rId2368" Type="http://schemas.openxmlformats.org/officeDocument/2006/relationships/hyperlink" Target="https://hexecutioner.bandcamp.com/album/tornit" TargetMode="External"/><Relationship Id="rId1038" Type="http://schemas.openxmlformats.org/officeDocument/2006/relationships/hyperlink" Target="https://open.spotify.com/album/1OKh82NA7ERwxwDKAd2mkZ?si=kgeVtKvRS6uGJtB1C1Na2A" TargetMode="External"/><Relationship Id="rId2369" Type="http://schemas.openxmlformats.org/officeDocument/2006/relationships/hyperlink" Target="https://open.spotify.com/album/6w0K8UCy3CykYza6FmuVOl?si=N7JkqeiXRcym7phYq2oBIA" TargetMode="External"/><Relationship Id="rId3699" Type="http://schemas.openxmlformats.org/officeDocument/2006/relationships/hyperlink" Target="https://voicesofkamra.bandcamp.com/album/unending-confluence" TargetMode="External"/><Relationship Id="rId1039" Type="http://schemas.openxmlformats.org/officeDocument/2006/relationships/hyperlink" Target="https://midnightjazzclub.bandcamp.com/album/obelisks" TargetMode="External"/><Relationship Id="rId206" Type="http://schemas.openxmlformats.org/officeDocument/2006/relationships/hyperlink" Target="https://www.youtube.com/watch?v=eFgMMcMda34" TargetMode="External"/><Relationship Id="rId205" Type="http://schemas.openxmlformats.org/officeDocument/2006/relationships/hyperlink" Target="https://open.spotify.com/album/2TiTDPRk9YKdVGIPfXWugf?si=Px7H5NpkTNG_wk6HWqDfKA" TargetMode="External"/><Relationship Id="rId204" Type="http://schemas.openxmlformats.org/officeDocument/2006/relationships/hyperlink" Target="https://discordantmeditation.bandcamp.com/album/tragic-creature" TargetMode="External"/><Relationship Id="rId203" Type="http://schemas.openxmlformats.org/officeDocument/2006/relationships/hyperlink" Target="https://open.spotify.com/album/0uRs2DSAPk24VuikJ3shO1?si=RYC6lg_YS7-nxFiOWj6zyw" TargetMode="External"/><Relationship Id="rId209" Type="http://schemas.openxmlformats.org/officeDocument/2006/relationships/hyperlink" Target="https://aterre.bandcamp.com/album/embrasser-la-nuit" TargetMode="External"/><Relationship Id="rId208" Type="http://schemas.openxmlformats.org/officeDocument/2006/relationships/hyperlink" Target="https://open.spotify.com/album/2DctGAc27CFZd5vspQH4wR?si=2weM5UaySEC_Q4zthZFpTg" TargetMode="External"/><Relationship Id="rId3690" Type="http://schemas.openxmlformats.org/officeDocument/2006/relationships/hyperlink" Target="https://vittraofficial.bandcamp.com/album/intense-indifference" TargetMode="External"/><Relationship Id="rId207" Type="http://schemas.openxmlformats.org/officeDocument/2006/relationships/hyperlink" Target="https://corrodingsoul.bandcamp.com/album/corroding-soul" TargetMode="External"/><Relationship Id="rId2360" Type="http://schemas.openxmlformats.org/officeDocument/2006/relationships/hyperlink" Target="https://open.spotify.com/album/2dhiA1JyCvAQZ50SZ0xHHv?si=R5J9fkh8SXuW1zLSffOUpQ" TargetMode="External"/><Relationship Id="rId3692" Type="http://schemas.openxmlformats.org/officeDocument/2006/relationships/hyperlink" Target="https://dyingvictimsproductions.bandcamp.com/album/violence" TargetMode="External"/><Relationship Id="rId1030" Type="http://schemas.openxmlformats.org/officeDocument/2006/relationships/hyperlink" Target="https://alzhagoth.bandcamp.com/album/ad-finem" TargetMode="External"/><Relationship Id="rId2361" Type="http://schemas.openxmlformats.org/officeDocument/2006/relationships/hyperlink" Target="https://surunaamio.bandcamp.com/album/surunaamio" TargetMode="External"/><Relationship Id="rId3691" Type="http://schemas.openxmlformats.org/officeDocument/2006/relationships/hyperlink" Target="https://open.spotify.com/album/7pUmo43nY4NCnVfz5Cn2Ba?si=09RNyeNLQRiKoIhscg6UZQ" TargetMode="External"/><Relationship Id="rId1031" Type="http://schemas.openxmlformats.org/officeDocument/2006/relationships/hyperlink" Target="https://open.spotify.com/album/16nADZpOcj59C39I7MNOLI?si=PykFM-7PRmmCi71HoZJyLw" TargetMode="External"/><Relationship Id="rId2362" Type="http://schemas.openxmlformats.org/officeDocument/2006/relationships/hyperlink" Target="https://open.spotify.com/album/5UlOmvk6jZ7ulzMJIcG0QZ?si=rF8OSN8FQ76AWVkTmZ8u0A" TargetMode="External"/><Relationship Id="rId3694" Type="http://schemas.openxmlformats.org/officeDocument/2006/relationships/hyperlink" Target="https://akillersconfession.bandcamp.com/album/victim-2" TargetMode="External"/><Relationship Id="rId1032" Type="http://schemas.openxmlformats.org/officeDocument/2006/relationships/hyperlink" Target="https://pulverised.bandcamp.com/album/beyond-the-abyss" TargetMode="External"/><Relationship Id="rId2363" Type="http://schemas.openxmlformats.org/officeDocument/2006/relationships/hyperlink" Target="https://www.youtube.com/watch?v=fjoOveY6jFM" TargetMode="External"/><Relationship Id="rId3693" Type="http://schemas.openxmlformats.org/officeDocument/2006/relationships/hyperlink" Target="https://open.spotify.com/album/5xKggxwKyZLGvZr8rw6bZ3?si=di6knVAKSEmU9drI8i-Wew" TargetMode="External"/><Relationship Id="rId202" Type="http://schemas.openxmlformats.org/officeDocument/2006/relationships/hyperlink" Target="https://havennoise.bandcamp.com/album/causes" TargetMode="External"/><Relationship Id="rId1033" Type="http://schemas.openxmlformats.org/officeDocument/2006/relationships/hyperlink" Target="https://open.spotify.com/album/7crhEblnalRrZckGS0gybS?si=o_qZ1NYvSo62twz6C4_nmw" TargetMode="External"/><Relationship Id="rId2364" Type="http://schemas.openxmlformats.org/officeDocument/2006/relationships/hyperlink" Target="https://butcherbird.bandcamp.com/album/drought-deluge" TargetMode="External"/><Relationship Id="rId3696" Type="http://schemas.openxmlformats.org/officeDocument/2006/relationships/hyperlink" Target="https://krigsgrav.bandcamp.com/album/stormcaller" TargetMode="External"/><Relationship Id="rId201" Type="http://schemas.openxmlformats.org/officeDocument/2006/relationships/hyperlink" Target="https://www.youtube.com/watch?v=_WIlAaIikqc" TargetMode="External"/><Relationship Id="rId1034" Type="http://schemas.openxmlformats.org/officeDocument/2006/relationships/hyperlink" Target="https://www.youtube.com/watch?v=UiOIIlLkMjQ" TargetMode="External"/><Relationship Id="rId2365" Type="http://schemas.openxmlformats.org/officeDocument/2006/relationships/hyperlink" Target="https://open.spotify.com/album/0d6Jde8JcxbsJQOaeW7HMo?si=iVpTDKOaRHmLtnyVqNnT5A" TargetMode="External"/><Relationship Id="rId3695" Type="http://schemas.openxmlformats.org/officeDocument/2006/relationships/hyperlink" Target="https://open.spotify.com/album/0HIqEvLY3qM1W2ZM5Iqa0g?si=ygMBR7oPTwKn06BGxjsK8Q" TargetMode="External"/><Relationship Id="rId200" Type="http://schemas.openxmlformats.org/officeDocument/2006/relationships/hyperlink" Target="https://open.spotify.com/album/2Ek9iZN9Tec0cJSNsdQEdf?si=pu77XHk_QXuqwSthStxR1w" TargetMode="External"/><Relationship Id="rId1035" Type="http://schemas.openxmlformats.org/officeDocument/2006/relationships/hyperlink" Target="https://seth-thall.bandcamp.com/album/the-schism" TargetMode="External"/><Relationship Id="rId2366" Type="http://schemas.openxmlformats.org/officeDocument/2006/relationships/hyperlink" Target="https://aconitum.bandcamp.com/album/monkshood" TargetMode="External"/><Relationship Id="rId3698" Type="http://schemas.openxmlformats.org/officeDocument/2006/relationships/hyperlink" Target="https://www.youtube.com/watch?v=6JXdXrUdjgw" TargetMode="External"/><Relationship Id="rId1036" Type="http://schemas.openxmlformats.org/officeDocument/2006/relationships/hyperlink" Target="https://open.spotify.com/album/2NU7A8n2Rmipj1jZX9Y8ah?si=RgKZI12WTGOBwOsk1MiFOQ" TargetMode="External"/><Relationship Id="rId2367" Type="http://schemas.openxmlformats.org/officeDocument/2006/relationships/hyperlink" Target="https://open.spotify.com/album/6TFzjCVPldIR9YJC4ChvEi?si=Hx7V1mJWTFyaxJN-Qae13A" TargetMode="External"/><Relationship Id="rId3697" Type="http://schemas.openxmlformats.org/officeDocument/2006/relationships/hyperlink" Target="https://open.spotify.com/album/2Y8t0w6meJpG24l8essSuz?si=5MShFwUiR1acPvRbjGymaA" TargetMode="External"/><Relationship Id="rId1026" Type="http://schemas.openxmlformats.org/officeDocument/2006/relationships/hyperlink" Target="https://open.spotify.com/album/6mHTEYuJlEPFF2PWCS3EVB?si=menvw_sKTNqsY2PN6Jrm6A" TargetMode="External"/><Relationship Id="rId2357" Type="http://schemas.openxmlformats.org/officeDocument/2006/relationships/hyperlink" Target="https://iodinerecordings.bandcamp.com/album/a-malign-star" TargetMode="External"/><Relationship Id="rId3689" Type="http://schemas.openxmlformats.org/officeDocument/2006/relationships/hyperlink" Target="https://open.spotify.com/album/6NxWNmkhUNaSbkdC4FhrOR?si=5EpCc07YRHStMQNcQaFIZw" TargetMode="External"/><Relationship Id="rId1027" Type="http://schemas.openxmlformats.org/officeDocument/2006/relationships/hyperlink" Target="https://www.youtube.com/watch?v=-cTpB7_uI7Y" TargetMode="External"/><Relationship Id="rId2358" Type="http://schemas.openxmlformats.org/officeDocument/2006/relationships/hyperlink" Target="https://open.spotify.com/album/4YBL7hpMIAWjo5iKVv0DtA?si=z1dlf5x_R6CkYIWjbSkdYw" TargetMode="External"/><Relationship Id="rId3688" Type="http://schemas.openxmlformats.org/officeDocument/2006/relationships/hyperlink" Target="https://dyingvictimsproductions.bandcamp.com/album/for-centuries-alive" TargetMode="External"/><Relationship Id="rId1028" Type="http://schemas.openxmlformats.org/officeDocument/2006/relationships/hyperlink" Target="https://eisbrecher.bandcamp.com/album/kaltfront" TargetMode="External"/><Relationship Id="rId2359" Type="http://schemas.openxmlformats.org/officeDocument/2006/relationships/hyperlink" Target="https://weareblisterer.bandcamp.com/album/blisterer" TargetMode="External"/><Relationship Id="rId1029" Type="http://schemas.openxmlformats.org/officeDocument/2006/relationships/hyperlink" Target="https://open.spotify.com/album/63WMrq2fmrnhKRvvQva8uY?si=KbJzLdKpQNqdHZkGVl1R1A" TargetMode="External"/><Relationship Id="rId3681" Type="http://schemas.openxmlformats.org/officeDocument/2006/relationships/hyperlink" Target="https://www.youtube.com/watch?v=r_y6l1k4sM0" TargetMode="External"/><Relationship Id="rId2350" Type="http://schemas.openxmlformats.org/officeDocument/2006/relationships/hyperlink" Target="https://open.spotify.com/album/2KXHWt9qwY435NItSEZydJ?si=jX-3afnbT5ezgmSxYvDpOA" TargetMode="External"/><Relationship Id="rId3680" Type="http://schemas.openxmlformats.org/officeDocument/2006/relationships/hyperlink" Target="https://open.spotify.com/album/1ceff7XfkuWwu6y2s3cW9U?si=ciSQp0GLT8aLi1SAI8PsMw" TargetMode="External"/><Relationship Id="rId1020" Type="http://schemas.openxmlformats.org/officeDocument/2006/relationships/hyperlink" Target="https://open.spotify.com/album/1JhEISn9dxYtF3aTjR69gT?si=HrhBPIUoTcGNfigqcoHwQQ" TargetMode="External"/><Relationship Id="rId2351" Type="http://schemas.openxmlformats.org/officeDocument/2006/relationships/hyperlink" Target="https://darkdescentrecords.bandcamp.com/album/sig-n-rmer-d-den" TargetMode="External"/><Relationship Id="rId3683" Type="http://schemas.openxmlformats.org/officeDocument/2006/relationships/hyperlink" Target="https://open.spotify.com/album/3Z3jBKhGEBX8axYEDfqhTX?si=_ImIqwaPR2GfzAgyIUkysA" TargetMode="External"/><Relationship Id="rId1021" Type="http://schemas.openxmlformats.org/officeDocument/2006/relationships/hyperlink" Target="https://cepheide.bandcamp.com/album/exauce" TargetMode="External"/><Relationship Id="rId2352" Type="http://schemas.openxmlformats.org/officeDocument/2006/relationships/hyperlink" Target="https://open.spotify.com/album/0sg3Vn5yMW86qlE1I1tW2S?si=WgtKAAdfRouDSRKr12OmIg" TargetMode="External"/><Relationship Id="rId3682" Type="http://schemas.openxmlformats.org/officeDocument/2006/relationships/hyperlink" Target="https://igorrr.bandcamp.com/album/amen" TargetMode="External"/><Relationship Id="rId1022" Type="http://schemas.openxmlformats.org/officeDocument/2006/relationships/hyperlink" Target="https://open.spotify.com/album/1bKIW1yPagd7Spt1VFZUMS?si=MfKo1VqwQpaJ7ycrDsAzQQ" TargetMode="External"/><Relationship Id="rId2353" Type="http://schemas.openxmlformats.org/officeDocument/2006/relationships/hyperlink" Target="https://www.youtube.com/watch?v=83w9B48ai5k" TargetMode="External"/><Relationship Id="rId3685" Type="http://schemas.openxmlformats.org/officeDocument/2006/relationships/hyperlink" Target="https://open.spotify.com/album/1AEmC9xd80b3jAgEUEVeuf?si=-dWiigtmQUiY_zWfEeZ0zw" TargetMode="External"/><Relationship Id="rId1023" Type="http://schemas.openxmlformats.org/officeDocument/2006/relationships/hyperlink" Target="https://monnaslow.bandcamp.com/album/formed-in-fractures" TargetMode="External"/><Relationship Id="rId2354" Type="http://schemas.openxmlformats.org/officeDocument/2006/relationships/hyperlink" Target="https://darkdescentrecords.bandcamp.com/album/uendelig-begravelsesmarch" TargetMode="External"/><Relationship Id="rId3684" Type="http://schemas.openxmlformats.org/officeDocument/2006/relationships/hyperlink" Target="https://meridiandk.bandcamp.com/album/meridian" TargetMode="External"/><Relationship Id="rId1024" Type="http://schemas.openxmlformats.org/officeDocument/2006/relationships/hyperlink" Target="https://open.spotify.com/album/2pxpzmBHQOR3JjHMmJ7FpV?si=omVZoauXQdWCgHxoMmIsQg" TargetMode="External"/><Relationship Id="rId2355" Type="http://schemas.openxmlformats.org/officeDocument/2006/relationships/hyperlink" Target="https://open.spotify.com/album/2bw0mbSB3TaaCLqJl4xlbU?si=YtXhADR4SuSw9wN-C8ZYUA" TargetMode="External"/><Relationship Id="rId3687" Type="http://schemas.openxmlformats.org/officeDocument/2006/relationships/hyperlink" Target="https://open.spotify.com/album/64NbaAV9gbtzWpheri3dJz?si=LvonZ9pfRDuSXF1uJGqtCw" TargetMode="External"/><Relationship Id="rId1025" Type="http://schemas.openxmlformats.org/officeDocument/2006/relationships/hyperlink" Target="https://aurafragment.bandcamp.com/album/aura-fragment-ii" TargetMode="External"/><Relationship Id="rId2356" Type="http://schemas.openxmlformats.org/officeDocument/2006/relationships/hyperlink" Target="https://www.youtube.com/watch?v=Max6YpKBOmE" TargetMode="External"/><Relationship Id="rId3686" Type="http://schemas.openxmlformats.org/officeDocument/2006/relationships/hyperlink" Target="https://dyingvictimsproductions.bandcamp.com/album/back-home" TargetMode="External"/><Relationship Id="rId4161" Type="http://schemas.openxmlformats.org/officeDocument/2006/relationships/hyperlink" Target="https://open.spotify.com/album/08qFNFQePVAFtx4hHWbarI?si=r62sC9aASEiDrcwC0kchZQ" TargetMode="External"/><Relationship Id="rId4160" Type="http://schemas.openxmlformats.org/officeDocument/2006/relationships/hyperlink" Target="https://theisoscelesproject.bandcamp.com/album/bear-the-torch" TargetMode="External"/><Relationship Id="rId4163" Type="http://schemas.openxmlformats.org/officeDocument/2006/relationships/hyperlink" Target="https://open.spotify.com/album/0ZSqMAfQHz86fFS1VA68WW?si=EJkafSjaQxqTVJzEmLQmhw" TargetMode="External"/><Relationship Id="rId4162" Type="http://schemas.openxmlformats.org/officeDocument/2006/relationships/hyperlink" Target="https://nowivedoneit.bandcamp.com/album/an-ill-guest" TargetMode="External"/><Relationship Id="rId4165" Type="http://schemas.openxmlformats.org/officeDocument/2006/relationships/hyperlink" Target="https://open.spotify.com/album/4CR9x2434pPahZHcIeh2mO?si=QuTM_MomQBu6_o8RkXa7BA" TargetMode="External"/><Relationship Id="rId4164" Type="http://schemas.openxmlformats.org/officeDocument/2006/relationships/hyperlink" Target="https://thrillrot.bandcamp.com/album/thrillrot" TargetMode="External"/><Relationship Id="rId4167" Type="http://schemas.openxmlformats.org/officeDocument/2006/relationships/hyperlink" Target="https://open.spotify.com/album/6ZLneCwm2AawuQSaBpDsHi?si=0LM8PZGEQnSBNP0fvzIymQ" TargetMode="External"/><Relationship Id="rId4166" Type="http://schemas.openxmlformats.org/officeDocument/2006/relationships/hyperlink" Target="https://kaksonen.bandcamp.com/album/valo-olento" TargetMode="External"/><Relationship Id="rId4169" Type="http://schemas.openxmlformats.org/officeDocument/2006/relationships/hyperlink" Target="https://voidofsleep.bandcamp.com/album/the-abyss-into-which-we-all-have-to-stare" TargetMode="External"/><Relationship Id="rId4168" Type="http://schemas.openxmlformats.org/officeDocument/2006/relationships/hyperlink" Target="https://www.youtube.com/watch?v=xdWJ4ksXF6w" TargetMode="External"/><Relationship Id="rId4150" Type="http://schemas.openxmlformats.org/officeDocument/2006/relationships/hyperlink" Target="https://deathhasspoken.bandcamp.com/album/elegy" TargetMode="External"/><Relationship Id="rId4152" Type="http://schemas.openxmlformats.org/officeDocument/2006/relationships/hyperlink" Target="https://www.youtube.com/watch?v=JgSGw62R6RE" TargetMode="External"/><Relationship Id="rId4151" Type="http://schemas.openxmlformats.org/officeDocument/2006/relationships/hyperlink" Target="https://open.spotify.com/album/4NlXjwmUZelm8RSPwp5J76?si=Qip9AT6uSOitEDHfk8E6PA" TargetMode="External"/><Relationship Id="rId4154" Type="http://schemas.openxmlformats.org/officeDocument/2006/relationships/hyperlink" Target="https://open.spotify.com/album/3YtN6VmDEZUzoqu0POodfZ?si=-2_uyDC6TQyak0j6AOyrMA" TargetMode="External"/><Relationship Id="rId4153" Type="http://schemas.openxmlformats.org/officeDocument/2006/relationships/hyperlink" Target="https://graveripper.bandcamp.com/album/from-welkin-to-tundra" TargetMode="External"/><Relationship Id="rId4156" Type="http://schemas.openxmlformats.org/officeDocument/2006/relationships/hyperlink" Target="https://open.spotify.com/album/4lwqGJIAYGQlfc8wBejy6r?si=GLyueRJXTOW4YBJ3FUbb0g" TargetMode="External"/><Relationship Id="rId4155" Type="http://schemas.openxmlformats.org/officeDocument/2006/relationships/hyperlink" Target="https://silenttombs.bandcamp.com/album/mourning-hymns-from-beyond" TargetMode="External"/><Relationship Id="rId4158" Type="http://schemas.openxmlformats.org/officeDocument/2006/relationships/hyperlink" Target="https://open.spotify.com/album/7vtnOxVLeWDrWnYhTjHcOn?si=aXAO_XozTnqIkPQrzKNBuQ" TargetMode="External"/><Relationship Id="rId4157" Type="http://schemas.openxmlformats.org/officeDocument/2006/relationships/hyperlink" Target="https://carachangren.bandcamp.com/album/the-cult-of-kariba" TargetMode="External"/><Relationship Id="rId4159" Type="http://schemas.openxmlformats.org/officeDocument/2006/relationships/hyperlink" Target="https://www.youtube.com/watch?v=VgxmBBXa35o" TargetMode="External"/><Relationship Id="rId1910" Type="http://schemas.openxmlformats.org/officeDocument/2006/relationships/hyperlink" Target="https://open.spotify.com/album/1Shk9tx45TtsiyXupU4HwP?si=xlnufpP7TVm4D08kt1aEfw" TargetMode="External"/><Relationship Id="rId1911" Type="http://schemas.openxmlformats.org/officeDocument/2006/relationships/hyperlink" Target="https://www.youtube.com/watch?v=pxcvxVZYwIg" TargetMode="External"/><Relationship Id="rId1912" Type="http://schemas.openxmlformats.org/officeDocument/2006/relationships/hyperlink" Target="https://fhmrecords.bandcamp.com/album/under-ruins-age-of-the-void" TargetMode="External"/><Relationship Id="rId1913" Type="http://schemas.openxmlformats.org/officeDocument/2006/relationships/hyperlink" Target="https://open.spotify.com/album/6sAKB3HxSzEoRkLr7AIj8a?si=xRxS6OE2TSm-sBumDLSIWA" TargetMode="External"/><Relationship Id="rId1914" Type="http://schemas.openxmlformats.org/officeDocument/2006/relationships/hyperlink" Target="https://transcendance-bm.bandcamp.com/album/alukta-merok" TargetMode="External"/><Relationship Id="rId1915" Type="http://schemas.openxmlformats.org/officeDocument/2006/relationships/hyperlink" Target="https://catalystsymphony.bandcamp.com/album/the-light-inside" TargetMode="External"/><Relationship Id="rId1916" Type="http://schemas.openxmlformats.org/officeDocument/2006/relationships/hyperlink" Target="https://open.spotify.com/album/03YudNlMdEfuAaQHo5cOEH?si=I1sYqJ8ZQ0-QVsFXxU8b0A" TargetMode="External"/><Relationship Id="rId1917" Type="http://schemas.openxmlformats.org/officeDocument/2006/relationships/hyperlink" Target="https://acceptanceleeds.bandcamp.com/album/crucifixion-of-orchids" TargetMode="External"/><Relationship Id="rId1918" Type="http://schemas.openxmlformats.org/officeDocument/2006/relationships/hyperlink" Target="https://open.spotify.com/album/6Z0dr1uVQdddUrBelFR9AQ?si=2xjHsF5qRHeKudXJRS9LxQ" TargetMode="External"/><Relationship Id="rId1919" Type="http://schemas.openxmlformats.org/officeDocument/2006/relationships/hyperlink" Target="https://namebearer.bandcamp.com/album/industries-of-the-fading-sun" TargetMode="External"/><Relationship Id="rId4181" Type="http://schemas.openxmlformats.org/officeDocument/2006/relationships/hyperlink" Target="https://khromaband.bandcamp.com/album/khroma" TargetMode="External"/><Relationship Id="rId4180" Type="http://schemas.openxmlformats.org/officeDocument/2006/relationships/hyperlink" Target="https://open.spotify.com/album/1gISxtTTcfvzjuwWM6C2vZ?si=FbiQmC-3RLWKTM9UEN24dw" TargetMode="External"/><Relationship Id="rId4183" Type="http://schemas.openxmlformats.org/officeDocument/2006/relationships/hyperlink" Target="https://www.youtube.com/watch?v=GGheavzeRK0" TargetMode="External"/><Relationship Id="rId4182" Type="http://schemas.openxmlformats.org/officeDocument/2006/relationships/hyperlink" Target="https://open.spotify.com/album/19o793ymDIL8rC1FAOV9vd?si=opLRqKyOR1eGJXODd-kK4w" TargetMode="External"/><Relationship Id="rId4185" Type="http://schemas.openxmlformats.org/officeDocument/2006/relationships/hyperlink" Target="https://hellbearer.bandcamp.com/album/darker-fates" TargetMode="External"/><Relationship Id="rId4184" Type="http://schemas.openxmlformats.org/officeDocument/2006/relationships/hyperlink" Target="https://aeternia.bandcamp.com/album/into-the-golden-halls" TargetMode="External"/><Relationship Id="rId4187" Type="http://schemas.openxmlformats.org/officeDocument/2006/relationships/hyperlink" Target="https://www.youtube.com/watch?v=LvsydqW6oU4" TargetMode="External"/><Relationship Id="rId4186" Type="http://schemas.openxmlformats.org/officeDocument/2006/relationships/hyperlink" Target="https://open.spotify.com/album/4FMZL6BBUwea61Q2sm1hQ9?si=brIErMkHTHuqHOsjHcYpSA" TargetMode="External"/><Relationship Id="rId4189" Type="http://schemas.openxmlformats.org/officeDocument/2006/relationships/hyperlink" Target="https://open.spotify.com/album/5B5VN66Y87aMISSMywWe5i?si=kPP47_fKTr6weVmxLYmTRg" TargetMode="External"/><Relationship Id="rId4188" Type="http://schemas.openxmlformats.org/officeDocument/2006/relationships/hyperlink" Target="https://erdling.bandcamp.com/album/mana" TargetMode="External"/><Relationship Id="rId1900" Type="http://schemas.openxmlformats.org/officeDocument/2006/relationships/hyperlink" Target="https://open.spotify.com/album/4m1dxpIjLDcziDGMXcCqpF?si=pfFhBkTST-OZPQRWZvQlfA" TargetMode="External"/><Relationship Id="rId1901" Type="http://schemas.openxmlformats.org/officeDocument/2006/relationships/hyperlink" Target="https://open.spotify.com/album/5Y8k73BTYY8bPKCacVI8jW?si=S4P4ucKQTt2L137pdFsT-g" TargetMode="External"/><Relationship Id="rId1902" Type="http://schemas.openxmlformats.org/officeDocument/2006/relationships/hyperlink" Target="https://pyramids-tx.bandcamp.com/album/pythagoras" TargetMode="External"/><Relationship Id="rId1903" Type="http://schemas.openxmlformats.org/officeDocument/2006/relationships/hyperlink" Target="https://open.spotify.com/album/2FPcePdkU5QkMJG2NbU0gk?si=LxgvDZJXTvW3LP5gNSkBsA" TargetMode="External"/><Relationship Id="rId1904" Type="http://schemas.openxmlformats.org/officeDocument/2006/relationships/hyperlink" Target="https://www.youtube.com/watch?v=QQrDAsN_oog" TargetMode="External"/><Relationship Id="rId1905" Type="http://schemas.openxmlformats.org/officeDocument/2006/relationships/hyperlink" Target="https://hertalfr.bandcamp.com/album/crossing-the-illusion" TargetMode="External"/><Relationship Id="rId1906" Type="http://schemas.openxmlformats.org/officeDocument/2006/relationships/hyperlink" Target="https://open.spotify.com/album/1gC8QMnwsgvLAoi8d5DUss?si=ZBa1ppFDTLuCYAglKE5GUg" TargetMode="External"/><Relationship Id="rId1907" Type="http://schemas.openxmlformats.org/officeDocument/2006/relationships/hyperlink" Target="https://yourspiritdies.bandcamp.com/album/my-gnawing-pains-will-never-rest" TargetMode="External"/><Relationship Id="rId1908" Type="http://schemas.openxmlformats.org/officeDocument/2006/relationships/hyperlink" Target="https://open.spotify.com/album/2Xy3Wahrv0UBPYLICk2bIO?si=lf_EiPNKRImJwycKRY7FPw" TargetMode="External"/><Relationship Id="rId1909" Type="http://schemas.openxmlformats.org/officeDocument/2006/relationships/hyperlink" Target="https://nightfallofficial.bandcamp.com/album/children-of-eve" TargetMode="External"/><Relationship Id="rId4170" Type="http://schemas.openxmlformats.org/officeDocument/2006/relationships/hyperlink" Target="https://open.spotify.com/album/3CADuQzQMFslHzs5IN639z?si=rCX_arKZTwyg7-u8FCT3Jw" TargetMode="External"/><Relationship Id="rId4172" Type="http://schemas.openxmlformats.org/officeDocument/2006/relationships/hyperlink" Target="https://open.spotify.com/album/3MTGTE4ltNPJbQnjnFn1Q6?si=cQdG6exrTTqayiCun-7mRA" TargetMode="External"/><Relationship Id="rId4171" Type="http://schemas.openxmlformats.org/officeDocument/2006/relationships/hyperlink" Target="https://czart.bandcamp.com/album/czarty-polskie" TargetMode="External"/><Relationship Id="rId4174" Type="http://schemas.openxmlformats.org/officeDocument/2006/relationships/hyperlink" Target="https://open.spotify.com/album/46KfK80ROxIdVF0yDN1jjb?si=q8iZjuNoQ5m4uf0Ppx2vwA" TargetMode="External"/><Relationship Id="rId4173" Type="http://schemas.openxmlformats.org/officeDocument/2006/relationships/hyperlink" Target="https://wildbeyond.bandcamp.com/album/black-sites-in-lower-chambers" TargetMode="External"/><Relationship Id="rId4176" Type="http://schemas.openxmlformats.org/officeDocument/2006/relationships/hyperlink" Target="https://fuzznaut.bandcamp.com/album/resistant-spirit" TargetMode="External"/><Relationship Id="rId4175" Type="http://schemas.openxmlformats.org/officeDocument/2006/relationships/hyperlink" Target="https://www.youtube.com/watch?v=579T4y2Frx0" TargetMode="External"/><Relationship Id="rId4178" Type="http://schemas.openxmlformats.org/officeDocument/2006/relationships/hyperlink" Target="https://open.spotify.com/album/5gusJsaey1qARW8RN4CA8N?si=njRTlXjwQxWx0TupOeKAxA" TargetMode="External"/><Relationship Id="rId4177" Type="http://schemas.openxmlformats.org/officeDocument/2006/relationships/hyperlink" Target="https://romannumeralrecords.bandcamp.com/album/scaffolded-dawn" TargetMode="External"/><Relationship Id="rId4179" Type="http://schemas.openxmlformats.org/officeDocument/2006/relationships/hyperlink" Target="https://www.youtube.com/watch?v=Fc07HXxj7I8" TargetMode="External"/><Relationship Id="rId4129" Type="http://schemas.openxmlformats.org/officeDocument/2006/relationships/hyperlink" Target="https://open.spotify.com/album/4UdIZZYVoMZSacy7ATgkUN?si=xDR-Tdp7TDmKGL1A7QZ5Ww" TargetMode="External"/><Relationship Id="rId4128" Type="http://schemas.openxmlformats.org/officeDocument/2006/relationships/hyperlink" Target="https://wretchednc.bandcamp.com/album/decay" TargetMode="External"/><Relationship Id="rId1090" Type="http://schemas.openxmlformats.org/officeDocument/2006/relationships/hyperlink" Target="https://open.spotify.com/album/5y6XD1NGdDWl85vfuDJiEs?si=MtMAbPQVR_aa_2rX7bqUxQ" TargetMode="External"/><Relationship Id="rId1091" Type="http://schemas.openxmlformats.org/officeDocument/2006/relationships/hyperlink" Target="https://insideoutmusic.bandcamp.com/album/where-mountains-hide-24-bit-hd-audio" TargetMode="External"/><Relationship Id="rId1092" Type="http://schemas.openxmlformats.org/officeDocument/2006/relationships/hyperlink" Target="https://open.spotify.com/album/010kCtg4ulvhhiVrUiU13P?si=Kcl6dlHMSO2l2vKNIWw1Gg" TargetMode="External"/><Relationship Id="rId1093" Type="http://schemas.openxmlformats.org/officeDocument/2006/relationships/hyperlink" Target="https://bloodywood.bandcamp.com/album/nu-delhi" TargetMode="External"/><Relationship Id="rId1094" Type="http://schemas.openxmlformats.org/officeDocument/2006/relationships/hyperlink" Target="https://open.spotify.com/album/4ZNvlZ4wynMad7cTp8hr2C?si=QKXlo9RTSGipjuW13NkYag" TargetMode="External"/><Relationship Id="rId1095" Type="http://schemas.openxmlformats.org/officeDocument/2006/relationships/hyperlink" Target="https://ghostsmokerau.bandcamp.com/album/inertia-cult-2" TargetMode="External"/><Relationship Id="rId4121" Type="http://schemas.openxmlformats.org/officeDocument/2006/relationships/hyperlink" Target="https://www.youtube.com/watch?v=YNB3Vhh63wU" TargetMode="External"/><Relationship Id="rId1096" Type="http://schemas.openxmlformats.org/officeDocument/2006/relationships/hyperlink" Target="https://open.spotify.com/album/5LxlYDUJtpoNywATnxDkX1?si=VSx5xCwKQyC2XQBjBahYtw" TargetMode="External"/><Relationship Id="rId4120" Type="http://schemas.openxmlformats.org/officeDocument/2006/relationships/hyperlink" Target="https://open.spotify.com/album/7g0EVghaRUMd53PVmck5cC?si=AgsvClGJTDWw-4gVeLHFMw" TargetMode="External"/><Relationship Id="rId1097" Type="http://schemas.openxmlformats.org/officeDocument/2006/relationships/hyperlink" Target="https://dissociaofficial.bandcamp.com/album/to-lift-the-veil" TargetMode="External"/><Relationship Id="rId4123" Type="http://schemas.openxmlformats.org/officeDocument/2006/relationships/hyperlink" Target="https://open.spotify.com/album/4ZJDnfve8rHn1kH8J2jNpS?si=vUhcuDFkSje1J-Dac2wLkw" TargetMode="External"/><Relationship Id="rId1098" Type="http://schemas.openxmlformats.org/officeDocument/2006/relationships/hyperlink" Target="https://open.spotify.com/album/01YeRtT1288CP8pI2Ptxn7?si=RU7jGH1hSCSdi2-6OkIj4w" TargetMode="External"/><Relationship Id="rId4122" Type="http://schemas.openxmlformats.org/officeDocument/2006/relationships/hyperlink" Target="https://centurymedia.bandcamp.com/album/dissonance-theory-24-bit-hd-audio" TargetMode="External"/><Relationship Id="rId1099" Type="http://schemas.openxmlformats.org/officeDocument/2006/relationships/hyperlink" Target="https://www.youtube.com/watch?v=eBh1j8GfAyc" TargetMode="External"/><Relationship Id="rId4125" Type="http://schemas.openxmlformats.org/officeDocument/2006/relationships/hyperlink" Target="https://open.spotify.com/album/3BisgrqoTrdpKw0q0bBADk?si=DxCpmribRKyZB5o9tN-Pyw" TargetMode="External"/><Relationship Id="rId4124" Type="http://schemas.openxmlformats.org/officeDocument/2006/relationships/hyperlink" Target="https://defigurement.bandcamp.com/album/endbryo" TargetMode="External"/><Relationship Id="rId4127" Type="http://schemas.openxmlformats.org/officeDocument/2006/relationships/hyperlink" Target="https://open.spotify.com/album/1m48JcGsXsJcCaDl06FANy?si=UIy6MtQrTeu7NlAaaFWOlQ" TargetMode="External"/><Relationship Id="rId4126" Type="http://schemas.openxmlformats.org/officeDocument/2006/relationships/hyperlink" Target="https://tribalgazetx.bandcamp.com/album/inveighing-brilliance" TargetMode="External"/><Relationship Id="rId4118" Type="http://schemas.openxmlformats.org/officeDocument/2006/relationships/hyperlink" Target="https://www.youtube.com/watch?v=uZ2-Xa3aBBU" TargetMode="External"/><Relationship Id="rId4117" Type="http://schemas.openxmlformats.org/officeDocument/2006/relationships/hyperlink" Target="https://open.spotify.com/album/5X52puMa4KqObGI8VIlzdf?si=SbhaWN6xQByNdr8QDBn9bQ" TargetMode="External"/><Relationship Id="rId4119" Type="http://schemas.openxmlformats.org/officeDocument/2006/relationships/hyperlink" Target="https://evokenofficial.bandcamp.com/album/mendacium" TargetMode="External"/><Relationship Id="rId1080" Type="http://schemas.openxmlformats.org/officeDocument/2006/relationships/hyperlink" Target="https://www.youtube.com/watch?v=0R3MnvefcEI" TargetMode="External"/><Relationship Id="rId1081" Type="http://schemas.openxmlformats.org/officeDocument/2006/relationships/hyperlink" Target="https://open.spotify.com/album/1lAeYgoPZlOyPCudqqmSOg?si=KJjyc1pfT2ettEtPWMCSRA" TargetMode="External"/><Relationship Id="rId1082" Type="http://schemas.openxmlformats.org/officeDocument/2006/relationships/hyperlink" Target="https://towernyc.bandcamp.com/album/let-there-be-dark" TargetMode="External"/><Relationship Id="rId1083" Type="http://schemas.openxmlformats.org/officeDocument/2006/relationships/hyperlink" Target="https://burningpalaceofficial.bandcamp.com/album/elegy" TargetMode="External"/><Relationship Id="rId1084" Type="http://schemas.openxmlformats.org/officeDocument/2006/relationships/hyperlink" Target="https://www.youtube.com/watch?v=bZVTNcBevJU" TargetMode="External"/><Relationship Id="rId4110" Type="http://schemas.openxmlformats.org/officeDocument/2006/relationships/hyperlink" Target="https://wolvennestband.bandcamp.com/album/procession" TargetMode="External"/><Relationship Id="rId1085" Type="http://schemas.openxmlformats.org/officeDocument/2006/relationships/hyperlink" Target="https://sunvher.bandcamp.com/album/arovmia" TargetMode="External"/><Relationship Id="rId1086" Type="http://schemas.openxmlformats.org/officeDocument/2006/relationships/hyperlink" Target="https://open.spotify.com/album/2C1TKVrWFLKgQx1AHxWrq3?si=6Z5lvymdRUOdhu81DhQ6oQ" TargetMode="External"/><Relationship Id="rId4112" Type="http://schemas.openxmlformats.org/officeDocument/2006/relationships/hyperlink" Target="https://helloianband.bandcamp.com/album/come-on-everybody-lets-do-nothing" TargetMode="External"/><Relationship Id="rId1087" Type="http://schemas.openxmlformats.org/officeDocument/2006/relationships/hyperlink" Target="https://ironform.bandcamp.com/album/cut-from-cold-blood" TargetMode="External"/><Relationship Id="rId4111" Type="http://schemas.openxmlformats.org/officeDocument/2006/relationships/hyperlink" Target="https://open.spotify.com/album/2N564rTJxaCrteWICrKRkg?si=e0G1jjP3SCukPbsh4h_4JA" TargetMode="External"/><Relationship Id="rId1088" Type="http://schemas.openxmlformats.org/officeDocument/2006/relationships/hyperlink" Target="https://open.spotify.com/album/5Vw0MQOoV2q3Xjhl2rROHc?si=d5AXuAd8RTe6P8DRJpFhwQ" TargetMode="External"/><Relationship Id="rId4114" Type="http://schemas.openxmlformats.org/officeDocument/2006/relationships/hyperlink" Target="https://dysylumn.bandcamp.com/album/abstraction" TargetMode="External"/><Relationship Id="rId1089" Type="http://schemas.openxmlformats.org/officeDocument/2006/relationships/hyperlink" Target="https://suiciderecordsswe.bandcamp.com/album/i-ancestral" TargetMode="External"/><Relationship Id="rId4113" Type="http://schemas.openxmlformats.org/officeDocument/2006/relationships/hyperlink" Target="https://open.spotify.com/album/5bkLYpiXnmePeQDjBkGrWi?si=k7nnjkGaSb-OVyo7Z9MdZQ" TargetMode="External"/><Relationship Id="rId4116" Type="http://schemas.openxmlformats.org/officeDocument/2006/relationships/hyperlink" Target="https://afsky.bandcamp.com/album/f-llesskab" TargetMode="External"/><Relationship Id="rId4115" Type="http://schemas.openxmlformats.org/officeDocument/2006/relationships/hyperlink" Target="https://open.spotify.com/album/4W0h73Hjo7CNR12dbcynfy?si=tJrxDDz0TLKvEXZgalFd-w" TargetMode="External"/><Relationship Id="rId4141" Type="http://schemas.openxmlformats.org/officeDocument/2006/relationships/hyperlink" Target="https://open.spotify.com/album/7udyKNcNdq5jZrw0lgubMs?si=K7NFJHZpTPSbQUPMVlNlNA" TargetMode="External"/><Relationship Id="rId4140" Type="http://schemas.openxmlformats.org/officeDocument/2006/relationships/hyperlink" Target="https://anabstractillusion.bandcamp.com/album/the-sleeping-city" TargetMode="External"/><Relationship Id="rId4143" Type="http://schemas.openxmlformats.org/officeDocument/2006/relationships/hyperlink" Target="https://perishing.bandcamp.com/album/malicious-acropolis-unveiled" TargetMode="External"/><Relationship Id="rId4142" Type="http://schemas.openxmlformats.org/officeDocument/2006/relationships/hyperlink" Target="https://www.youtube.com/watch?v=7fLZYALPVWA" TargetMode="External"/><Relationship Id="rId4145" Type="http://schemas.openxmlformats.org/officeDocument/2006/relationships/hyperlink" Target="https://www.youtube.com/watch?v=uucXmJ4yUFk" TargetMode="External"/><Relationship Id="rId4144" Type="http://schemas.openxmlformats.org/officeDocument/2006/relationships/hyperlink" Target="https://open.spotify.com/album/4BXNPDRh45xi4TJLVQZ2qm?si=NG-XQtF1RgmiYBibl8waSw" TargetMode="External"/><Relationship Id="rId4147" Type="http://schemas.openxmlformats.org/officeDocument/2006/relationships/hyperlink" Target="https://open.spotify.com/album/2s6qr9XuxyqPHbsPNENldR?si=WPQOf5jSTaeXEUHXIhzk4A" TargetMode="External"/><Relationship Id="rId4146" Type="http://schemas.openxmlformats.org/officeDocument/2006/relationships/hyperlink" Target="https://uaar.bandcamp.com/album/galger-og-brann" TargetMode="External"/><Relationship Id="rId4149" Type="http://schemas.openxmlformats.org/officeDocument/2006/relationships/hyperlink" Target="https://open.spotify.com/album/2729tzbbE6CeRuFmbGOUry?si=4vctplk1TAOBGeWc_bG-pQ" TargetMode="External"/><Relationship Id="rId4148" Type="http://schemas.openxmlformats.org/officeDocument/2006/relationships/hyperlink" Target="https://battlebeastband.bandcamp.com/album/steelbound" TargetMode="External"/><Relationship Id="rId4139" Type="http://schemas.openxmlformats.org/officeDocument/2006/relationships/hyperlink" Target="https://www.youtube.com/watch?v=mNyoMvv4iMo" TargetMode="External"/><Relationship Id="rId4130" Type="http://schemas.openxmlformats.org/officeDocument/2006/relationships/hyperlink" Target="https://www.youtube.com/watch?v=POawLe0h2wM" TargetMode="External"/><Relationship Id="rId4132" Type="http://schemas.openxmlformats.org/officeDocument/2006/relationships/hyperlink" Target="https://open.spotify.com/album/3PLPFVDcSRHaiONdG6k0b4?si=MV3Mwx9YTMCAcNJSSxWnJA" TargetMode="External"/><Relationship Id="rId4131" Type="http://schemas.openxmlformats.org/officeDocument/2006/relationships/hyperlink" Target="https://daedricmusic.bandcamp.com/album/as-the-light-left" TargetMode="External"/><Relationship Id="rId4134" Type="http://schemas.openxmlformats.org/officeDocument/2006/relationships/hyperlink" Target="https://open.spotify.com/album/0VVVqNngifhf0UKE2GI8sm?si=AozESgqpT26JismJ_Q5Xfw" TargetMode="External"/><Relationship Id="rId4133" Type="http://schemas.openxmlformats.org/officeDocument/2006/relationships/hyperlink" Target="https://tombscult.bandcamp.com/album/feral-darkness" TargetMode="External"/><Relationship Id="rId4136" Type="http://schemas.openxmlformats.org/officeDocument/2006/relationships/hyperlink" Target="https://open.spotify.com/album/2jiMU09PBIFGeiU0DCSEGn?si=j85aHHaVTWiUKvS5GU4Imw" TargetMode="External"/><Relationship Id="rId4135" Type="http://schemas.openxmlformats.org/officeDocument/2006/relationships/hyperlink" Target="https://ib-maggotstomp.bandcamp.com/album/settle-all-scores" TargetMode="External"/><Relationship Id="rId4138" Type="http://schemas.openxmlformats.org/officeDocument/2006/relationships/hyperlink" Target="https://open.spotify.com/album/1jjx7U3tayhJTytJVBj0WY?si=UB3xoXyZTNCvcpJlch33tg" TargetMode="External"/><Relationship Id="rId4137" Type="http://schemas.openxmlformats.org/officeDocument/2006/relationships/hyperlink" Target="https://sabaton.bandcamp.com/album/legends" TargetMode="External"/><Relationship Id="rId1972" Type="http://schemas.openxmlformats.org/officeDocument/2006/relationships/hyperlink" Target="https://open.spotify.com/album/49WBezYyzfdsOLKE8UuLSg?si=qHQuEzVNSlqlWE78fmxp7w" TargetMode="External"/><Relationship Id="rId1973" Type="http://schemas.openxmlformats.org/officeDocument/2006/relationships/hyperlink" Target="https://candlemass.bandcamp.com/album/black-star" TargetMode="External"/><Relationship Id="rId1974" Type="http://schemas.openxmlformats.org/officeDocument/2006/relationships/hyperlink" Target="https://open.spotify.com/album/2J5yxmxhg0HKTyk607s2JE?si=0IYpVV5jSfSfaTjyQX55zA" TargetMode="External"/><Relationship Id="rId1975" Type="http://schemas.openxmlformats.org/officeDocument/2006/relationships/hyperlink" Target="https://emperorjade.bandcamp.com/album/mysteries-of-a-flowery-dream" TargetMode="External"/><Relationship Id="rId1976" Type="http://schemas.openxmlformats.org/officeDocument/2006/relationships/hyperlink" Target="https://open.spotify.com/album/0g06e3SJwzzg3xIUuu56lm?si=QVOuibW1So--FgDhvPVqaA" TargetMode="External"/><Relationship Id="rId1977" Type="http://schemas.openxmlformats.org/officeDocument/2006/relationships/hyperlink" Target="https://www.youtube.com/watch?v=oSn3BDsUV68" TargetMode="External"/><Relationship Id="rId1978" Type="http://schemas.openxmlformats.org/officeDocument/2006/relationships/hyperlink" Target="https://slumberingsun.bandcamp.com/album/starmony" TargetMode="External"/><Relationship Id="rId1979" Type="http://schemas.openxmlformats.org/officeDocument/2006/relationships/hyperlink" Target="https://open.spotify.com/album/5uTOQ60O770DvBFL8sxdO0?si=7zBQ0n2ASHSnLSkOXOV2Nw" TargetMode="External"/><Relationship Id="rId1970" Type="http://schemas.openxmlformats.org/officeDocument/2006/relationships/hyperlink" Target="https://www.youtube.com/watch?v=Ds23vYh5BKs" TargetMode="External"/><Relationship Id="rId1971" Type="http://schemas.openxmlformats.org/officeDocument/2006/relationships/hyperlink" Target="https://stevedadaian.bandcamp.com/album/revenant-city" TargetMode="External"/><Relationship Id="rId1961" Type="http://schemas.openxmlformats.org/officeDocument/2006/relationships/hyperlink" Target="https://open.spotify.com/album/5ApbvzcrRJqAWwC17rSI8h?si=cAae9SU5SoiCXpDnXp9izw" TargetMode="External"/><Relationship Id="rId1962" Type="http://schemas.openxmlformats.org/officeDocument/2006/relationships/hyperlink" Target="https://eleanorharper.bandcamp.com/album/irrevocably-drubbed" TargetMode="External"/><Relationship Id="rId1963" Type="http://schemas.openxmlformats.org/officeDocument/2006/relationships/hyperlink" Target="https://caverndeep.bandcamp.com/album/part-iii-the-bodiless" TargetMode="External"/><Relationship Id="rId1964" Type="http://schemas.openxmlformats.org/officeDocument/2006/relationships/hyperlink" Target="https://open.spotify.com/album/1a2Ovv2Tu48M1TRfdCDJAA?si=8rEyOurJQKaDeM3uK15vjQ" TargetMode="External"/><Relationship Id="rId1965" Type="http://schemas.openxmlformats.org/officeDocument/2006/relationships/hyperlink" Target="https://www.youtube.com/watch?v=gS9dP1YPEnE" TargetMode="External"/><Relationship Id="rId1966" Type="http://schemas.openxmlformats.org/officeDocument/2006/relationships/hyperlink" Target="https://shoresofnull.bandcamp.com/album/beauty-over-europe" TargetMode="External"/><Relationship Id="rId1967" Type="http://schemas.openxmlformats.org/officeDocument/2006/relationships/hyperlink" Target="https://open.spotify.com/album/4Awlqv8soGu3CnGSICWi56?si=VjafGA7pRDKe2jUdQvrNtw" TargetMode="External"/><Relationship Id="rId1968" Type="http://schemas.openxmlformats.org/officeDocument/2006/relationships/hyperlink" Target="https://crimsoncrown.bandcamp.com/album/vae-victis" TargetMode="External"/><Relationship Id="rId1969" Type="http://schemas.openxmlformats.org/officeDocument/2006/relationships/hyperlink" Target="https://open.spotify.com/album/510wZqKEyifxrvK4DMcohB?si=WdnreKIlSmWgXty84JGP7A" TargetMode="External"/><Relationship Id="rId1960" Type="http://schemas.openxmlformats.org/officeDocument/2006/relationships/hyperlink" Target="https://dagdrom.bandcamp.com/album/schauder" TargetMode="External"/><Relationship Id="rId1994" Type="http://schemas.openxmlformats.org/officeDocument/2006/relationships/hyperlink" Target="https://open.spotify.com/album/1SbEq4wqCKapx3UJXvuIGH?si=fX5z8jCGRimPakL0EoKizA" TargetMode="External"/><Relationship Id="rId1995" Type="http://schemas.openxmlformats.org/officeDocument/2006/relationships/hyperlink" Target="https://www.youtube.com/watch?v=T3Q61YY3Q9M" TargetMode="External"/><Relationship Id="rId1996" Type="http://schemas.openxmlformats.org/officeDocument/2006/relationships/hyperlink" Target="https://exiliumnoctisblacklion.bandcamp.com/album/pactum-diaboli" TargetMode="External"/><Relationship Id="rId1997" Type="http://schemas.openxmlformats.org/officeDocument/2006/relationships/hyperlink" Target="https://open.spotify.com/album/2S9P87a325U9T4zgNVpfzT?si=NvoxDhVcThWdp0mmnxjAmg" TargetMode="External"/><Relationship Id="rId1998" Type="http://schemas.openxmlformats.org/officeDocument/2006/relationships/hyperlink" Target="https://www.youtube.com/watch?v=lAYLxBkH36w" TargetMode="External"/><Relationship Id="rId1999" Type="http://schemas.openxmlformats.org/officeDocument/2006/relationships/hyperlink" Target="https://antoramhblacklion.bandcamp.com/album/echoes-of-eternal-night" TargetMode="External"/><Relationship Id="rId1990" Type="http://schemas.openxmlformats.org/officeDocument/2006/relationships/hyperlink" Target="https://open.spotify.com/album/4ouIdNxb6WMhtTSippxbAW?si=rxMp8iFQR6SyN04An8EGaA" TargetMode="External"/><Relationship Id="rId1991" Type="http://schemas.openxmlformats.org/officeDocument/2006/relationships/hyperlink" Target="https://theogoniarecords.bandcamp.com/album/archees-legeones-ancient-legions" TargetMode="External"/><Relationship Id="rId1992" Type="http://schemas.openxmlformats.org/officeDocument/2006/relationships/hyperlink" Target="https://open.spotify.com/album/1KIA9GjgT6nOQsAR8x9dT6?si=ZmVV20lQTAeYi-aaOqgkDg" TargetMode="External"/><Relationship Id="rId1993" Type="http://schemas.openxmlformats.org/officeDocument/2006/relationships/hyperlink" Target="https://skaphos-label.bandcamp.com/album/cult-of-uzura" TargetMode="External"/><Relationship Id="rId1983" Type="http://schemas.openxmlformats.org/officeDocument/2006/relationships/hyperlink" Target="https://hakenofficial.bandcamp.com/album/liveforms-an-evening-with-haken-live-in-london-2024-24-bit-hd-audio" TargetMode="External"/><Relationship Id="rId1984" Type="http://schemas.openxmlformats.org/officeDocument/2006/relationships/hyperlink" Target="https://open.spotify.com/album/0eE2ZynDLL8R55NWXNm1TG?si=C-fMn9UbQXuQpk2Hbv726w" TargetMode="External"/><Relationship Id="rId1985" Type="http://schemas.openxmlformats.org/officeDocument/2006/relationships/hyperlink" Target="https://ghostbath.bandcamp.com/album/rose-thorn-necklace" TargetMode="External"/><Relationship Id="rId1986" Type="http://schemas.openxmlformats.org/officeDocument/2006/relationships/hyperlink" Target="https://open.spotify.com/album/4ReCpLHKiUSYoBYFBx2muU?si=Tp98cZfmTxiQHke3rvYwwA" TargetMode="External"/><Relationship Id="rId1987" Type="http://schemas.openxmlformats.org/officeDocument/2006/relationships/hyperlink" Target="https://tetrarch.bandcamp.com/album/the-ugly-side-of-me" TargetMode="External"/><Relationship Id="rId1988" Type="http://schemas.openxmlformats.org/officeDocument/2006/relationships/hyperlink" Target="https://open.spotify.com/album/4POu5Pc8m5hCRbY7tsIEMI?si=mOPKyGuDQ8Chi-FRbAOY5Q" TargetMode="External"/><Relationship Id="rId1989" Type="http://schemas.openxmlformats.org/officeDocument/2006/relationships/hyperlink" Target="https://youwinagaingravity.bandcamp.com/album/dont-leave-me-here-pt-1" TargetMode="External"/><Relationship Id="rId1980" Type="http://schemas.openxmlformats.org/officeDocument/2006/relationships/hyperlink" Target="https://ominousruin.bandcamp.com/album/requiem" TargetMode="External"/><Relationship Id="rId1981" Type="http://schemas.openxmlformats.org/officeDocument/2006/relationships/hyperlink" Target="https://open.spotify.com/album/6tuSRtLi7jkWWlIVxOxGhx?si=eWOzl7rtQBqqWyHNlVs18g" TargetMode="External"/><Relationship Id="rId1982" Type="http://schemas.openxmlformats.org/officeDocument/2006/relationships/hyperlink" Target="https://www.youtube.com/watch?v=70umHNI8we0" TargetMode="External"/><Relationship Id="rId1930" Type="http://schemas.openxmlformats.org/officeDocument/2006/relationships/hyperlink" Target="https://firienholt.bandcamp.com/album/night-eternal" TargetMode="External"/><Relationship Id="rId1931" Type="http://schemas.openxmlformats.org/officeDocument/2006/relationships/hyperlink" Target="https://open.spotify.com/album/4YJrkgL0g6DCN7r3qqOxF6?si=Rx0yAS4HTLG6df51CAHaVQ" TargetMode="External"/><Relationship Id="rId1932" Type="http://schemas.openxmlformats.org/officeDocument/2006/relationships/hyperlink" Target="https://www.youtube.com/watch?v=UN7pTyw6hS8" TargetMode="External"/><Relationship Id="rId1933" Type="http://schemas.openxmlformats.org/officeDocument/2006/relationships/hyperlink" Target="https://hate.bandcamp.com/album/bellum-regiis" TargetMode="External"/><Relationship Id="rId1934" Type="http://schemas.openxmlformats.org/officeDocument/2006/relationships/hyperlink" Target="https://open.spotify.com/album/6ZghEgWH27XKb2hNl7SwD5?si=ub-AYJCBRLeAS_vcZglqJg" TargetMode="External"/><Relationship Id="rId1935" Type="http://schemas.openxmlformats.org/officeDocument/2006/relationships/hyperlink" Target="https://noheroesmn.bandcamp.com/album/brood-eternal" TargetMode="External"/><Relationship Id="rId1936" Type="http://schemas.openxmlformats.org/officeDocument/2006/relationships/hyperlink" Target="https://open.spotify.com/album/4kh6JMt1hzHeAst4kAndp3?si=WAU-MFy7Sdq9CJJs16tdWg" TargetMode="External"/><Relationship Id="rId1937" Type="http://schemas.openxmlformats.org/officeDocument/2006/relationships/hyperlink" Target="https://abyssalvacuum.bandcamp.com/album/abyssal-vacuum" TargetMode="External"/><Relationship Id="rId1938" Type="http://schemas.openxmlformats.org/officeDocument/2006/relationships/hyperlink" Target="https://open.spotify.com/album/6wkv0z68h42vcnBXyrAmE5?si=fhB9GFhJSd-W4iTu6vd5tw" TargetMode="External"/><Relationship Id="rId1939" Type="http://schemas.openxmlformats.org/officeDocument/2006/relationships/hyperlink" Target="https://www.youtube.com/watch?v=R-ezqBqZ3Qc" TargetMode="External"/><Relationship Id="rId1920" Type="http://schemas.openxmlformats.org/officeDocument/2006/relationships/hyperlink" Target="https://open.spotify.com/album/0e20YJG30w3ZhpjwGKIaTk?si=kfHfKAnQTQuMhHxcO7JI4A" TargetMode="External"/><Relationship Id="rId1921" Type="http://schemas.openxmlformats.org/officeDocument/2006/relationships/hyperlink" Target="https://avantgardemusic.bandcamp.com/album/shir-hashirim" TargetMode="External"/><Relationship Id="rId1922" Type="http://schemas.openxmlformats.org/officeDocument/2006/relationships/hyperlink" Target="https://open.spotify.com/album/1ZJL7wOS9bLCPrlIjvWfjk?si=W2Mgk5oBQFeWMpyNtHuhyg" TargetMode="External"/><Relationship Id="rId1923" Type="http://schemas.openxmlformats.org/officeDocument/2006/relationships/hyperlink" Target="https://misfireofficial.bandcamp.com/album/product-of-the-environment" TargetMode="External"/><Relationship Id="rId1924" Type="http://schemas.openxmlformats.org/officeDocument/2006/relationships/hyperlink" Target="https://open.spotify.com/album/25SnP4HvFb32Pn85jYEg3U?si=h0cuYMnsRR2_JXVEMDGMoQ" TargetMode="External"/><Relationship Id="rId1925" Type="http://schemas.openxmlformats.org/officeDocument/2006/relationships/hyperlink" Target="https://xiaopv.bandcamp.com/album/control" TargetMode="External"/><Relationship Id="rId1926" Type="http://schemas.openxmlformats.org/officeDocument/2006/relationships/hyperlink" Target="https://open.spotify.com/album/1txsqdbG3moCxJBvqE8ZfX?si=jxnzm6T2RLCCU2ODwThmhw" TargetMode="External"/><Relationship Id="rId1927" Type="http://schemas.openxmlformats.org/officeDocument/2006/relationships/hyperlink" Target="https://meltingau.bandcamp.com/album/you-exist-because-we-allow-it" TargetMode="External"/><Relationship Id="rId1928" Type="http://schemas.openxmlformats.org/officeDocument/2006/relationships/hyperlink" Target="https://open.spotify.com/album/1yV8Qg14hGqh5xLW9EuC8I?si=MsgxfqiCReGjKddsUSOSvg" TargetMode="External"/><Relationship Id="rId1929" Type="http://schemas.openxmlformats.org/officeDocument/2006/relationships/hyperlink" Target="https://fhmrecords.bandcamp.com/album/power-surge-shadows-warning" TargetMode="External"/><Relationship Id="rId4190" Type="http://schemas.openxmlformats.org/officeDocument/2006/relationships/hyperlink" Target="https://lastshotmn.bandcamp.com/album/perspective" TargetMode="External"/><Relationship Id="rId4192" Type="http://schemas.openxmlformats.org/officeDocument/2006/relationships/hyperlink" Target="https://rao-bm.bandcamp.com/album/r" TargetMode="External"/><Relationship Id="rId4191" Type="http://schemas.openxmlformats.org/officeDocument/2006/relationships/hyperlink" Target="https://vendetta-records.bandcamp.com/album/vom-gipfel" TargetMode="External"/><Relationship Id="rId4194" Type="http://schemas.openxmlformats.org/officeDocument/2006/relationships/hyperlink" Target="https://dyingvictimsproductions.bandcamp.com/album/the-quest-for-the-sacred-melody" TargetMode="External"/><Relationship Id="rId4193" Type="http://schemas.openxmlformats.org/officeDocument/2006/relationships/hyperlink" Target="https://tooth.bandcamp.com/album/tooth" TargetMode="External"/><Relationship Id="rId4196" Type="http://schemas.openxmlformats.org/officeDocument/2006/relationships/hyperlink" Target="https://onrustmusic.bandcamp.com/album/van-woede-tot-wanhoop" TargetMode="External"/><Relationship Id="rId4195" Type="http://schemas.openxmlformats.org/officeDocument/2006/relationships/hyperlink" Target="https://dyingvictimsproductions.bandcamp.com/album/destructive-elite-terror" TargetMode="External"/><Relationship Id="rId4198" Type="http://schemas.openxmlformats.org/officeDocument/2006/relationships/hyperlink" Target="https://abeyance.bandcamp.com/album/introspective-crusades" TargetMode="External"/><Relationship Id="rId4197" Type="http://schemas.openxmlformats.org/officeDocument/2006/relationships/hyperlink" Target="https://open.spotify.com/album/6cfSrY1ptebVRteD7WYYvj?si=r7wYxuSlQMSlA8SkAREebA" TargetMode="External"/><Relationship Id="rId4199" Type="http://schemas.openxmlformats.org/officeDocument/2006/relationships/hyperlink" Target="https://xtreemmusic.bandcamp.com/album/awakening" TargetMode="External"/><Relationship Id="rId1950" Type="http://schemas.openxmlformats.org/officeDocument/2006/relationships/hyperlink" Target="https://asthenies.bandcamp.com/album/iridescence" TargetMode="External"/><Relationship Id="rId1951" Type="http://schemas.openxmlformats.org/officeDocument/2006/relationships/hyperlink" Target="https://bandrye.bandcamp.com/album/--6" TargetMode="External"/><Relationship Id="rId1952" Type="http://schemas.openxmlformats.org/officeDocument/2006/relationships/hyperlink" Target="https://blameagain.bandcamp.com/album/this-garden-hides-a-snake-beneath-the-rose" TargetMode="External"/><Relationship Id="rId1953" Type="http://schemas.openxmlformats.org/officeDocument/2006/relationships/hyperlink" Target="https://open.spotify.com/album/4VGNcD1xUVCaIrSvPLo0md?si=qIuC2--6Sgu8AnOnsyqjBw" TargetMode="External"/><Relationship Id="rId1954" Type="http://schemas.openxmlformats.org/officeDocument/2006/relationships/hyperlink" Target="https://miasmarecords.bandcamp.com/album/earth-wonderland" TargetMode="External"/><Relationship Id="rId1955" Type="http://schemas.openxmlformats.org/officeDocument/2006/relationships/hyperlink" Target="https://open.spotify.com/album/2LXsEtDWHEHv8BnNtW3RWv?si=LAh4mno-Rky6gf-Ad4jwaQ" TargetMode="External"/><Relationship Id="rId1956" Type="http://schemas.openxmlformats.org/officeDocument/2006/relationships/hyperlink" Target="https://cavernaabismal.bandcamp.com/album/my-dementia-premoni-o-s-me-arrependo-do-que-n-o-vivi" TargetMode="External"/><Relationship Id="rId1957" Type="http://schemas.openxmlformats.org/officeDocument/2006/relationships/hyperlink" Target="https://vauruva.bandcamp.com/album/mar-da-deriva" TargetMode="External"/><Relationship Id="rId1958" Type="http://schemas.openxmlformats.org/officeDocument/2006/relationships/hyperlink" Target="https://telosband.bandcamp.com/album/what-they-built" TargetMode="External"/><Relationship Id="rId1959" Type="http://schemas.openxmlformats.org/officeDocument/2006/relationships/hyperlink" Target="https://open.spotify.com/album/1V9vqs45FJkaw7PABrlCRv?si=607Yj-7JRmyMutaZ6Saj2g" TargetMode="External"/><Relationship Id="rId1940" Type="http://schemas.openxmlformats.org/officeDocument/2006/relationships/hyperlink" Target="https://fallingfromgrace.bandcamp.com/album/at-the-edge" TargetMode="External"/><Relationship Id="rId1941" Type="http://schemas.openxmlformats.org/officeDocument/2006/relationships/hyperlink" Target="https://open.spotify.com/album/5yZi1YdGfKaDwTwd3h28BA?si=n-4oM7alRfeL_cMye_6I5w" TargetMode="External"/><Relationship Id="rId1942" Type="http://schemas.openxmlformats.org/officeDocument/2006/relationships/hyperlink" Target="https://www.youtube.com/watch?v=CLJf-q_msuI" TargetMode="External"/><Relationship Id="rId1943" Type="http://schemas.openxmlformats.org/officeDocument/2006/relationships/hyperlink" Target="https://brzaskbm.bandcamp.com/album/der-wanderer-im-riesengebirge" TargetMode="External"/><Relationship Id="rId1944" Type="http://schemas.openxmlformats.org/officeDocument/2006/relationships/hyperlink" Target="https://www.youtube.com/watch?v=NNgj6FetYJE" TargetMode="External"/><Relationship Id="rId1945" Type="http://schemas.openxmlformats.org/officeDocument/2006/relationships/hyperlink" Target="https://kalaveraztekah.bandcamp.com/album/nikan-axkan" TargetMode="External"/><Relationship Id="rId1946" Type="http://schemas.openxmlformats.org/officeDocument/2006/relationships/hyperlink" Target="https://open.spotify.com/album/3CI0Y2AhhDxd7v09FyN70U?si=n3rJl8YCS0yDP_JLZmaOSQ" TargetMode="External"/><Relationship Id="rId1947" Type="http://schemas.openxmlformats.org/officeDocument/2006/relationships/hyperlink" Target="https://portentuk.bandcamp.com/album/nauseating-the-inner-temple" TargetMode="External"/><Relationship Id="rId1948" Type="http://schemas.openxmlformats.org/officeDocument/2006/relationships/hyperlink" Target="https://floodgatebc.bandcamp.com/album/horizons" TargetMode="External"/><Relationship Id="rId1949" Type="http://schemas.openxmlformats.org/officeDocument/2006/relationships/hyperlink" Target="https://open.spotify.com/album/4UZupVPG9ckPtDO0GZndqk?si=JyZ7wG8WSS6knnTTXBf5OQ" TargetMode="External"/><Relationship Id="rId2423" Type="http://schemas.openxmlformats.org/officeDocument/2006/relationships/hyperlink" Target="https://gruesomedeathmetal.bandcamp.com/album/silent-echoes" TargetMode="External"/><Relationship Id="rId3755" Type="http://schemas.openxmlformats.org/officeDocument/2006/relationships/hyperlink" Target="https://uragh.bandcamp.com/album/stalemate" TargetMode="External"/><Relationship Id="rId2424" Type="http://schemas.openxmlformats.org/officeDocument/2006/relationships/hyperlink" Target="https://open.spotify.com/album/6yAZyCX2aU637Lm0jxRVZG?si=xE3Uq3s0Te22TS84OD-iNA" TargetMode="External"/><Relationship Id="rId3754" Type="http://schemas.openxmlformats.org/officeDocument/2006/relationships/hyperlink" Target="https://centipedeabyss.bandcamp.com/album/hypnagogia-ii" TargetMode="External"/><Relationship Id="rId2425" Type="http://schemas.openxmlformats.org/officeDocument/2006/relationships/hyperlink" Target="https://katatonia.bandcamp.com/album/nightmares-as-extensions-of-the-waking-state" TargetMode="External"/><Relationship Id="rId3757" Type="http://schemas.openxmlformats.org/officeDocument/2006/relationships/hyperlink" Target="https://open.spotify.com/album/4ndHo5eOSLVn4sopSNiLWl?si=AhW9pr6ET8ydY0Ra_VpUNQ" TargetMode="External"/><Relationship Id="rId2426" Type="http://schemas.openxmlformats.org/officeDocument/2006/relationships/hyperlink" Target="https://open.spotify.com/album/1HOjUmdJsbyvFZtAB8G7kP?si=nz9Oy902QsKgVzCqBQwK8A" TargetMode="External"/><Relationship Id="rId3756" Type="http://schemas.openxmlformats.org/officeDocument/2006/relationships/hyperlink" Target="https://evenifwelose.bandcamp.com/album/even-if-we-lose-ep" TargetMode="External"/><Relationship Id="rId2427" Type="http://schemas.openxmlformats.org/officeDocument/2006/relationships/hyperlink" Target="https://open.spotify.com/album/0PTsIhGBmoAAkLULFz6lwC?si=UoBLzKvZQwq0wUERGQ69Pw" TargetMode="External"/><Relationship Id="rId3759" Type="http://schemas.openxmlformats.org/officeDocument/2006/relationships/hyperlink" Target="https://open.spotify.com/album/7dWOpRsxDbLCn8VzUaBong?si=8FT357qXT1elS2_-x3j2Ow" TargetMode="External"/><Relationship Id="rId2428" Type="http://schemas.openxmlformats.org/officeDocument/2006/relationships/hyperlink" Target="https://autumnnostalgie-northernsilence.bandcamp.com/album/metanoia" TargetMode="External"/><Relationship Id="rId3758" Type="http://schemas.openxmlformats.org/officeDocument/2006/relationships/hyperlink" Target="https://demersalband.bandcamp.com/album/vi-kunne-ikke-blive-her-for-evigt-vel" TargetMode="External"/><Relationship Id="rId2429" Type="http://schemas.openxmlformats.org/officeDocument/2006/relationships/hyperlink" Target="https://bialywilk.bandcamp.com/album/wniebowst-pienie" TargetMode="External"/><Relationship Id="rId509" Type="http://schemas.openxmlformats.org/officeDocument/2006/relationships/hyperlink" Target="https://suiciderecordsswe.bandcamp.com/album/astral-sands" TargetMode="External"/><Relationship Id="rId508" Type="http://schemas.openxmlformats.org/officeDocument/2006/relationships/hyperlink" Target="https://www.youtube.com/watch?v=IxHE5tYVyB8" TargetMode="External"/><Relationship Id="rId503" Type="http://schemas.openxmlformats.org/officeDocument/2006/relationships/hyperlink" Target="https://open.spotify.com/album/2z6a4yNBjfxi9QvMheDRQ8?si=isRBTVoiTqOdxpF4LVxcxQ" TargetMode="External"/><Relationship Id="rId502" Type="http://schemas.openxmlformats.org/officeDocument/2006/relationships/hyperlink" Target="https://centurymedia.bandcamp.com/album/sleepless-empire-24-bit-hd-audio" TargetMode="External"/><Relationship Id="rId501" Type="http://schemas.openxmlformats.org/officeDocument/2006/relationships/hyperlink" Target="https://www.youtube.com/watch?v=AJ-XJ4R-g1U" TargetMode="External"/><Relationship Id="rId500" Type="http://schemas.openxmlformats.org/officeDocument/2006/relationships/hyperlink" Target="https://open.spotify.com/album/6iCx6YzuDrXqLhgzPyqaVi?si=Y0Dtjq8WSC6KX5pAef9rgg" TargetMode="External"/><Relationship Id="rId507" Type="http://schemas.openxmlformats.org/officeDocument/2006/relationships/hyperlink" Target="https://pyrrhicsalvation.bandcamp.com/album/when-society-crumbles" TargetMode="External"/><Relationship Id="rId506" Type="http://schemas.openxmlformats.org/officeDocument/2006/relationships/hyperlink" Target="https://www.youtube.com/watch?v=Rfxpml-b2Vw" TargetMode="External"/><Relationship Id="rId505" Type="http://schemas.openxmlformats.org/officeDocument/2006/relationships/hyperlink" Target="https://open.spotify.com/album/1TslbnRwZAlO1hpQLcNMzw?si=rfKwLd3kSfaskFWrCZ36_g" TargetMode="External"/><Relationship Id="rId504" Type="http://schemas.openxmlformats.org/officeDocument/2006/relationships/hyperlink" Target="https://mastord.bandcamp.com/album/lemmon-lintu" TargetMode="External"/><Relationship Id="rId3751" Type="http://schemas.openxmlformats.org/officeDocument/2006/relationships/hyperlink" Target="https://periodeater.bandcamp.com/album/pacing-in-the-maw-of-time" TargetMode="External"/><Relationship Id="rId2420" Type="http://schemas.openxmlformats.org/officeDocument/2006/relationships/hyperlink" Target="https://athruz.bandcamp.com/album/a2z" TargetMode="External"/><Relationship Id="rId3750" Type="http://schemas.openxmlformats.org/officeDocument/2006/relationships/hyperlink" Target="https://open.spotify.com/album/5OFInqHSlGQ9z9ZSOr95ch?si=Flb14gYLSa6eko4EWdjpXw" TargetMode="External"/><Relationship Id="rId2421" Type="http://schemas.openxmlformats.org/officeDocument/2006/relationships/hyperlink" Target="https://open.spotify.com/album/4Hivd1Yo7zbZSu4QYcpicz?si=4NfesKRiT52nyBFOaNixHA" TargetMode="External"/><Relationship Id="rId3753" Type="http://schemas.openxmlformats.org/officeDocument/2006/relationships/hyperlink" Target="https://syllogomania.bandcamp.com/album/syllogomania" TargetMode="External"/><Relationship Id="rId2422" Type="http://schemas.openxmlformats.org/officeDocument/2006/relationships/hyperlink" Target="https://www.youtube.com/watch?v=5ZEJyqdumP0" TargetMode="External"/><Relationship Id="rId3752" Type="http://schemas.openxmlformats.org/officeDocument/2006/relationships/hyperlink" Target="https://searpetal.bandcamp.com/album/beaconwake-3" TargetMode="External"/><Relationship Id="rId2412" Type="http://schemas.openxmlformats.org/officeDocument/2006/relationships/hyperlink" Target="https://kaonashipa.bandcamp.com/album/i-want-to-go-home" TargetMode="External"/><Relationship Id="rId3744" Type="http://schemas.openxmlformats.org/officeDocument/2006/relationships/hyperlink" Target="https://cryptofthewizard.bandcamp.com/album/prisoners-of-time" TargetMode="External"/><Relationship Id="rId2413" Type="http://schemas.openxmlformats.org/officeDocument/2006/relationships/hyperlink" Target="https://open.spotify.com/album/6MiBp7LRRRsk0EAq24BCbf?si=2R6fKoPPTWe7dXR1XgutxQ" TargetMode="External"/><Relationship Id="rId3743" Type="http://schemas.openxmlformats.org/officeDocument/2006/relationships/hyperlink" Target="https://thetruepanopticon.bandcamp.com/album/the-poppies-bloom-for-no-king-ep" TargetMode="External"/><Relationship Id="rId2414" Type="http://schemas.openxmlformats.org/officeDocument/2006/relationships/hyperlink" Target="https://lacabrametal.bandcamp.com/album/lacabra" TargetMode="External"/><Relationship Id="rId3746" Type="http://schemas.openxmlformats.org/officeDocument/2006/relationships/hyperlink" Target="https://open.spotify.com/album/0IEsA9QixqVw7SZbZQlGkz?si=xHYD9_AISmezv659e-MZiA" TargetMode="External"/><Relationship Id="rId2415" Type="http://schemas.openxmlformats.org/officeDocument/2006/relationships/hyperlink" Target="https://open.spotify.com/album/3N80aN66JcZujtnB9KMMCC?si=gtyJvoDHTyyauvZitsncSQ" TargetMode="External"/><Relationship Id="rId3745" Type="http://schemas.openxmlformats.org/officeDocument/2006/relationships/hyperlink" Target="https://viile.bandcamp.com/album/a-bottomless-curse-a-bottomless-sea" TargetMode="External"/><Relationship Id="rId2416" Type="http://schemas.openxmlformats.org/officeDocument/2006/relationships/hyperlink" Target="https://putrescent.bandcamp.com/album/darkness-embraced" TargetMode="External"/><Relationship Id="rId3748" Type="http://schemas.openxmlformats.org/officeDocument/2006/relationships/hyperlink" Target="https://open.spotify.com/album/58UGydcsbdNvWDhxWu6xMb?si=YBzA0iXaQKmkQvaiIPx5-w" TargetMode="External"/><Relationship Id="rId2417" Type="http://schemas.openxmlformats.org/officeDocument/2006/relationships/hyperlink" Target="https://open.spotify.com/album/7E3DFKq9ZIcrlM3Guds88o?si=88minBD7QRyGWCy3r70nvA" TargetMode="External"/><Relationship Id="rId3747" Type="http://schemas.openxmlformats.org/officeDocument/2006/relationships/hyperlink" Target="https://verikotka.bandcamp.com/album/aallot" TargetMode="External"/><Relationship Id="rId2418" Type="http://schemas.openxmlformats.org/officeDocument/2006/relationships/hyperlink" Target="https://foryourhealth.bandcamp.com/album/this-bitter-garden" TargetMode="External"/><Relationship Id="rId2419" Type="http://schemas.openxmlformats.org/officeDocument/2006/relationships/hyperlink" Target="https://open.spotify.com/album/6PhNrNCQCtVqDGZBub4lGf?si=wekmHaqJSgmXtVPCARdGYA" TargetMode="External"/><Relationship Id="rId3749" Type="http://schemas.openxmlformats.org/officeDocument/2006/relationships/hyperlink" Target="https://eversonpoe.bandcamp.com/album/enough-is-a-myth" TargetMode="External"/><Relationship Id="rId3740" Type="http://schemas.openxmlformats.org/officeDocument/2006/relationships/hyperlink" Target="https://ael-fierlen.bandcamp.com/album/all-is-far-away" TargetMode="External"/><Relationship Id="rId2410" Type="http://schemas.openxmlformats.org/officeDocument/2006/relationships/hyperlink" Target="https://kingparrothc.bandcamp.com/album/a-young-persons-guide-to" TargetMode="External"/><Relationship Id="rId3742" Type="http://schemas.openxmlformats.org/officeDocument/2006/relationships/hyperlink" Target="https://www.youtube.com/watch?v=C343PNF0jgs" TargetMode="External"/><Relationship Id="rId2411" Type="http://schemas.openxmlformats.org/officeDocument/2006/relationships/hyperlink" Target="https://open.spotify.com/album/5zMpuU9WDITXPBqxJm1G4F?si=EwCu6QstRuGUGPfAC6AoJA" TargetMode="External"/><Relationship Id="rId3741" Type="http://schemas.openxmlformats.org/officeDocument/2006/relationships/hyperlink" Target="https://open.spotify.com/album/28IxhwodNFkD4CHsaH96Dg?si=IxbJuOPVR-W5HoKzBenCnA" TargetMode="External"/><Relationship Id="rId1114" Type="http://schemas.openxmlformats.org/officeDocument/2006/relationships/hyperlink" Target="https://www.youtube.com/watch?v=zAPGM8CgmHg" TargetMode="External"/><Relationship Id="rId2445" Type="http://schemas.openxmlformats.org/officeDocument/2006/relationships/hyperlink" Target="https://open.spotify.com/album/5XGoW7j6h1Pvz2tMUrUEVh?si=t1Th2cMATgOWOL4ebfeRoQ" TargetMode="External"/><Relationship Id="rId3777" Type="http://schemas.openxmlformats.org/officeDocument/2006/relationships/hyperlink" Target="https://open.spotify.com/album/2TZTo7KqKJTc5MfOnoKiJc?si=DzpjAOA0T1uE8md0BMBNQg" TargetMode="External"/><Relationship Id="rId1115" Type="http://schemas.openxmlformats.org/officeDocument/2006/relationships/hyperlink" Target="https://aversed.bandcamp.com/album/erasure-of-color" TargetMode="External"/><Relationship Id="rId2446" Type="http://schemas.openxmlformats.org/officeDocument/2006/relationships/hyperlink" Target="https://lazerthrone.bandcamp.com/album/tomb-of-the-lunar-oracle" TargetMode="External"/><Relationship Id="rId3776" Type="http://schemas.openxmlformats.org/officeDocument/2006/relationships/hyperlink" Target="https://uniqueleaderrecords.bandcamp.com/album/pf-radio-2" TargetMode="External"/><Relationship Id="rId1116" Type="http://schemas.openxmlformats.org/officeDocument/2006/relationships/hyperlink" Target="https://open.spotify.com/album/0t1VHGEQVoSHPq9R4f4USf?si=Wf7z7K22R8i3Kz2SE3xs7A" TargetMode="External"/><Relationship Id="rId2447" Type="http://schemas.openxmlformats.org/officeDocument/2006/relationships/hyperlink" Target="https://open.spotify.com/album/6CzInidSbR5guaKsHCmQr6?si=ro5Y2rtBSV6w-a7GGlN1Rw" TargetMode="External"/><Relationship Id="rId3779" Type="http://schemas.openxmlformats.org/officeDocument/2006/relationships/hyperlink" Target="https://insideoutmusic.bandcamp.com/album/innerdeeps-24-bit-hd-audio" TargetMode="External"/><Relationship Id="rId1117" Type="http://schemas.openxmlformats.org/officeDocument/2006/relationships/hyperlink" Target="https://open.spotify.com/album/3qwLRjvY7IYpv6N248PIAi?si=tqBjpNFkQlem2XRQP19cjw" TargetMode="External"/><Relationship Id="rId2448" Type="http://schemas.openxmlformats.org/officeDocument/2006/relationships/hyperlink" Target="https://laceratedenemyrecords.bandcamp.com/album/sin-deliverance-universe-of-nightmares" TargetMode="External"/><Relationship Id="rId3778" Type="http://schemas.openxmlformats.org/officeDocument/2006/relationships/hyperlink" Target="https://open.spotify.com/album/5ea5VKYvbGuPNKEJjDm25t?si=A30nFulJSnC8ohseftJDPA" TargetMode="External"/><Relationship Id="rId1118" Type="http://schemas.openxmlformats.org/officeDocument/2006/relationships/hyperlink" Target="https://euphrosyneblacklion.bandcamp.com/album/morus" TargetMode="External"/><Relationship Id="rId2449" Type="http://schemas.openxmlformats.org/officeDocument/2006/relationships/hyperlink" Target="https://open.spotify.com/album/7oWXpMGffgTLCuq9Rh3qUt?si=-G4qdvHKSGe9tHgmA94ECQ" TargetMode="External"/><Relationship Id="rId1119" Type="http://schemas.openxmlformats.org/officeDocument/2006/relationships/hyperlink" Target="https://open.spotify.com/album/0g7TP0yZUsPFiPMoMguigg?si=mIvVeKqrTHWw22UrfI9LUw" TargetMode="External"/><Relationship Id="rId525" Type="http://schemas.openxmlformats.org/officeDocument/2006/relationships/hyperlink" Target="https://open.spotify.com/album/3PaKRoBCDP0wS0GTp5lG8F?si=YmStXY0eQXKex95LunXSFw" TargetMode="External"/><Relationship Id="rId524" Type="http://schemas.openxmlformats.org/officeDocument/2006/relationships/hyperlink" Target="https://fellomen.bandcamp.com/album/invaded-by-a-dark-spirit" TargetMode="External"/><Relationship Id="rId523" Type="http://schemas.openxmlformats.org/officeDocument/2006/relationships/hyperlink" Target="https://open.spotify.com/album/3t2V5dbC3Rf2ygIeHZF1sC?si=aKK4qwd_R6ykDDpvRFqTAQ" TargetMode="External"/><Relationship Id="rId522" Type="http://schemas.openxmlformats.org/officeDocument/2006/relationships/hyperlink" Target="https://rescuecat.bandcamp.com/album/flesh-weapon" TargetMode="External"/><Relationship Id="rId529" Type="http://schemas.openxmlformats.org/officeDocument/2006/relationships/hyperlink" Target="https://open.spotify.com/album/0kdYjWmj6rGKMgkJO23oNl?si=OI4Q25kRRdaDJKyybk1OtA" TargetMode="External"/><Relationship Id="rId528" Type="http://schemas.openxmlformats.org/officeDocument/2006/relationships/hyperlink" Target="https://teryky.bandcamp.com/album/beyond-the-absence-of-light" TargetMode="External"/><Relationship Id="rId527" Type="http://schemas.openxmlformats.org/officeDocument/2006/relationships/hyperlink" Target="https://open.spotify.com/album/3bFFAIHUILPJmF8l24oGhf?si=-p0KtSIKQMmtrjA0SFsXdA" TargetMode="External"/><Relationship Id="rId526" Type="http://schemas.openxmlformats.org/officeDocument/2006/relationships/hyperlink" Target="https://purenoise.bandcamp.com/album/youll-know-it-was-me" TargetMode="External"/><Relationship Id="rId3771" Type="http://schemas.openxmlformats.org/officeDocument/2006/relationships/hyperlink" Target="https://open.spotify.com/album/5m5L2dqBpHIIQu1PrmUmNN?si=gO7hGRxNTpmSDmMbhXuKjQ" TargetMode="External"/><Relationship Id="rId2440" Type="http://schemas.openxmlformats.org/officeDocument/2006/relationships/hyperlink" Target="https://open.spotify.com/album/1QsDlt135jcQNifG69hZ8b?si=v6l1896XSmOKDp-wekb-yA" TargetMode="External"/><Relationship Id="rId3770" Type="http://schemas.openxmlformats.org/officeDocument/2006/relationships/hyperlink" Target="https://theanswerliesintheblackvoid.bandcamp.com/album/transcendental" TargetMode="External"/><Relationship Id="rId521" Type="http://schemas.openxmlformats.org/officeDocument/2006/relationships/hyperlink" Target="https://www.youtube.com/watch?v=fuor_ekVstw" TargetMode="External"/><Relationship Id="rId1110" Type="http://schemas.openxmlformats.org/officeDocument/2006/relationships/hyperlink" Target="https://diathekerr.bandcamp.com/album/and-the-word-was-god" TargetMode="External"/><Relationship Id="rId2441" Type="http://schemas.openxmlformats.org/officeDocument/2006/relationships/hyperlink" Target="https://www.youtube.com/watch?v=OSc09STaEnw" TargetMode="External"/><Relationship Id="rId3773" Type="http://schemas.openxmlformats.org/officeDocument/2006/relationships/hyperlink" Target="https://open.spotify.com/album/6cgf2mesmt2TVCBQqTxKtN?si=GVzS9XPmQTKmpgLQyAkfQw" TargetMode="External"/><Relationship Id="rId520" Type="http://schemas.openxmlformats.org/officeDocument/2006/relationships/hyperlink" Target="https://sleepingchurchrecords.bandcamp.com/album/twilight-of-the-mortals" TargetMode="External"/><Relationship Id="rId1111" Type="http://schemas.openxmlformats.org/officeDocument/2006/relationships/hyperlink" Target="https://open.spotify.com/album/1O6s8OpiCzO12a8tdUXwg5?si=hqXPdGqYRF-07F9AUfNzkw" TargetMode="External"/><Relationship Id="rId2442" Type="http://schemas.openxmlformats.org/officeDocument/2006/relationships/hyperlink" Target="https://comatosemusic.bandcamp.com/album/dystopian-putrescence" TargetMode="External"/><Relationship Id="rId3772" Type="http://schemas.openxmlformats.org/officeDocument/2006/relationships/hyperlink" Target="https://dyingwishband.bandcamp.com/album/flesh-stays-together" TargetMode="External"/><Relationship Id="rId1112" Type="http://schemas.openxmlformats.org/officeDocument/2006/relationships/hyperlink" Target="https://tiberiusuk.bandcamp.com/album/singing-for-company-2" TargetMode="External"/><Relationship Id="rId2443" Type="http://schemas.openxmlformats.org/officeDocument/2006/relationships/hyperlink" Target="https://open.spotify.com/album/0UWWbzTHhF8PQBd50QNVfa?si=qQQg2Q9rTSerbsEIakhbyw" TargetMode="External"/><Relationship Id="rId3775" Type="http://schemas.openxmlformats.org/officeDocument/2006/relationships/hyperlink" Target="https://open.spotify.com/album/22knqM2DQJLssUN4hxjQZz?si=kRlOOz7yT1aQoPn1k6UeUA" TargetMode="External"/><Relationship Id="rId1113" Type="http://schemas.openxmlformats.org/officeDocument/2006/relationships/hyperlink" Target="https://open.spotify.com/album/65CCsC5OHxA0IuJXykgI4L?si=2lNj7D7RQbWvgO5HhmXlXQ" TargetMode="External"/><Relationship Id="rId2444" Type="http://schemas.openxmlformats.org/officeDocument/2006/relationships/hyperlink" Target="https://bearmace.bandcamp.com/album/slaves-of-the-wolf" TargetMode="External"/><Relationship Id="rId3774" Type="http://schemas.openxmlformats.org/officeDocument/2006/relationships/hyperlink" Target="https://korypheus.bandcamp.com/album/gilgamesh" TargetMode="External"/><Relationship Id="rId1103" Type="http://schemas.openxmlformats.org/officeDocument/2006/relationships/hyperlink" Target="https://stormo.bandcamp.com/album/tagli-talee-2" TargetMode="External"/><Relationship Id="rId2434" Type="http://schemas.openxmlformats.org/officeDocument/2006/relationships/hyperlink" Target="https://www.youtube.com/watch?v=hzO_LUXteCE" TargetMode="External"/><Relationship Id="rId3766" Type="http://schemas.openxmlformats.org/officeDocument/2006/relationships/hyperlink" Target="https://sindar.bandcamp.com/album/tower-of-the-sun" TargetMode="External"/><Relationship Id="rId1104" Type="http://schemas.openxmlformats.org/officeDocument/2006/relationships/hyperlink" Target="https://open.spotify.com/album/2SAckXjXMAigSAf5GbpqJT?si=3UnverEGRK-2Yl6HMlW3sw" TargetMode="External"/><Relationship Id="rId2435" Type="http://schemas.openxmlformats.org/officeDocument/2006/relationships/hyperlink" Target="https://open.spotify.com/album/6ygpAFX7jhrhkNOHtGoXF4?si=_2lwKC0pTyi2JgSKwdqOUw" TargetMode="External"/><Relationship Id="rId3765" Type="http://schemas.openxmlformats.org/officeDocument/2006/relationships/hyperlink" Target="https://open.spotify.com/album/1vUew70AZ6KSMZH0bwyjcJ?si=Vk-o2krARrSmSdZlsXRlfQ" TargetMode="External"/><Relationship Id="rId1105" Type="http://schemas.openxmlformats.org/officeDocument/2006/relationships/hyperlink" Target="https://www.youtube.com/watch?v=xC1d3eXaIDs" TargetMode="External"/><Relationship Id="rId2436" Type="http://schemas.openxmlformats.org/officeDocument/2006/relationships/hyperlink" Target="https://austere-official.bandcamp.com/album/the-stillness-of-dissolution" TargetMode="External"/><Relationship Id="rId3768" Type="http://schemas.openxmlformats.org/officeDocument/2006/relationships/hyperlink" Target="https://coilguns.bandcamp.com/album/lost-love" TargetMode="External"/><Relationship Id="rId1106" Type="http://schemas.openxmlformats.org/officeDocument/2006/relationships/hyperlink" Target="https://spiritworldprophet.bandcamp.com/album/helldorado-24-bit-hd-audio" TargetMode="External"/><Relationship Id="rId2437" Type="http://schemas.openxmlformats.org/officeDocument/2006/relationships/hyperlink" Target="https://open.spotify.com/album/4O0636xs0KA4z0FGTgfcSx?si=huP0vVHtTfavu55HPvoDQg" TargetMode="External"/><Relationship Id="rId3767" Type="http://schemas.openxmlformats.org/officeDocument/2006/relationships/hyperlink" Target="https://open.spotify.com/album/3lnX5kz1swtB2kX6HNFBvZ?si=BT98ADefQeCkihhXuqkqrw" TargetMode="External"/><Relationship Id="rId1107" Type="http://schemas.openxmlformats.org/officeDocument/2006/relationships/hyperlink" Target="https://open.spotify.com/album/3uG1XUvK76Y59Zi0FsWMNj?si=x3EWHpmERwCrK3O3tSK-DQ" TargetMode="External"/><Relationship Id="rId2438" Type="http://schemas.openxmlformats.org/officeDocument/2006/relationships/hyperlink" Target="https://www.youtube.com/watch?v=xkKQ9Ts_MT8" TargetMode="External"/><Relationship Id="rId1108" Type="http://schemas.openxmlformats.org/officeDocument/2006/relationships/hyperlink" Target="https://calyces.bandcamp.com/album/fleshy-waves-of-probability" TargetMode="External"/><Relationship Id="rId2439" Type="http://schemas.openxmlformats.org/officeDocument/2006/relationships/hyperlink" Target="https://diabolischeswerk.bandcamp.com/album/against-all-gods" TargetMode="External"/><Relationship Id="rId3769" Type="http://schemas.openxmlformats.org/officeDocument/2006/relationships/hyperlink" Target="https://open.spotify.com/album/5OG2EWbOoDxj00tdkdkryH?si=FIHYEoipRKu2Wg5W5C1BTw" TargetMode="External"/><Relationship Id="rId1109" Type="http://schemas.openxmlformats.org/officeDocument/2006/relationships/hyperlink" Target="https://open.spotify.com/album/53MVx6Se8SUDAIFDiKAwko?si=vwdGJAbnRTq80lBAF-suJA" TargetMode="External"/><Relationship Id="rId519" Type="http://schemas.openxmlformats.org/officeDocument/2006/relationships/hyperlink" Target="https://www.youtube.com/watch?v=tq76RgrRSIk" TargetMode="External"/><Relationship Id="rId514" Type="http://schemas.openxmlformats.org/officeDocument/2006/relationships/hyperlink" Target="https://savagelands.bandcamp.com/album/army-of-the-trees" TargetMode="External"/><Relationship Id="rId513" Type="http://schemas.openxmlformats.org/officeDocument/2006/relationships/hyperlink" Target="https://sparestheband.bandcamp.com/album/spares" TargetMode="External"/><Relationship Id="rId512" Type="http://schemas.openxmlformats.org/officeDocument/2006/relationships/hyperlink" Target="https://open.spotify.com/album/03jLjs7L4Pzh0jSI4EFttp?si=rI41F3crT7S03sHwyvoPsQ" TargetMode="External"/><Relationship Id="rId511" Type="http://schemas.openxmlformats.org/officeDocument/2006/relationships/hyperlink" Target="https://heavypsychsoundsrecords.bandcamp.com/album/warlung-the-poison-touch" TargetMode="External"/><Relationship Id="rId518" Type="http://schemas.openxmlformats.org/officeDocument/2006/relationships/hyperlink" Target="https://open.spotify.com/album/5VDwwTLldHmyQd0bg9hsUy?si=SrCvi94gS16pJeWIWpOI9g" TargetMode="External"/><Relationship Id="rId517" Type="http://schemas.openxmlformats.org/officeDocument/2006/relationships/hyperlink" Target="https://edgedcircleproductions.bandcamp.com/album/violence-our-power" TargetMode="External"/><Relationship Id="rId516" Type="http://schemas.openxmlformats.org/officeDocument/2006/relationships/hyperlink" Target="https://www.youtube.com/watch?v=IH2g8V6i6c0" TargetMode="External"/><Relationship Id="rId515" Type="http://schemas.openxmlformats.org/officeDocument/2006/relationships/hyperlink" Target="https://open.spotify.com/album/0lQjLhpzihGEI2EwaPEhy4?si=fL_9FQFOSrGjuapl_0qOTg" TargetMode="External"/><Relationship Id="rId3760" Type="http://schemas.openxmlformats.org/officeDocument/2006/relationships/hyperlink" Target="https://sundrownedband.bandcamp.com/album/higanbana" TargetMode="External"/><Relationship Id="rId510" Type="http://schemas.openxmlformats.org/officeDocument/2006/relationships/hyperlink" Target="https://open.spotify.com/album/0bSQnviyf3yV10DBfcQJ9L?si=Nv_s_TACTBq3DhOOwWuBRQ" TargetMode="External"/><Relationship Id="rId2430" Type="http://schemas.openxmlformats.org/officeDocument/2006/relationships/hyperlink" Target="https://orthodoxtn.bandcamp.com/album/a-door-left-open-24-bit-hd-audio" TargetMode="External"/><Relationship Id="rId3762" Type="http://schemas.openxmlformats.org/officeDocument/2006/relationships/hyperlink" Target="https://www.youtube.com/watch?v=z5yFoEsDcJk" TargetMode="External"/><Relationship Id="rId1100" Type="http://schemas.openxmlformats.org/officeDocument/2006/relationships/hyperlink" Target="https://open.spotify.com/album/6tVyua8uEaQSwapfNceAL2?si=JwVotTuBQGOCwbFckDerLw" TargetMode="External"/><Relationship Id="rId2431" Type="http://schemas.openxmlformats.org/officeDocument/2006/relationships/hyperlink" Target="https://open.spotify.com/album/7blYE5dWcNhCfnKB8OH0ff?si=9_HEa3uWRzS0slcufRM0RQ" TargetMode="External"/><Relationship Id="rId3761" Type="http://schemas.openxmlformats.org/officeDocument/2006/relationships/hyperlink" Target="https://open.spotify.com/album/7hmp05vSvg9aj9iiFR0J3E?si=Ndtb2QDDTwuS3n8iWSaInw" TargetMode="External"/><Relationship Id="rId1101" Type="http://schemas.openxmlformats.org/officeDocument/2006/relationships/hyperlink" Target="https://imperialtriumphant.bandcamp.com/album/goldstar-24-bit-hd-audio" TargetMode="External"/><Relationship Id="rId2432" Type="http://schemas.openxmlformats.org/officeDocument/2006/relationships/hyperlink" Target="https://gaahlswyrd.bandcamp.com/album/braiding-the-stories" TargetMode="External"/><Relationship Id="rId3764" Type="http://schemas.openxmlformats.org/officeDocument/2006/relationships/hyperlink" Target="https://woundsofrecollection.bandcamp.com/album/i-found-the-love-that-i-was-looking-for" TargetMode="External"/><Relationship Id="rId1102" Type="http://schemas.openxmlformats.org/officeDocument/2006/relationships/hyperlink" Target="https://open.spotify.com/album/2jbYQIDVjx3cWz9yoDmkkU?si=Uo_4PVO5RH2o6NDzIBuupQ" TargetMode="External"/><Relationship Id="rId2433" Type="http://schemas.openxmlformats.org/officeDocument/2006/relationships/hyperlink" Target="https://open.spotify.com/album/1fAZd9dbj8WsySSZ8TyxBC?si=l6peljtXShWUqVBkmNAxOQ" TargetMode="External"/><Relationship Id="rId3763" Type="http://schemas.openxmlformats.org/officeDocument/2006/relationships/hyperlink" Target="https://open.spotify.com/album/6ybCbYsqHt3PT974rC6Mt4?si=BU6qPJ0qRHO9ReYBPUi-ow" TargetMode="External"/><Relationship Id="rId3711" Type="http://schemas.openxmlformats.org/officeDocument/2006/relationships/hyperlink" Target="https://mindfieldband.bandcamp.com/album/an-atonement-for-existence" TargetMode="External"/><Relationship Id="rId3710" Type="http://schemas.openxmlformats.org/officeDocument/2006/relationships/hyperlink" Target="https://open.spotify.com/album/3bYZxk5oIXCopmeLIIB9oc?si=WMBMVo5KSpWVvPsmvqLgUw" TargetMode="External"/><Relationship Id="rId3713" Type="http://schemas.openxmlformats.org/officeDocument/2006/relationships/hyperlink" Target="https://open.spotify.com/album/1XkVFpwqvKYQxH4tM3pJ9Q?si=HlAlnydYTQWFYEmj2kupKg" TargetMode="External"/><Relationship Id="rId3712" Type="http://schemas.openxmlformats.org/officeDocument/2006/relationships/hyperlink" Target="https://open.spotify.com/album/5kIcZnqWf4d3IumjsrcyGN?si=aDBUkZ5RTxu4vIn4jXMRcw" TargetMode="External"/><Relationship Id="rId3715" Type="http://schemas.openxmlformats.org/officeDocument/2006/relationships/hyperlink" Target="https://www.youtube.com/watch?v=mJ9YOK0M0gw" TargetMode="External"/><Relationship Id="rId3714" Type="http://schemas.openxmlformats.org/officeDocument/2006/relationships/hyperlink" Target="https://antiversum.bandcamp.com/album/de-nemesis-omnes-et-omnia" TargetMode="External"/><Relationship Id="rId3717" Type="http://schemas.openxmlformats.org/officeDocument/2006/relationships/hyperlink" Target="https://solicitor-speedmetal.bandcamp.com/album/enemy-in-mirrors" TargetMode="External"/><Relationship Id="rId3716" Type="http://schemas.openxmlformats.org/officeDocument/2006/relationships/hyperlink" Target="https://open.spotify.com/album/7eTLhVrEfzjXE73xbjiC81?si=akv_40wqSOGcRjzkcYis6Q" TargetMode="External"/><Relationship Id="rId3719" Type="http://schemas.openxmlformats.org/officeDocument/2006/relationships/hyperlink" Target="https://ladlo.bandcamp.com/album/tome-ii-ignis-sacer" TargetMode="External"/><Relationship Id="rId3718" Type="http://schemas.openxmlformats.org/officeDocument/2006/relationships/hyperlink" Target="https://mycorrhizal.bandcamp.com/album/the-way-out-is-through" TargetMode="External"/><Relationship Id="rId3700" Type="http://schemas.openxmlformats.org/officeDocument/2006/relationships/hyperlink" Target="https://open.spotify.com/album/5Gr7mI4CD0SuDarf6xIfOG?si=Vd4SCOwtRPSDV_rM_WtZlA" TargetMode="External"/><Relationship Id="rId3702" Type="http://schemas.openxmlformats.org/officeDocument/2006/relationships/hyperlink" Target="https://ancientthrones.bandcamp.com/album/melancholia" TargetMode="External"/><Relationship Id="rId3701" Type="http://schemas.openxmlformats.org/officeDocument/2006/relationships/hyperlink" Target="https://www.youtube.com/watch?v=A8yDIY51tLc" TargetMode="External"/><Relationship Id="rId3704" Type="http://schemas.openxmlformats.org/officeDocument/2006/relationships/hyperlink" Target="https://20buckspin.bandcamp.com/album/changelings" TargetMode="External"/><Relationship Id="rId3703" Type="http://schemas.openxmlformats.org/officeDocument/2006/relationships/hyperlink" Target="https://open.spotify.com/album/0QKlPFnkxjHsVZCEcaDUF8?si=03ha4hyWQI2GRybFlac5hw" TargetMode="External"/><Relationship Id="rId3706" Type="http://schemas.openxmlformats.org/officeDocument/2006/relationships/hyperlink" Target="https://www.youtube.com/watch?v=GrvBgBcw1Yw" TargetMode="External"/><Relationship Id="rId3705" Type="http://schemas.openxmlformats.org/officeDocument/2006/relationships/hyperlink" Target="https://open.spotify.com/album/0SzDj2f1uyZuEVA0IJP0na?si=Kyb5-AEdQ8GfNo1Uoc2Pmw" TargetMode="External"/><Relationship Id="rId3708" Type="http://schemas.openxmlformats.org/officeDocument/2006/relationships/hyperlink" Target="https://open.spotify.com/album/4M4eBB8McPs9fLYsxRWs4n?si=qiHX7FYVT7e2rkBQlmYQbA" TargetMode="External"/><Relationship Id="rId3707" Type="http://schemas.openxmlformats.org/officeDocument/2006/relationships/hyperlink" Target="https://edgedcircleproductions.bandcamp.com/album/this-side-of-the-grave" TargetMode="External"/><Relationship Id="rId3709" Type="http://schemas.openxmlformats.org/officeDocument/2006/relationships/hyperlink" Target="https://tyrannosaurusdimension.bandcamp.com/album/part-3-visions-beyond" TargetMode="External"/><Relationship Id="rId2401" Type="http://schemas.openxmlformats.org/officeDocument/2006/relationships/hyperlink" Target="https://dahuz.bandcamp.com/album/cineres-mundi-2" TargetMode="External"/><Relationship Id="rId3733" Type="http://schemas.openxmlformats.org/officeDocument/2006/relationships/hyperlink" Target="https://manyeyesmusic.bandcamp.com/album/combust" TargetMode="External"/><Relationship Id="rId2402" Type="http://schemas.openxmlformats.org/officeDocument/2006/relationships/hyperlink" Target="https://thebandlera.bandcamp.com/album/r-verie" TargetMode="External"/><Relationship Id="rId3732" Type="http://schemas.openxmlformats.org/officeDocument/2006/relationships/hyperlink" Target="https://www.youtube.com/watch?v=giydJ2yhXfc" TargetMode="External"/><Relationship Id="rId2403" Type="http://schemas.openxmlformats.org/officeDocument/2006/relationships/hyperlink" Target="https://open.spotify.com/album/601gMGVuwWy0R6jOxPfkme?si=JyG_5PwtQzur8IF9FsuhdA" TargetMode="External"/><Relationship Id="rId3735" Type="http://schemas.openxmlformats.org/officeDocument/2006/relationships/hyperlink" Target="https://starsdontmeananything.bandcamp.com/album/fire-is-beautiful" TargetMode="External"/><Relationship Id="rId2404" Type="http://schemas.openxmlformats.org/officeDocument/2006/relationships/hyperlink" Target="https://remainingwarmth.bandcamp.com/album/before-the-years" TargetMode="External"/><Relationship Id="rId3734" Type="http://schemas.openxmlformats.org/officeDocument/2006/relationships/hyperlink" Target="https://open.spotify.com/album/5IQVYQmJvREOGfc8X3iKP1?si=gsHPn1fLRNyomHv1Bjdi9A" TargetMode="External"/><Relationship Id="rId2405" Type="http://schemas.openxmlformats.org/officeDocument/2006/relationships/hyperlink" Target="https://open.spotify.com/album/5hBYmqGmdLL4Em3rUVjhFB?si=AiA-ZghqTVWPTPppJegq9w" TargetMode="External"/><Relationship Id="rId3737" Type="http://schemas.openxmlformats.org/officeDocument/2006/relationships/hyperlink" Target="https://nervealtar.bandcamp.com/album/sub-normal" TargetMode="External"/><Relationship Id="rId2406" Type="http://schemas.openxmlformats.org/officeDocument/2006/relationships/hyperlink" Target="https://www.youtube.com/watch?v=9KEQG6hd4ls" TargetMode="External"/><Relationship Id="rId3736" Type="http://schemas.openxmlformats.org/officeDocument/2006/relationships/hyperlink" Target="https://open.spotify.com/album/7xHOsEg7tO7gHzmIPt8mB3?si=GWmMJU3WR_KIbI1tzbHrew" TargetMode="External"/><Relationship Id="rId2407" Type="http://schemas.openxmlformats.org/officeDocument/2006/relationships/hyperlink" Target="https://open.spotify.com/album/2S8OrBQ0QBy3WcTnwx8zIA?si=CQW_n1hXQRioLrSE4PbNzQ" TargetMode="External"/><Relationship Id="rId3739" Type="http://schemas.openxmlformats.org/officeDocument/2006/relationships/hyperlink" Target="https://open.spotify.com/album/2nqU16PofHJ0cc2UozjjZK?si=kVEu7ccLSvuWnDF0WS5H6g" TargetMode="External"/><Relationship Id="rId2408" Type="http://schemas.openxmlformats.org/officeDocument/2006/relationships/hyperlink" Target="https://centurymedia.bandcamp.com/album/crimson-remix-2025-24-bit-hd-audio" TargetMode="External"/><Relationship Id="rId3738" Type="http://schemas.openxmlformats.org/officeDocument/2006/relationships/hyperlink" Target="https://doomsdayprofit.bandcamp.com/album/doomsday-profit-2" TargetMode="External"/><Relationship Id="rId2409" Type="http://schemas.openxmlformats.org/officeDocument/2006/relationships/hyperlink" Target="https://open.spotify.com/album/6WXwHxB9mxYWO5dH93DwRr?si=wlg9Vy6kSKu4lxoBaoGLRg" TargetMode="External"/><Relationship Id="rId3731" Type="http://schemas.openxmlformats.org/officeDocument/2006/relationships/hyperlink" Target="https://open.spotify.com/album/2IIf5TDbQXAnm9mG5nopdD?si=m4Qj8W6hQuSkRfDWxPXxLQ" TargetMode="External"/><Relationship Id="rId2400" Type="http://schemas.openxmlformats.org/officeDocument/2006/relationships/hyperlink" Target="https://open.spotify.com/album/3mtKK38IAl2fY2IEBX0HXm?si=N6DSxXXHREqRpO0WOMA9Vw" TargetMode="External"/><Relationship Id="rId3730" Type="http://schemas.openxmlformats.org/officeDocument/2006/relationships/hyperlink" Target="https://dyingremains-maggotstomp.bandcamp.com/album/merciless-suffering" TargetMode="External"/><Relationship Id="rId3722" Type="http://schemas.openxmlformats.org/officeDocument/2006/relationships/hyperlink" Target="https://open.spotify.com/album/17sz6mm0MUqnSvPKTeITrr?si=2Ov_1WdgTKuefdKmDjSw7A" TargetMode="External"/><Relationship Id="rId3721" Type="http://schemas.openxmlformats.org/officeDocument/2006/relationships/hyperlink" Target="https://dusktone.bandcamp.com/album/mortichnia" TargetMode="External"/><Relationship Id="rId3724" Type="http://schemas.openxmlformats.org/officeDocument/2006/relationships/hyperlink" Target="https://open.spotify.com/album/6AMQ7ULbmilYJVmR6RgwOC?si=ItW8pydSTfiLZ_9lcA59cQ" TargetMode="External"/><Relationship Id="rId3723" Type="http://schemas.openxmlformats.org/officeDocument/2006/relationships/hyperlink" Target="https://behindstarvation.bandcamp.com/album/the-grief-sower" TargetMode="External"/><Relationship Id="rId3726" Type="http://schemas.openxmlformats.org/officeDocument/2006/relationships/hyperlink" Target="https://open.spotify.com/album/3WvFX05UsHZh62Ym08W1qn?si=jmLcqEyORPW_WXdlIB1sOA" TargetMode="External"/><Relationship Id="rId3725" Type="http://schemas.openxmlformats.org/officeDocument/2006/relationships/hyperlink" Target="https://thelastoblation.bandcamp.com/album/asunder-dreams" TargetMode="External"/><Relationship Id="rId3728" Type="http://schemas.openxmlformats.org/officeDocument/2006/relationships/hyperlink" Target="https://open.spotify.com/album/4IDQv2JorSGI2tkjbWccv1?si=mgmO--k7SMeU0QFg_CBccg" TargetMode="External"/><Relationship Id="rId3727" Type="http://schemas.openxmlformats.org/officeDocument/2006/relationships/hyperlink" Target="https://jordsjuk.bandcamp.com/album/naglet-til-livet" TargetMode="External"/><Relationship Id="rId3729" Type="http://schemas.openxmlformats.org/officeDocument/2006/relationships/hyperlink" Target="https://necrosferatul.bandcamp.com/album/the-last-days-of-mankind" TargetMode="External"/><Relationship Id="rId3720" Type="http://schemas.openxmlformats.org/officeDocument/2006/relationships/hyperlink" Target="https://open.spotify.com/album/5UADNHI93W6ovqndPdWb23?si=wmnbfvBATZa3t2bZnvK1vw" TargetMode="External"/><Relationship Id="rId4206" Type="http://schemas.openxmlformats.org/officeDocument/2006/relationships/hyperlink" Target="https://shedfromthebody.bandcamp.com/album/everything-out-there-has-teeth" TargetMode="External"/><Relationship Id="rId4205" Type="http://schemas.openxmlformats.org/officeDocument/2006/relationships/hyperlink" Target="https://anglerfish-collective.bandcamp.com/album/esca-illicium" TargetMode="External"/><Relationship Id="rId4208" Type="http://schemas.openxmlformats.org/officeDocument/2006/relationships/hyperlink" Target="https://open.spotify.com/album/3mhXEaKL3bNEagpj0aVb29?si=G83ma3aaQoSfxzHXjdEmBg" TargetMode="External"/><Relationship Id="rId4207" Type="http://schemas.openxmlformats.org/officeDocument/2006/relationships/hyperlink" Target="https://deerscreamo.bandcamp.com/album/you-were-so-nice" TargetMode="External"/><Relationship Id="rId590" Type="http://schemas.openxmlformats.org/officeDocument/2006/relationships/hyperlink" Target="https://marrowomb.bandcamp.com/album/phisenomie" TargetMode="External"/><Relationship Id="rId4209" Type="http://schemas.openxmlformats.org/officeDocument/2006/relationships/hyperlink" Target="https://krallice.bandcamp.com/album/no-hope" TargetMode="External"/><Relationship Id="rId589" Type="http://schemas.openxmlformats.org/officeDocument/2006/relationships/hyperlink" Target="https://open.spotify.com/album/7c481P4ertLg2JC9BhVqvs?si=UNSPXyIhRxWU_AntUAA8sg" TargetMode="External"/><Relationship Id="rId588" Type="http://schemas.openxmlformats.org/officeDocument/2006/relationships/hyperlink" Target="https://wrekmeisterharmonies.bandcamp.com/album/flowers-in-the-spring" TargetMode="External"/><Relationship Id="rId1170" Type="http://schemas.openxmlformats.org/officeDocument/2006/relationships/hyperlink" Target="https://starvedoflight.bandcamp.com/album/into-early-mourning" TargetMode="External"/><Relationship Id="rId1171" Type="http://schemas.openxmlformats.org/officeDocument/2006/relationships/hyperlink" Target="https://open.spotify.com/album/4us7nEs7ZCbbuNXwdCkEVc?si=uWFgLdOxTxKg47zUnT1Ptg" TargetMode="External"/><Relationship Id="rId583" Type="http://schemas.openxmlformats.org/officeDocument/2006/relationships/hyperlink" Target="https://silverstein.bandcamp.com/album/antibloom" TargetMode="External"/><Relationship Id="rId1172" Type="http://schemas.openxmlformats.org/officeDocument/2006/relationships/hyperlink" Target="https://mykingdommusic.bandcamp.com/album/prelude-of-loss" TargetMode="External"/><Relationship Id="rId582" Type="http://schemas.openxmlformats.org/officeDocument/2006/relationships/hyperlink" Target="https://www.youtube.com/watch?v=ezvGTpUUESs" TargetMode="External"/><Relationship Id="rId1173" Type="http://schemas.openxmlformats.org/officeDocument/2006/relationships/hyperlink" Target="https://open.spotify.com/album/1zoA7AbGFVAxCMmFQILpC9?si=JABBQ2XzRYi-gXYnyJ42iw" TargetMode="External"/><Relationship Id="rId581" Type="http://schemas.openxmlformats.org/officeDocument/2006/relationships/hyperlink" Target="https://open.spotify.com/album/55XIjYU6kchWyDljHOux2h?si=uUDG0PDcT3qNFId-zm1ECA" TargetMode="External"/><Relationship Id="rId1174" Type="http://schemas.openxmlformats.org/officeDocument/2006/relationships/hyperlink" Target="https://throughloverec.bandcamp.com/album/flowers-knives" TargetMode="External"/><Relationship Id="rId4200" Type="http://schemas.openxmlformats.org/officeDocument/2006/relationships/hyperlink" Target="https://www.youtube.com/watch?v=fZg47haV4qs" TargetMode="External"/><Relationship Id="rId580" Type="http://schemas.openxmlformats.org/officeDocument/2006/relationships/hyperlink" Target="https://www.youtube.com/watch?v=h7vlh54Z96Y" TargetMode="External"/><Relationship Id="rId1175" Type="http://schemas.openxmlformats.org/officeDocument/2006/relationships/hyperlink" Target="https://open.spotify.com/album/5mSuJGT7re29WenHffTucI?si=Kp9_xOe8QBahpDt8NxgC8w" TargetMode="External"/><Relationship Id="rId587" Type="http://schemas.openxmlformats.org/officeDocument/2006/relationships/hyperlink" Target="https://www.youtube.com/watch?v=anVsK0BN820" TargetMode="External"/><Relationship Id="rId1176" Type="http://schemas.openxmlformats.org/officeDocument/2006/relationships/hyperlink" Target="https://smolderbrainsrecords.bandcamp.com/album/war-on-drugs" TargetMode="External"/><Relationship Id="rId4202" Type="http://schemas.openxmlformats.org/officeDocument/2006/relationships/hyperlink" Target="https://open.spotify.com/album/0xjGKcSUPGlA42kZLQygjX?si=TFnqOU7xTsSGTNJocnCXxQ" TargetMode="External"/><Relationship Id="rId586" Type="http://schemas.openxmlformats.org/officeDocument/2006/relationships/hyperlink" Target="https://open.spotify.com/album/2gqbTA3V3JM2DOMEGFj0G9?si=NihrwCwsQDimqH5fruuaRQ" TargetMode="External"/><Relationship Id="rId1177" Type="http://schemas.openxmlformats.org/officeDocument/2006/relationships/hyperlink" Target="https://serialhawk.bandcamp.com/album/psychic-pain" TargetMode="External"/><Relationship Id="rId4201" Type="http://schemas.openxmlformats.org/officeDocument/2006/relationships/hyperlink" Target="https://vanguardian.bandcamp.com/album/iii-inhumanity" TargetMode="External"/><Relationship Id="rId585" Type="http://schemas.openxmlformats.org/officeDocument/2006/relationships/hyperlink" Target="https://grab.bandcamp.com/album/kremess" TargetMode="External"/><Relationship Id="rId1178" Type="http://schemas.openxmlformats.org/officeDocument/2006/relationships/hyperlink" Target="https://open.spotify.com/album/5EhzpZAOUjPeGCDw4tCIdL?si=5GsmStXOTmGCYnpZIzmOhQ" TargetMode="External"/><Relationship Id="rId4204" Type="http://schemas.openxmlformats.org/officeDocument/2006/relationships/hyperlink" Target="https://open.spotify.com/album/0tkZMqa2N5z8lHMBcOmAgp?si=tzfzMvTFSh2nChkX7fz9fQ" TargetMode="External"/><Relationship Id="rId584" Type="http://schemas.openxmlformats.org/officeDocument/2006/relationships/hyperlink" Target="https://open.spotify.com/album/7BNQ4V36nmrd3m8ckYmFSk?si=hXd68b3cQce3xQtMiG1evQ" TargetMode="External"/><Relationship Id="rId1179" Type="http://schemas.openxmlformats.org/officeDocument/2006/relationships/hyperlink" Target="https://dazestyle.bandcamp.com/album/ashen-skies" TargetMode="External"/><Relationship Id="rId4203" Type="http://schemas.openxmlformats.org/officeDocument/2006/relationships/hyperlink" Target="https://www.youtube.com/watch?v=-uBI9C7i1fY" TargetMode="External"/><Relationship Id="rId1169" Type="http://schemas.openxmlformats.org/officeDocument/2006/relationships/hyperlink" Target="https://www.youtube.com/watch?v=vPV1u95Edio" TargetMode="External"/><Relationship Id="rId579" Type="http://schemas.openxmlformats.org/officeDocument/2006/relationships/hyperlink" Target="https://open.spotify.com/album/7cekR9owkcFWwzJA365Dq5?si=irEYrNzARPiMCtJh_lXaeA" TargetMode="External"/><Relationship Id="rId578" Type="http://schemas.openxmlformats.org/officeDocument/2006/relationships/hyperlink" Target="https://open.spotify.com/album/4R6GiOhX2vDGuDrp7hwXD0?si=d9_8vQVFRGKAfIoqhKHSMA" TargetMode="External"/><Relationship Id="rId577" Type="http://schemas.openxmlformats.org/officeDocument/2006/relationships/hyperlink" Target="https://arisingempire.bandcamp.com/album/the-dark-ep" TargetMode="External"/><Relationship Id="rId2490" Type="http://schemas.openxmlformats.org/officeDocument/2006/relationships/hyperlink" Target="https://open.spotify.com/album/3PB7vo32FUStCJoFOxGEK9?si=AiWMvQyzR6m7rsDkV7YIyg" TargetMode="External"/><Relationship Id="rId1160" Type="http://schemas.openxmlformats.org/officeDocument/2006/relationships/hyperlink" Target="https://open.spotify.com/album/30fVWhRzp72yZSeZMHqVSJ?si=a9Kp95GGQgqKtVA0oxJtag" TargetMode="External"/><Relationship Id="rId2491" Type="http://schemas.openxmlformats.org/officeDocument/2006/relationships/hyperlink" Target="https://paleskin.bandcamp.com/album/euphoric-end" TargetMode="External"/><Relationship Id="rId572" Type="http://schemas.openxmlformats.org/officeDocument/2006/relationships/hyperlink" Target="https://scareqc.bandcamp.com/album/in-the-end-was-it-worth-it" TargetMode="External"/><Relationship Id="rId1161" Type="http://schemas.openxmlformats.org/officeDocument/2006/relationships/hyperlink" Target="https://neroth.bandcamp.com/album/transcendence" TargetMode="External"/><Relationship Id="rId2492" Type="http://schemas.openxmlformats.org/officeDocument/2006/relationships/hyperlink" Target="https://open.spotify.com/album/0HBpa7JkJMWd7cJgZFQHfN?si=OIzJ8HjdRnm-k6jaiUROuw" TargetMode="External"/><Relationship Id="rId571" Type="http://schemas.openxmlformats.org/officeDocument/2006/relationships/hyperlink" Target="https://open.spotify.com/album/68feMshVFpXVlyR7QdoULV?si=JY4Yk8UXRrmX6UXipZLTew" TargetMode="External"/><Relationship Id="rId1162" Type="http://schemas.openxmlformats.org/officeDocument/2006/relationships/hyperlink" Target="https://open.spotify.com/album/4KyGhnJbpDLJupH4hVENDh?si=8W4SvMpsRUGJEneKrKN_jA" TargetMode="External"/><Relationship Id="rId2493" Type="http://schemas.openxmlformats.org/officeDocument/2006/relationships/hyperlink" Target="https://ourearthisatomb.bandcamp.com/album/flowers-of-faith-dregs-of-black" TargetMode="External"/><Relationship Id="rId570" Type="http://schemas.openxmlformats.org/officeDocument/2006/relationships/hyperlink" Target="https://crossbringer.bandcamp.com/album/healismus-aeternus" TargetMode="External"/><Relationship Id="rId1163" Type="http://schemas.openxmlformats.org/officeDocument/2006/relationships/hyperlink" Target="https://souldemise.bandcamp.com/album/against-the-abyss" TargetMode="External"/><Relationship Id="rId2494" Type="http://schemas.openxmlformats.org/officeDocument/2006/relationships/hyperlink" Target="https://open.spotify.com/album/2u9Fpq56ZmBPzkCOdRmbtK?si=LiaA7We9Ri2OIX6McE10ow" TargetMode="External"/><Relationship Id="rId1164" Type="http://schemas.openxmlformats.org/officeDocument/2006/relationships/hyperlink" Target="https://open.spotify.com/album/43hSaM0odfrGLLwyb0hhld?si=GeUoWS3CRdG1g8zIXIdrXA" TargetMode="External"/><Relationship Id="rId2495" Type="http://schemas.openxmlformats.org/officeDocument/2006/relationships/hyperlink" Target="https://bloodwood.bandcamp.com/album/dark-simulator" TargetMode="External"/><Relationship Id="rId576" Type="http://schemas.openxmlformats.org/officeDocument/2006/relationships/hyperlink" Target="https://www.youtube.com/watch?v=-i0UJik2VOI" TargetMode="External"/><Relationship Id="rId1165" Type="http://schemas.openxmlformats.org/officeDocument/2006/relationships/hyperlink" Target="https://psyclonnine.bandcamp.com/album/and-then-oblivion" TargetMode="External"/><Relationship Id="rId2496" Type="http://schemas.openxmlformats.org/officeDocument/2006/relationships/hyperlink" Target="https://open.spotify.com/album/3E7EchNa956vWJD0JSO5BZ?si=oxc2gvpGTCu73ar2xNNA7g" TargetMode="External"/><Relationship Id="rId575" Type="http://schemas.openxmlformats.org/officeDocument/2006/relationships/hyperlink" Target="https://open.spotify.com/album/3PhM7A9vJSl7aivTf6n5PA?si=37f9kVwPR3ucohurXsnGKA" TargetMode="External"/><Relationship Id="rId1166" Type="http://schemas.openxmlformats.org/officeDocument/2006/relationships/hyperlink" Target="https://open.spotify.com/album/4zQfg27OoFVllp7L1i5hVW?si=Pz_x7mmPTE6Tr1B6Np6EDA" TargetMode="External"/><Relationship Id="rId2497" Type="http://schemas.openxmlformats.org/officeDocument/2006/relationships/hyperlink" Target="https://thelotusmatter.bandcamp.com/album/in-limbo-pt-1" TargetMode="External"/><Relationship Id="rId574" Type="http://schemas.openxmlformats.org/officeDocument/2006/relationships/hyperlink" Target="https://scourofficial.bandcamp.com/album/gold" TargetMode="External"/><Relationship Id="rId1167" Type="http://schemas.openxmlformats.org/officeDocument/2006/relationships/hyperlink" Target="https://agoniarecords.bandcamp.com/album/inherited-tendencies-for-self-destruction" TargetMode="External"/><Relationship Id="rId2498" Type="http://schemas.openxmlformats.org/officeDocument/2006/relationships/hyperlink" Target="https://open.spotify.com/album/6w7u5T33qSVYhiUzihsCyF?si=gSTaGoGbTTK_9lrixqKtEw" TargetMode="External"/><Relationship Id="rId573" Type="http://schemas.openxmlformats.org/officeDocument/2006/relationships/hyperlink" Target="https://open.spotify.com/album/1iNH665QBzCAsQRVJD3Ssv?si=Hkm46frXSf2nsN3hxYX-Qw" TargetMode="External"/><Relationship Id="rId1168" Type="http://schemas.openxmlformats.org/officeDocument/2006/relationships/hyperlink" Target="https://open.spotify.com/album/7twGqetm9lxaISxMNzYI2a?si=irH4kQbqRwWRTM7V-h288Q" TargetMode="External"/><Relationship Id="rId2499" Type="http://schemas.openxmlformats.org/officeDocument/2006/relationships/hyperlink" Target="https://peaceville.bandcamp.com/album/i-saw-the-world-end-hangmans-hymn-mmxxv" TargetMode="External"/><Relationship Id="rId4228" Type="http://schemas.openxmlformats.org/officeDocument/2006/relationships/hyperlink" Target="https://conjureruk.bandcamp.com/album/unself" TargetMode="External"/><Relationship Id="rId4227" Type="http://schemas.openxmlformats.org/officeDocument/2006/relationships/hyperlink" Target="https://mastiffhchc.bandcamp.com/album/for-all-the-dead-dreams" TargetMode="External"/><Relationship Id="rId4229" Type="http://schemas.openxmlformats.org/officeDocument/2006/relationships/hyperlink" Target="https://psychonautband.bandcamp.com/album/world-maker" TargetMode="External"/><Relationship Id="rId1190" Type="http://schemas.openxmlformats.org/officeDocument/2006/relationships/hyperlink" Target="https://www.youtube.com/watch?v=ndncJQCVIjY" TargetMode="External"/><Relationship Id="rId1191" Type="http://schemas.openxmlformats.org/officeDocument/2006/relationships/hyperlink" Target="https://crossed.bandcamp.com/album/realismo-ausente" TargetMode="External"/><Relationship Id="rId1192" Type="http://schemas.openxmlformats.org/officeDocument/2006/relationships/hyperlink" Target="https://psalmnyc.bandcamp.com/album/psalm" TargetMode="External"/><Relationship Id="rId1193" Type="http://schemas.openxmlformats.org/officeDocument/2006/relationships/hyperlink" Target="https://open.spotify.com/album/4hzlgF1cBf8UYZAFbup3FO?si=xgHvq-qGRb-YBzKhhMDE8Q" TargetMode="External"/><Relationship Id="rId1194" Type="http://schemas.openxmlformats.org/officeDocument/2006/relationships/hyperlink" Target="https://open.spotify.com/album/6wJkFzQUA2uiYIcthxBVZH?si=rrrpN8KSQ3qI5d0zcg7gWg" TargetMode="External"/><Relationship Id="rId4220" Type="http://schemas.openxmlformats.org/officeDocument/2006/relationships/hyperlink" Target="https://insideoutmusic.bandcamp.com/album/an-evening-of-atonement-live-24-bit-hd-audio" TargetMode="External"/><Relationship Id="rId1195" Type="http://schemas.openxmlformats.org/officeDocument/2006/relationships/hyperlink" Target="https://bloodymountainrecords.bandcamp.com/album/anhedonia" TargetMode="External"/><Relationship Id="rId1196" Type="http://schemas.openxmlformats.org/officeDocument/2006/relationships/hyperlink" Target="https://citadelband.bandcamp.com/album/descension" TargetMode="External"/><Relationship Id="rId4222" Type="http://schemas.openxmlformats.org/officeDocument/2006/relationships/hyperlink" Target="https://oldyearboise.bandcamp.com/album/no-dissent" TargetMode="External"/><Relationship Id="rId1197" Type="http://schemas.openxmlformats.org/officeDocument/2006/relationships/hyperlink" Target="https://open.spotify.com/album/6giImihI4k6XYIMxdQVSSu?si=p1Ka9gJtTH-yKIoqH7RSrA" TargetMode="External"/><Relationship Id="rId4221" Type="http://schemas.openxmlformats.org/officeDocument/2006/relationships/hyperlink" Target="https://blackshapemusic.bandcamp.com/album/prismer-i-2" TargetMode="External"/><Relationship Id="rId1198" Type="http://schemas.openxmlformats.org/officeDocument/2006/relationships/hyperlink" Target="https://open.spotify.com/album/2VRO93qstNIxlf3Rd45qDq?si=xL_2GdYZT2OufVs8IUwFDA" TargetMode="External"/><Relationship Id="rId4224" Type="http://schemas.openxmlformats.org/officeDocument/2006/relationships/hyperlink" Target="https://maladieband.bandcamp.com/album/symptoms-v" TargetMode="External"/><Relationship Id="rId1199" Type="http://schemas.openxmlformats.org/officeDocument/2006/relationships/hyperlink" Target="https://www.youtube.com/watch?v=xVwKPu7t_BM" TargetMode="External"/><Relationship Id="rId4223" Type="http://schemas.openxmlformats.org/officeDocument/2006/relationships/hyperlink" Target="https://raeinband.bandcamp.com/album/forme-sommerse" TargetMode="External"/><Relationship Id="rId4226" Type="http://schemas.openxmlformats.org/officeDocument/2006/relationships/hyperlink" Target="https://downswing.bandcamp.com/album/and-everything-was-dark" TargetMode="External"/><Relationship Id="rId4225" Type="http://schemas.openxmlformats.org/officeDocument/2006/relationships/hyperlink" Target="https://www.youtube.com/watch?v=iFel9ADEXAQ" TargetMode="External"/><Relationship Id="rId4217" Type="http://schemas.openxmlformats.org/officeDocument/2006/relationships/hyperlink" Target="https://dawnwalker.bandcamp.com/album/the-between" TargetMode="External"/><Relationship Id="rId4216" Type="http://schemas.openxmlformats.org/officeDocument/2006/relationships/hyperlink" Target="https://purenoise.bandcamp.com/album/cinemetal" TargetMode="External"/><Relationship Id="rId4219" Type="http://schemas.openxmlformats.org/officeDocument/2006/relationships/hyperlink" Target="https://aduanten.bandcamp.com/album/apocryphal-verse" TargetMode="External"/><Relationship Id="rId4218" Type="http://schemas.openxmlformats.org/officeDocument/2006/relationships/hyperlink" Target="https://www.youtube.com/watch?v=KYNDzwXW6XY" TargetMode="External"/><Relationship Id="rId599" Type="http://schemas.openxmlformats.org/officeDocument/2006/relationships/hyperlink" Target="https://nachtblut.bandcamp.com/album/todschick" TargetMode="External"/><Relationship Id="rId1180" Type="http://schemas.openxmlformats.org/officeDocument/2006/relationships/hyperlink" Target="https://open.spotify.com/album/4bXwjPsyb2hdkNurt8R0dV?si=5k0eQuowT0C5oXIl5CgwDw" TargetMode="External"/><Relationship Id="rId1181" Type="http://schemas.openxmlformats.org/officeDocument/2006/relationships/hyperlink" Target="https://boundxbyxmodernxage.bandcamp.com/album/iii" TargetMode="External"/><Relationship Id="rId1182" Type="http://schemas.openxmlformats.org/officeDocument/2006/relationships/hyperlink" Target="https://euphoriasembrace.bandcamp.com/album/radiance" TargetMode="External"/><Relationship Id="rId594" Type="http://schemas.openxmlformats.org/officeDocument/2006/relationships/hyperlink" Target="https://defiledserenity.bandcamp.com/album/within-the-slumber-of-the-mind" TargetMode="External"/><Relationship Id="rId1183" Type="http://schemas.openxmlformats.org/officeDocument/2006/relationships/hyperlink" Target="https://open.spotify.com/album/46yXVejkTUKdiph9czk4N4?si=PYGpq-dVSK6zM2bLneqL5w" TargetMode="External"/><Relationship Id="rId593" Type="http://schemas.openxmlformats.org/officeDocument/2006/relationships/hyperlink" Target="https://www.youtube.com/watch?v=sjOT-qbvIM0" TargetMode="External"/><Relationship Id="rId1184" Type="http://schemas.openxmlformats.org/officeDocument/2006/relationships/hyperlink" Target="https://blossomandwither.bandcamp.com/album/nevermore" TargetMode="External"/><Relationship Id="rId592" Type="http://schemas.openxmlformats.org/officeDocument/2006/relationships/hyperlink" Target="https://open.spotify.com/album/340IBUCRb22ACK9tOpwXwq?si=LaseYaHIT82fWSzTaIi1VQ" TargetMode="External"/><Relationship Id="rId1185" Type="http://schemas.openxmlformats.org/officeDocument/2006/relationships/hyperlink" Target="https://open.spotify.com/album/1ODo1oXShsGJ29FBXvAa45?si=x1lLeSktQKKtFZ6REqzYvQ" TargetMode="External"/><Relationship Id="rId4211" Type="http://schemas.openxmlformats.org/officeDocument/2006/relationships/hyperlink" Target="https://rolotomassi.bandcamp.com/album/in-the-echoes-of-all-dreams" TargetMode="External"/><Relationship Id="rId591" Type="http://schemas.openxmlformats.org/officeDocument/2006/relationships/hyperlink" Target="https://retromorphosisofficial.bandcamp.com/album/psalmus-mortis" TargetMode="External"/><Relationship Id="rId1186" Type="http://schemas.openxmlformats.org/officeDocument/2006/relationships/hyperlink" Target="https://ordovicianrecords.bandcamp.com/album/pestifere-there-was-never-light" TargetMode="External"/><Relationship Id="rId4210" Type="http://schemas.openxmlformats.org/officeDocument/2006/relationships/hyperlink" Target="https://www.youtube.com/watch?v=amu97lk9NdY" TargetMode="External"/><Relationship Id="rId598" Type="http://schemas.openxmlformats.org/officeDocument/2006/relationships/hyperlink" Target="https://open.spotify.com/album/31qlPwxAnpcs2ETR0rtb43?si=6da7znu0T56jQmmnE3_-Vw" TargetMode="External"/><Relationship Id="rId1187" Type="http://schemas.openxmlformats.org/officeDocument/2006/relationships/hyperlink" Target="https://open.spotify.com/album/7rUnsnsvzvFcZy2bU7ZFkD?si=eWl4jnnCRNeNDaDJvOqgxA" TargetMode="External"/><Relationship Id="rId4213" Type="http://schemas.openxmlformats.org/officeDocument/2006/relationships/hyperlink" Target="https://open.spotify.com/album/5mRJdMHu8RyKmnIRfeGfZq?si=NbetqsAvSdKLArxqzxtOyw" TargetMode="External"/><Relationship Id="rId597" Type="http://schemas.openxmlformats.org/officeDocument/2006/relationships/hyperlink" Target="https://disciplesofwren.bandcamp.com/album/black-rain-falls" TargetMode="External"/><Relationship Id="rId1188" Type="http://schemas.openxmlformats.org/officeDocument/2006/relationships/hyperlink" Target="https://rancidcadaver.bandcamp.com/album/mortality-denied" TargetMode="External"/><Relationship Id="rId4212" Type="http://schemas.openxmlformats.org/officeDocument/2006/relationships/hyperlink" Target="https://erynnondae.bandcamp.com/album/disunited-states-of-anima" TargetMode="External"/><Relationship Id="rId596" Type="http://schemas.openxmlformats.org/officeDocument/2006/relationships/hyperlink" Target="https://www.youtube.com/watch?v=rz2-gaVblag" TargetMode="External"/><Relationship Id="rId1189" Type="http://schemas.openxmlformats.org/officeDocument/2006/relationships/hyperlink" Target="https://open.spotify.com/album/1U2m23kSbQ0HeSUPjascCo?si=VVPK70k_SWONZrA3cGDe2w" TargetMode="External"/><Relationship Id="rId4215" Type="http://schemas.openxmlformats.org/officeDocument/2006/relationships/hyperlink" Target="https://heavensgatecorp.bandcamp.com/album/a-heart-is-a-heavy-burden" TargetMode="External"/><Relationship Id="rId595" Type="http://schemas.openxmlformats.org/officeDocument/2006/relationships/hyperlink" Target="https://open.spotify.com/album/1oR6mDo0koTdRKKLIoDJuF?si=SyHashnJTsOwqhYlMdEU5g" TargetMode="External"/><Relationship Id="rId4214" Type="http://schemas.openxmlformats.org/officeDocument/2006/relationships/hyperlink" Target="https://avantgardemusic.bandcamp.com/album/necrotic-surface-discarded" TargetMode="External"/><Relationship Id="rId1136" Type="http://schemas.openxmlformats.org/officeDocument/2006/relationships/hyperlink" Target="https://open.spotify.com/album/4N7xKiULDcHDWy1h07V5Y1?si=iMJX3CC1QcWUx59wg5FNaQ" TargetMode="External"/><Relationship Id="rId2467" Type="http://schemas.openxmlformats.org/officeDocument/2006/relationships/hyperlink" Target="https://cromlechdarknessshallrise.bandcamp.com/album/of-owls-and-eels" TargetMode="External"/><Relationship Id="rId3799" Type="http://schemas.openxmlformats.org/officeDocument/2006/relationships/hyperlink" Target="https://www.youtube.com/watch?v=3GYYLF257HA" TargetMode="External"/><Relationship Id="rId1137" Type="http://schemas.openxmlformats.org/officeDocument/2006/relationships/hyperlink" Target="https://bakupostmetal.bandcamp.com/album/soma" TargetMode="External"/><Relationship Id="rId2468" Type="http://schemas.openxmlformats.org/officeDocument/2006/relationships/hyperlink" Target="https://open.spotify.com/album/6T9P1D1E4emAYae9yZYoE0?si=GI92CW2iRvKCrI2Y40gTPQ" TargetMode="External"/><Relationship Id="rId3798" Type="http://schemas.openxmlformats.org/officeDocument/2006/relationships/hyperlink" Target="https://demiurgon-label.bandcamp.com/album/miasmatic-deathless-chamber" TargetMode="External"/><Relationship Id="rId1138" Type="http://schemas.openxmlformats.org/officeDocument/2006/relationships/hyperlink" Target="https://open.spotify.com/album/6wvacBuixGkYS33j1906Hj?si=Ey-elWnDTjSfXJKuFEyz-g" TargetMode="External"/><Relationship Id="rId2469" Type="http://schemas.openxmlformats.org/officeDocument/2006/relationships/hyperlink" Target="https://www.youtube.com/watch?v=DlASMij4BN8" TargetMode="External"/><Relationship Id="rId1139" Type="http://schemas.openxmlformats.org/officeDocument/2006/relationships/hyperlink" Target="https://www.youtube.com/watch?v=hSGTmP_Bbw4" TargetMode="External"/><Relationship Id="rId547" Type="http://schemas.openxmlformats.org/officeDocument/2006/relationships/hyperlink" Target="https://xtreemmusic.bandcamp.com/album/age-of-manipulation" TargetMode="External"/><Relationship Id="rId546" Type="http://schemas.openxmlformats.org/officeDocument/2006/relationships/hyperlink" Target="https://open.spotify.com/album/3AnsWd4gCEmT7PyMNYlDqW?si=r3HAZXpYR3qU543eXEoUsg" TargetMode="External"/><Relationship Id="rId545" Type="http://schemas.openxmlformats.org/officeDocument/2006/relationships/hyperlink" Target="https://trha.bandcamp.com/album/umad-ejja-ervaj" TargetMode="External"/><Relationship Id="rId544" Type="http://schemas.openxmlformats.org/officeDocument/2006/relationships/hyperlink" Target="https://open.spotify.com/album/7JnGz1j2e4MGHuN4n9rg6k?si=0OCmDOkbQAKAk3n7QKRbsQ" TargetMode="External"/><Relationship Id="rId549" Type="http://schemas.openxmlformats.org/officeDocument/2006/relationships/hyperlink" Target="https://sinofgod.bandcamp.com/album/blood-bound" TargetMode="External"/><Relationship Id="rId548" Type="http://schemas.openxmlformats.org/officeDocument/2006/relationships/hyperlink" Target="https://www.youtube.com/watch?v=XE-vhLkaJNY" TargetMode="External"/><Relationship Id="rId3791" Type="http://schemas.openxmlformats.org/officeDocument/2006/relationships/hyperlink" Target="https://open.spotify.com/album/6pGsuvYXgqOFO72Dmn3Ylc?si=MYAnyW4BQHWyxwmj7UQrkQ" TargetMode="External"/><Relationship Id="rId2460" Type="http://schemas.openxmlformats.org/officeDocument/2006/relationships/hyperlink" Target="https://open.spotify.com/album/1EXDY3J727yt5Hu9LQJJKt?si=4aWkB4ZqSxqHhQaDbluVEw" TargetMode="External"/><Relationship Id="rId3790" Type="http://schemas.openxmlformats.org/officeDocument/2006/relationships/hyperlink" Target="https://hammerheart.bandcamp.com/album/vattenkrafternas-spel" TargetMode="External"/><Relationship Id="rId1130" Type="http://schemas.openxmlformats.org/officeDocument/2006/relationships/hyperlink" Target="https://popevil.bandcamp.com/album/what-remains" TargetMode="External"/><Relationship Id="rId2461" Type="http://schemas.openxmlformats.org/officeDocument/2006/relationships/hyperlink" Target="https://www.youtube.com/watch?v=RqD70Z30z0U" TargetMode="External"/><Relationship Id="rId3793" Type="http://schemas.openxmlformats.org/officeDocument/2006/relationships/hyperlink" Target="https://rageofficial.bandcamp.com/album/a-new-world-rising" TargetMode="External"/><Relationship Id="rId1131" Type="http://schemas.openxmlformats.org/officeDocument/2006/relationships/hyperlink" Target="https://open.spotify.com/album/7JM5GLdSqPk6GcR5A9crn9?si=s2_syVITQlesUUYjoulaTA" TargetMode="External"/><Relationship Id="rId2462" Type="http://schemas.openxmlformats.org/officeDocument/2006/relationships/hyperlink" Target="https://aganoor.bandcamp.com/album/doomerism" TargetMode="External"/><Relationship Id="rId3792" Type="http://schemas.openxmlformats.org/officeDocument/2006/relationships/hyperlink" Target="https://www.youtube.com/watch?v=Idazf7TxEz0" TargetMode="External"/><Relationship Id="rId543" Type="http://schemas.openxmlformats.org/officeDocument/2006/relationships/hyperlink" Target="https://cosmic-voyager.bandcamp.com/album/moon-in-gemini" TargetMode="External"/><Relationship Id="rId1132" Type="http://schemas.openxmlformats.org/officeDocument/2006/relationships/hyperlink" Target="https://gatestohell.bandcamp.com/album/death-comes-to-all" TargetMode="External"/><Relationship Id="rId2463" Type="http://schemas.openxmlformats.org/officeDocument/2006/relationships/hyperlink" Target="https://open.spotify.com/album/6O60eNhLFHVILolFaHmEHY?si=SFD53A3VRne0bxyAhMOtxg" TargetMode="External"/><Relationship Id="rId3795" Type="http://schemas.openxmlformats.org/officeDocument/2006/relationships/hyperlink" Target="https://fauna.bandcamp.com/album/ochre-ash" TargetMode="External"/><Relationship Id="rId542" Type="http://schemas.openxmlformats.org/officeDocument/2006/relationships/hyperlink" Target="https://open.spotify.com/album/76ibsqeUAIMm77cuvpyaM1?si=WcqibgUUSs6GpAHy8lW2kg" TargetMode="External"/><Relationship Id="rId1133" Type="http://schemas.openxmlformats.org/officeDocument/2006/relationships/hyperlink" Target="https://open.spotify.com/album/1vVphGTpY9ikQdWuyH6DKx?si=IWgeio02TFWdb8_i0eOzoA" TargetMode="External"/><Relationship Id="rId2464" Type="http://schemas.openxmlformats.org/officeDocument/2006/relationships/hyperlink" Target="https://burymeinthedesert.bandcamp.com/album/pilgrim" TargetMode="External"/><Relationship Id="rId3794" Type="http://schemas.openxmlformats.org/officeDocument/2006/relationships/hyperlink" Target="https://open.spotify.com/album/1q6GzIFxOvsFe2BikucGpU?si=u_V4Nkk1T2eVQ4XeRz_mYQ" TargetMode="External"/><Relationship Id="rId541" Type="http://schemas.openxmlformats.org/officeDocument/2006/relationships/hyperlink" Target="https://eklyps.bandcamp.com/album/handover" TargetMode="External"/><Relationship Id="rId1134" Type="http://schemas.openxmlformats.org/officeDocument/2006/relationships/hyperlink" Target="https://www.youtube.com/watch?v=wPbAs2CpqXc" TargetMode="External"/><Relationship Id="rId2465" Type="http://schemas.openxmlformats.org/officeDocument/2006/relationships/hyperlink" Target="https://warm.bandcamp.com/album/fastidium" TargetMode="External"/><Relationship Id="rId3797" Type="http://schemas.openxmlformats.org/officeDocument/2006/relationships/hyperlink" Target="https://www.youtube.com/watch?v=2NiKRDjBoqI" TargetMode="External"/><Relationship Id="rId540" Type="http://schemas.openxmlformats.org/officeDocument/2006/relationships/hyperlink" Target="https://www.youtube.com/watch?v=Rm5-unM7eWI" TargetMode="External"/><Relationship Id="rId1135" Type="http://schemas.openxmlformats.org/officeDocument/2006/relationships/hyperlink" Target="https://katladk.bandcamp.com/album/scandinavian-pain" TargetMode="External"/><Relationship Id="rId2466" Type="http://schemas.openxmlformats.org/officeDocument/2006/relationships/hyperlink" Target="https://open.spotify.com/album/2WRbAnnEQ7s8nNvC6u3bYK?si=qPpGKKDxQZSfKLDGzg-3Fg" TargetMode="External"/><Relationship Id="rId3796" Type="http://schemas.openxmlformats.org/officeDocument/2006/relationships/hyperlink" Target="https://open.spotify.com/album/01qsVRma2SuGHajRW6kYPl?si=bByhY9fwRGGbjjKx6ezjuw" TargetMode="External"/><Relationship Id="rId1125" Type="http://schemas.openxmlformats.org/officeDocument/2006/relationships/hyperlink" Target="https://hammerheart.bandcamp.com/album/from-the-unbeliever" TargetMode="External"/><Relationship Id="rId2456" Type="http://schemas.openxmlformats.org/officeDocument/2006/relationships/hyperlink" Target="https://open.spotify.com/album/1Cp2CFzX9D3x80KbspMEPn?si=jP68as7nRtikaCvr1wsMog" TargetMode="External"/><Relationship Id="rId3788" Type="http://schemas.openxmlformats.org/officeDocument/2006/relationships/hyperlink" Target="https://open.spotify.com/album/3fP4ugwSfBoLrKkmi7RLgc?si=EV4CtsvuT6e4gwXCUnaeCQ" TargetMode="External"/><Relationship Id="rId1126" Type="http://schemas.openxmlformats.org/officeDocument/2006/relationships/hyperlink" Target="https://open.spotify.com/album/0hwSJKt0TmoqN6qY9yWIIW?si=Uv2mZSj2RoqCf5Ov4goPgQ" TargetMode="External"/><Relationship Id="rId2457" Type="http://schemas.openxmlformats.org/officeDocument/2006/relationships/hyperlink" Target="https://refusal.bandcamp.com/album/venomous-human-concept" TargetMode="External"/><Relationship Id="rId3787" Type="http://schemas.openxmlformats.org/officeDocument/2006/relationships/hyperlink" Target="https://abrahamband.bandcamp.com/album/idsungwu-ssa" TargetMode="External"/><Relationship Id="rId1127" Type="http://schemas.openxmlformats.org/officeDocument/2006/relationships/hyperlink" Target="https://www.youtube.com/watch?v=LRKdmRtxBlM" TargetMode="External"/><Relationship Id="rId2458" Type="http://schemas.openxmlformats.org/officeDocument/2006/relationships/hyperlink" Target="https://open.spotify.com/album/4RAEQzCZtH3EZCVQ7cPUX8?si=rhv9j-QWSMCHjCC3Womqbw" TargetMode="External"/><Relationship Id="rId1128" Type="http://schemas.openxmlformats.org/officeDocument/2006/relationships/hyperlink" Target="https://bodybox-maggotstomp.bandcamp.com/album/3" TargetMode="External"/><Relationship Id="rId2459" Type="http://schemas.openxmlformats.org/officeDocument/2006/relationships/hyperlink" Target="https://dawnofashesofficial.bandcamp.com/album/infecting-the-scars" TargetMode="External"/><Relationship Id="rId3789" Type="http://schemas.openxmlformats.org/officeDocument/2006/relationships/hyperlink" Target="https://www.youtube.com/watch?v=VY43G1lq_Xk" TargetMode="External"/><Relationship Id="rId1129" Type="http://schemas.openxmlformats.org/officeDocument/2006/relationships/hyperlink" Target="https://open.spotify.com/album/7HVshI5kWbwJTVbj4gFIBd?si=PlHEJSesRbK_v2ZWyg8KjA" TargetMode="External"/><Relationship Id="rId536" Type="http://schemas.openxmlformats.org/officeDocument/2006/relationships/hyperlink" Target="https://astodan.bandcamp.com/album/dirges" TargetMode="External"/><Relationship Id="rId535" Type="http://schemas.openxmlformats.org/officeDocument/2006/relationships/hyperlink" Target="https://open.spotify.com/album/4B7VpgjpVSxeLUYVjD712L?si=tkq7jbqbR6uiPXq5ImJ68w" TargetMode="External"/><Relationship Id="rId534" Type="http://schemas.openxmlformats.org/officeDocument/2006/relationships/hyperlink" Target="https://highborne.bandcamp.com/album/dreamweaving" TargetMode="External"/><Relationship Id="rId533" Type="http://schemas.openxmlformats.org/officeDocument/2006/relationships/hyperlink" Target="https://www.youtube.com/watch?v=m3tIu_7Bink" TargetMode="External"/><Relationship Id="rId539" Type="http://schemas.openxmlformats.org/officeDocument/2006/relationships/hyperlink" Target="https://open.spotify.com/album/3ot1mRTMtqfee9afUqpsI7?si=_eBmxvOURcqmdSooOHnpaQ" TargetMode="External"/><Relationship Id="rId538" Type="http://schemas.openxmlformats.org/officeDocument/2006/relationships/hyperlink" Target="https://reekingaura.bandcamp.com/album/fires-in-deep-frost" TargetMode="External"/><Relationship Id="rId537" Type="http://schemas.openxmlformats.org/officeDocument/2006/relationships/hyperlink" Target="https://open.spotify.com/album/0YIxx2fdTymIBU8Fms6QgS?si=Hs-jq0LwQHCfd6VdzeXJ1Q" TargetMode="External"/><Relationship Id="rId3780" Type="http://schemas.openxmlformats.org/officeDocument/2006/relationships/hyperlink" Target="https://open.spotify.com/album/4xwYM5jKD90isd07LLUCGD?si=60313ywCTeqUlY76_22Gsg" TargetMode="External"/><Relationship Id="rId2450" Type="http://schemas.openxmlformats.org/officeDocument/2006/relationships/hyperlink" Target="https://www.youtube.com/watch?v=EQ48ovZsdL4" TargetMode="External"/><Relationship Id="rId3782" Type="http://schemas.openxmlformats.org/officeDocument/2006/relationships/hyperlink" Target="https://open.spotify.com/album/25T8KWhtSCT2LZL1RAXH1B?si=m4u-S0dVTF6sNCix_zHN9w" TargetMode="External"/><Relationship Id="rId1120" Type="http://schemas.openxmlformats.org/officeDocument/2006/relationships/hyperlink" Target="https://www.youtube.com/watch?v=mgBY_rNOr4c" TargetMode="External"/><Relationship Id="rId2451" Type="http://schemas.openxmlformats.org/officeDocument/2006/relationships/hyperlink" Target="https://turian.bandcamp.com/album/blood-quantum-blues" TargetMode="External"/><Relationship Id="rId3781" Type="http://schemas.openxmlformats.org/officeDocument/2006/relationships/hyperlink" Target="https://open.spotify.com/album/3sJNIoRnixgbSkSSDbE830?si=nUr1wqnPSA6VILc-r1NcAg" TargetMode="External"/><Relationship Id="rId532" Type="http://schemas.openxmlformats.org/officeDocument/2006/relationships/hyperlink" Target="https://open.spotify.com/album/69DTnTZoyzhlxxCIxXpul6?si=r0i65EbuQoquoyjliqFT6A" TargetMode="External"/><Relationship Id="rId1121" Type="http://schemas.openxmlformats.org/officeDocument/2006/relationships/hyperlink" Target="https://noisepicker.bandcamp.com/album/the-earth-will-swallow-the-sun-pre-order" TargetMode="External"/><Relationship Id="rId2452" Type="http://schemas.openxmlformats.org/officeDocument/2006/relationships/hyperlink" Target="https://www.youtube.com/watch?v=oNU1FFBcZrk" TargetMode="External"/><Relationship Id="rId3784" Type="http://schemas.openxmlformats.org/officeDocument/2006/relationships/hyperlink" Target="https://revocationband.bandcamp.com/album/new-gods-new-masters" TargetMode="External"/><Relationship Id="rId531" Type="http://schemas.openxmlformats.org/officeDocument/2006/relationships/hyperlink" Target="https://mouthsweden.bandcamp.com/album/global-warning" TargetMode="External"/><Relationship Id="rId1122" Type="http://schemas.openxmlformats.org/officeDocument/2006/relationships/hyperlink" Target="https://open.spotify.com/album/2MeYFegsSD1mI2FW6EKXpq?si=Tj5tcPosRNGQYgDXgg5tcw" TargetMode="External"/><Relationship Id="rId2453" Type="http://schemas.openxmlformats.org/officeDocument/2006/relationships/hyperlink" Target="https://transmissionmetal.bandcamp.com/album/clockwork-sky" TargetMode="External"/><Relationship Id="rId3783" Type="http://schemas.openxmlformats.org/officeDocument/2006/relationships/hyperlink" Target="https://www.youtube.com/watch?v=UwrpIii7y24" TargetMode="External"/><Relationship Id="rId530" Type="http://schemas.openxmlformats.org/officeDocument/2006/relationships/hyperlink" Target="https://dietonightuk.bandcamp.com/album/fall-to-ruin" TargetMode="External"/><Relationship Id="rId1123" Type="http://schemas.openxmlformats.org/officeDocument/2006/relationships/hyperlink" Target="https://theogoniarecords.bandcamp.com/album/ate" TargetMode="External"/><Relationship Id="rId2454" Type="http://schemas.openxmlformats.org/officeDocument/2006/relationships/hyperlink" Target="https://open.spotify.com/album/50VFmPFM7IXlghDFW5VK8K?si=frgLOt9RQAepfw0URbZpAQ" TargetMode="External"/><Relationship Id="rId3786" Type="http://schemas.openxmlformats.org/officeDocument/2006/relationships/hyperlink" Target="https://www.youtube.com/watch?v=m8pWAnhlocU" TargetMode="External"/><Relationship Id="rId1124" Type="http://schemas.openxmlformats.org/officeDocument/2006/relationships/hyperlink" Target="https://open.spotify.com/album/2diIHhJHsGAOzFeY5hw1yJ?si=cOxmiM43RpW1dvkc-GwFJA" TargetMode="External"/><Relationship Id="rId2455" Type="http://schemas.openxmlformats.org/officeDocument/2006/relationships/hyperlink" Target="https://ripplemusic.bandcamp.com/album/rat-king" TargetMode="External"/><Relationship Id="rId3785" Type="http://schemas.openxmlformats.org/officeDocument/2006/relationships/hyperlink" Target="https://open.spotify.com/album/2CJX0epUxqw9pAX223BKIm?si=TYvZs4kkQYm66JIVqSwsXA" TargetMode="External"/><Relationship Id="rId1158" Type="http://schemas.openxmlformats.org/officeDocument/2006/relationships/hyperlink" Target="https://open.spotify.com/album/3meBiewiifzei2bAtKNpoe?si=CiARxjDATIqtgLaj3crKfg" TargetMode="External"/><Relationship Id="rId2489" Type="http://schemas.openxmlformats.org/officeDocument/2006/relationships/hyperlink" Target="https://selardi.bandcamp.com/album/pariah" TargetMode="External"/><Relationship Id="rId1159" Type="http://schemas.openxmlformats.org/officeDocument/2006/relationships/hyperlink" Target="https://hiddenintent.bandcamp.com/album/terrorform" TargetMode="External"/><Relationship Id="rId569" Type="http://schemas.openxmlformats.org/officeDocument/2006/relationships/hyperlink" Target="https://www.youtube.com/watch?v=yxpw8yGxDGE" TargetMode="External"/><Relationship Id="rId568" Type="http://schemas.openxmlformats.org/officeDocument/2006/relationships/hyperlink" Target="https://open.spotify.com/album/3E7SQqVUujftUeNBdWYY4W?si=ooeo2pNQRQ2GibUeaOy4ew" TargetMode="External"/><Relationship Id="rId567" Type="http://schemas.openxmlformats.org/officeDocument/2006/relationships/hyperlink" Target="https://pissgrave.bandcamp.com/album/malignant-worthlessness" TargetMode="External"/><Relationship Id="rId566" Type="http://schemas.openxmlformats.org/officeDocument/2006/relationships/hyperlink" Target="https://open.spotify.com/album/2kgsrZqFlcfzBqh3JUOhx1?si=9lvjD8DDS5ut6qKOwGTbBQ" TargetMode="External"/><Relationship Id="rId2480" Type="http://schemas.openxmlformats.org/officeDocument/2006/relationships/hyperlink" Target="https://inhaledoom.bandcamp.com/album/at-the-bottom-of-the-lake" TargetMode="External"/><Relationship Id="rId561" Type="http://schemas.openxmlformats.org/officeDocument/2006/relationships/hyperlink" Target="https://open.spotify.com/album/1be3BZg0oWO5UGgKMT3H4b?si=yLZDZ4UVQriAzknrzMcIHQ" TargetMode="External"/><Relationship Id="rId1150" Type="http://schemas.openxmlformats.org/officeDocument/2006/relationships/hyperlink" Target="https://scarletrecords.bandcamp.com/album/at-war-with-their-divinity" TargetMode="External"/><Relationship Id="rId2481" Type="http://schemas.openxmlformats.org/officeDocument/2006/relationships/hyperlink" Target="https://open.spotify.com/album/0qzLDFLwdZfHfoB62hWEu1?si=o8XOOa_FSvaY7JwwTXFIFA" TargetMode="External"/><Relationship Id="rId560" Type="http://schemas.openxmlformats.org/officeDocument/2006/relationships/hyperlink" Target="https://shepherdsofcassini.bandcamp.com/album/in-thrall-to-heresy" TargetMode="External"/><Relationship Id="rId1151" Type="http://schemas.openxmlformats.org/officeDocument/2006/relationships/hyperlink" Target="https://open.spotify.com/album/09sOP4aUyIDEWNYQf4mk8Y?si=14lPxAtnRF-Fzj4aiESCGw" TargetMode="External"/><Relationship Id="rId2482" Type="http://schemas.openxmlformats.org/officeDocument/2006/relationships/hyperlink" Target="https://xtreemmusic.bandcamp.com/album/dragged-into-realms-below" TargetMode="External"/><Relationship Id="rId1152" Type="http://schemas.openxmlformats.org/officeDocument/2006/relationships/hyperlink" Target="https://ashesinthefall.bandcamp.com/album/where-serenity-prevails" TargetMode="External"/><Relationship Id="rId2483" Type="http://schemas.openxmlformats.org/officeDocument/2006/relationships/hyperlink" Target="https://myhairisaratsnest.bandcamp.com/album/a-life-with-no-caveats" TargetMode="External"/><Relationship Id="rId1153" Type="http://schemas.openxmlformats.org/officeDocument/2006/relationships/hyperlink" Target="https://open.spotify.com/album/4HPLG0hPLTtklY0JQEBgkj?si=bbWuz3-zQImOi7CW3WTfnA" TargetMode="External"/><Relationship Id="rId2484" Type="http://schemas.openxmlformats.org/officeDocument/2006/relationships/hyperlink" Target="https://alyvia.bandcamp.com/album/alyvia" TargetMode="External"/><Relationship Id="rId565" Type="http://schemas.openxmlformats.org/officeDocument/2006/relationships/hyperlink" Target="https://voidfallen.bandcamp.com/album/the-rituals-of-resilience" TargetMode="External"/><Relationship Id="rId1154" Type="http://schemas.openxmlformats.org/officeDocument/2006/relationships/hyperlink" Target="https://www.youtube.com/watch?v=B-G8e61I0rs" TargetMode="External"/><Relationship Id="rId2485" Type="http://schemas.openxmlformats.org/officeDocument/2006/relationships/hyperlink" Target="https://berriedalive.bandcamp.com/album/wrathberry" TargetMode="External"/><Relationship Id="rId564" Type="http://schemas.openxmlformats.org/officeDocument/2006/relationships/hyperlink" Target="https://open.spotify.com/album/3hgMoDdKAl2ezhhQYbw3ji?si=ZVZu06c5Tga73MOI--vA-A" TargetMode="External"/><Relationship Id="rId1155" Type="http://schemas.openxmlformats.org/officeDocument/2006/relationships/hyperlink" Target="https://mesacounojo.bandcamp.com/album/t-viskert-a-k-s-rt-s-r-k-rzete-lid-rcharang" TargetMode="External"/><Relationship Id="rId2486" Type="http://schemas.openxmlformats.org/officeDocument/2006/relationships/hyperlink" Target="https://open.spotify.com/album/2KCOUacBL8JCQUK5tQkSsM?si=BHizMXeXTNyLjBCoVXR8-g" TargetMode="External"/><Relationship Id="rId563" Type="http://schemas.openxmlformats.org/officeDocument/2006/relationships/hyperlink" Target="https://homeskin.bandcamp.com/album/soul-washed-bleach" TargetMode="External"/><Relationship Id="rId1156" Type="http://schemas.openxmlformats.org/officeDocument/2006/relationships/hyperlink" Target="https://open.spotify.com/album/4G2VKUkhpup7LzYiYjUsh0?si=xOc06qyMRFWpDld61wiBfQ" TargetMode="External"/><Relationship Id="rId2487" Type="http://schemas.openxmlformats.org/officeDocument/2006/relationships/hyperlink" Target="https://wizzoband.bandcamp.com/album/place-of-the-chosen-lords" TargetMode="External"/><Relationship Id="rId562" Type="http://schemas.openxmlformats.org/officeDocument/2006/relationships/hyperlink" Target="https://www.youtube.com/watch?v=mE1xsRpZFqQ" TargetMode="External"/><Relationship Id="rId1157" Type="http://schemas.openxmlformats.org/officeDocument/2006/relationships/hyperlink" Target="https://morbidandmiserable.bandcamp.com/album/ruminations-of-ruin" TargetMode="External"/><Relationship Id="rId2488" Type="http://schemas.openxmlformats.org/officeDocument/2006/relationships/hyperlink" Target="https://convergecult.bandcamp.com/album/live-at-cbgbs" TargetMode="External"/><Relationship Id="rId1147" Type="http://schemas.openxmlformats.org/officeDocument/2006/relationships/hyperlink" Target="https://open.spotify.com/album/3eLKqzmeKzXjj5C6gQWMvB?si=V5teEJmQRZavMxPZiSFQmw" TargetMode="External"/><Relationship Id="rId2478" Type="http://schemas.openxmlformats.org/officeDocument/2006/relationships/hyperlink" Target="https://lordalienoire.bandcamp.com/album/une-toile-de-plus-br-ler" TargetMode="External"/><Relationship Id="rId1148" Type="http://schemas.openxmlformats.org/officeDocument/2006/relationships/hyperlink" Target="https://evrecords.bandcamp.com/album/amammoth-distant-skies-and-the-ocean-flies" TargetMode="External"/><Relationship Id="rId2479" Type="http://schemas.openxmlformats.org/officeDocument/2006/relationships/hyperlink" Target="https://www.youtube.com/watch?v=jirz7Gg-ePQ" TargetMode="External"/><Relationship Id="rId1149" Type="http://schemas.openxmlformats.org/officeDocument/2006/relationships/hyperlink" Target="https://open.spotify.com/album/7BKmZAJDOgU9L7kbdaFWSJ?si=6v5oIIeQTSKLFPrddUf9Rg" TargetMode="External"/><Relationship Id="rId558" Type="http://schemas.openxmlformats.org/officeDocument/2006/relationships/hyperlink" Target="https://lute.bandcamp.com/album/austerium" TargetMode="External"/><Relationship Id="rId557" Type="http://schemas.openxmlformats.org/officeDocument/2006/relationships/hyperlink" Target="https://open.spotify.com/album/4IykrtEil3uNv9jVtRtslp?si=0yFXhw0XQ4a8IYz7fcTJjg" TargetMode="External"/><Relationship Id="rId556" Type="http://schemas.openxmlformats.org/officeDocument/2006/relationships/hyperlink" Target="https://anomander.bandcamp.com/album/cracks-in-arcadia" TargetMode="External"/><Relationship Id="rId555" Type="http://schemas.openxmlformats.org/officeDocument/2006/relationships/hyperlink" Target="https://ripplemusic.bandcamp.com/album/in-the-ashes" TargetMode="External"/><Relationship Id="rId559" Type="http://schemas.openxmlformats.org/officeDocument/2006/relationships/hyperlink" Target="https://open.spotify.com/album/2KDlBkth1qe07QpKuuW58h?si=E0lGpjm9Sgu4bwp-AKD3dg" TargetMode="External"/><Relationship Id="rId550" Type="http://schemas.openxmlformats.org/officeDocument/2006/relationships/hyperlink" Target="https://deathbybotulism.bandcamp.com/album/microdosing-the-torment" TargetMode="External"/><Relationship Id="rId2470" Type="http://schemas.openxmlformats.org/officeDocument/2006/relationships/hyperlink" Target="https://obsidianscapesdarknessshallrise.bandcamp.com/album/death-chants-echo-from-aphotic-void" TargetMode="External"/><Relationship Id="rId1140" Type="http://schemas.openxmlformats.org/officeDocument/2006/relationships/hyperlink" Target="https://ukronakh.bandcamp.com/album/archaic-dance-of-the-winds" TargetMode="External"/><Relationship Id="rId2471" Type="http://schemas.openxmlformats.org/officeDocument/2006/relationships/hyperlink" Target="https://open.spotify.com/album/1xR3zj0I7nzcwnnFPCdQXM?si=ZIjluiW2THS2VxKk2gPd-g" TargetMode="External"/><Relationship Id="rId1141" Type="http://schemas.openxmlformats.org/officeDocument/2006/relationships/hyperlink" Target="https://open.spotify.com/album/4mCPDMIWUUy6cm4F4THhzQ?si=o_JDlHHRQ9G34Y1_xxQmZg" TargetMode="External"/><Relationship Id="rId2472" Type="http://schemas.openxmlformats.org/officeDocument/2006/relationships/hyperlink" Target="https://www.youtube.com/watch?v=2vnPdDR2JRE" TargetMode="External"/><Relationship Id="rId1142" Type="http://schemas.openxmlformats.org/officeDocument/2006/relationships/hyperlink" Target="https://oobrisios.bandcamp.com/album/vospat" TargetMode="External"/><Relationship Id="rId2473" Type="http://schemas.openxmlformats.org/officeDocument/2006/relationships/hyperlink" Target="https://ladlo.bandcamp.com/album/le-fl-au-du-rocher" TargetMode="External"/><Relationship Id="rId554" Type="http://schemas.openxmlformats.org/officeDocument/2006/relationships/hyperlink" Target="https://www.youtube.com/watch?v=povnapG1KO8" TargetMode="External"/><Relationship Id="rId1143" Type="http://schemas.openxmlformats.org/officeDocument/2006/relationships/hyperlink" Target="https://open.spotify.com/album/6HvtPDw8O3GLPpahWaso9o?si=n16VQ2JVQBq2O6yVEZhdJQ" TargetMode="External"/><Relationship Id="rId2474" Type="http://schemas.openxmlformats.org/officeDocument/2006/relationships/hyperlink" Target="https://open.spotify.com/album/1OW4M1wQ0N0ublJFIPB0yi?si=RcmbamL5SRGxa_87J7NmPg" TargetMode="External"/><Relationship Id="rId553" Type="http://schemas.openxmlformats.org/officeDocument/2006/relationships/hyperlink" Target="https://open.spotify.com/album/5RbanjLPzF5dzQm88iPH7Z?si=5G-noWcaR46z62n14EMDyA" TargetMode="External"/><Relationship Id="rId1144" Type="http://schemas.openxmlformats.org/officeDocument/2006/relationships/hyperlink" Target="https://thronemetal.bandcamp.com/album/that-who-sat-upon-him-was-death" TargetMode="External"/><Relationship Id="rId2475" Type="http://schemas.openxmlformats.org/officeDocument/2006/relationships/hyperlink" Target="https://vendetta-records.bandcamp.com/album/the-ascent-szenen-der-katharsis" TargetMode="External"/><Relationship Id="rId552" Type="http://schemas.openxmlformats.org/officeDocument/2006/relationships/hyperlink" Target="https://exision.bandcamp.com/album/uhreina-ajassa" TargetMode="External"/><Relationship Id="rId1145" Type="http://schemas.openxmlformats.org/officeDocument/2006/relationships/hyperlink" Target="https://open.spotify.com/album/444xjyfz9oxFBgbww9nEid?si=PdEfBTmUSC6Fn11_R9U7pQ" TargetMode="External"/><Relationship Id="rId2476" Type="http://schemas.openxmlformats.org/officeDocument/2006/relationships/hyperlink" Target="https://open.spotify.com/album/1bmSwzRuPn4w7eJJIpynOS?si=WHNilqAtTkOPBef-G5Jh_Q" TargetMode="External"/><Relationship Id="rId551" Type="http://schemas.openxmlformats.org/officeDocument/2006/relationships/hyperlink" Target="https://open.spotify.com/album/2rFbDnTujpu9ddOrQcqnTq?si=Ar3e9SaGSeyfX-Rnkl6UCA" TargetMode="External"/><Relationship Id="rId1146" Type="http://schemas.openxmlformats.org/officeDocument/2006/relationships/hyperlink" Target="https://defender-metal.bandcamp.com/album/dying-to-live" TargetMode="External"/><Relationship Id="rId2477" Type="http://schemas.openxmlformats.org/officeDocument/2006/relationships/hyperlink" Target="https://www.youtube.com/watch?v=a_nnmGDMEbA" TargetMode="External"/><Relationship Id="rId4280" Type="http://schemas.openxmlformats.org/officeDocument/2006/relationships/hyperlink" Target="https://centurymedia.bandcamp.com/album/optimize-ep-24-bit-hd-audio" TargetMode="External"/><Relationship Id="rId4282" Type="http://schemas.openxmlformats.org/officeDocument/2006/relationships/hyperlink" Target="https://auriferousflame.bandcamp.com/album/the-duel" TargetMode="External"/><Relationship Id="rId4281" Type="http://schemas.openxmlformats.org/officeDocument/2006/relationships/hyperlink" Target="https://open.spotify.com/album/1MsPJsZSrBUsqTDPCx1050?si=Dev42xC_RpmVRTTyKVBZDw" TargetMode="External"/><Relationship Id="rId4284" Type="http://schemas.openxmlformats.org/officeDocument/2006/relationships/hyperlink" Target="https://open.spotify.com/album/5uwbVH6CPDdwsM7mSiTEiv?si=2b6aH-lISNS40A38HA5yqw" TargetMode="External"/><Relationship Id="rId4283" Type="http://schemas.openxmlformats.org/officeDocument/2006/relationships/hyperlink" Target="https://ambraband.bandcamp.com/album/remnant" TargetMode="External"/><Relationship Id="rId4286" Type="http://schemas.openxmlformats.org/officeDocument/2006/relationships/hyperlink" Target="https://zaratus.bandcamp.com/album/those-who-dwell-beyond" TargetMode="External"/><Relationship Id="rId4285" Type="http://schemas.openxmlformats.org/officeDocument/2006/relationships/hyperlink" Target="https://www.youtube.com/watch?v=P-63CJrQoSA" TargetMode="External"/><Relationship Id="rId4288" Type="http://schemas.openxmlformats.org/officeDocument/2006/relationships/hyperlink" Target="https://pagesdoom.bandcamp.com/album/no-more-can-be-done" TargetMode="External"/><Relationship Id="rId4287" Type="http://schemas.openxmlformats.org/officeDocument/2006/relationships/hyperlink" Target="https://bodyscanprog.bandcamp.com/album/the-escapist-ep" TargetMode="External"/><Relationship Id="rId4289" Type="http://schemas.openxmlformats.org/officeDocument/2006/relationships/hyperlink" Target="https://flamingrow.bandcamp.com/album/keeper-of-the-scriptures-h-terin-der-schriften-standard-edition" TargetMode="External"/><Relationship Id="rId4271" Type="http://schemas.openxmlformats.org/officeDocument/2006/relationships/hyperlink" Target="https://torturehammer.bandcamp.com/album/torture-hammer" TargetMode="External"/><Relationship Id="rId4270" Type="http://schemas.openxmlformats.org/officeDocument/2006/relationships/hyperlink" Target="https://themunsensnj.bandcamp.com/album/degradation-in-the-hyperreal" TargetMode="External"/><Relationship Id="rId4273" Type="http://schemas.openxmlformats.org/officeDocument/2006/relationships/hyperlink" Target="https://trashcompactorband.bandcamp.com/album/trash-compactor-ep" TargetMode="External"/><Relationship Id="rId4272" Type="http://schemas.openxmlformats.org/officeDocument/2006/relationships/hyperlink" Target="https://irr666.bandcamp.com/album/remains-remain" TargetMode="External"/><Relationship Id="rId4275" Type="http://schemas.openxmlformats.org/officeDocument/2006/relationships/hyperlink" Target="https://helixnoire.bandcamp.com/album/becoming-the-cure" TargetMode="External"/><Relationship Id="rId4274" Type="http://schemas.openxmlformats.org/officeDocument/2006/relationships/hyperlink" Target="https://epistulum.bandcamp.com/album/cantiga-psychotica" TargetMode="External"/><Relationship Id="rId4277" Type="http://schemas.openxmlformats.org/officeDocument/2006/relationships/hyperlink" Target="https://daytripperdoom.bandcamp.com/album/the-alchemist" TargetMode="External"/><Relationship Id="rId4276" Type="http://schemas.openxmlformats.org/officeDocument/2006/relationships/hyperlink" Target="https://fordaeduskapr.bandcamp.com/album/hr-fl-markar-fjalla" TargetMode="External"/><Relationship Id="rId4279" Type="http://schemas.openxmlformats.org/officeDocument/2006/relationships/hyperlink" Target="https://www.youtube.com/watch?v=Bv3P2RCk9pc" TargetMode="External"/><Relationship Id="rId4278" Type="http://schemas.openxmlformats.org/officeDocument/2006/relationships/hyperlink" Target="https://www.youtube.com/watch?v=kqb7wUXwS4M" TargetMode="External"/><Relationship Id="rId4291" Type="http://schemas.openxmlformats.org/officeDocument/2006/relationships/hyperlink" Target="https://open.spotify.com/album/7qkNPDy2Iurb6c6BWzibtN?si=_wcI0s7FTgiTN_koAgnJlg" TargetMode="External"/><Relationship Id="rId4290" Type="http://schemas.openxmlformats.org/officeDocument/2006/relationships/hyperlink" Target="https://evilbeast.bandcamp.com/album/summoning-the-beast" TargetMode="External"/><Relationship Id="rId4293" Type="http://schemas.openxmlformats.org/officeDocument/2006/relationships/hyperlink" Target="https://vnkv.bandcamp.com/album/30011922" TargetMode="External"/><Relationship Id="rId4292" Type="http://schemas.openxmlformats.org/officeDocument/2006/relationships/hyperlink" Target="https://powercross.bandcamp.com/album/renaissance" TargetMode="External"/><Relationship Id="rId4295" Type="http://schemas.openxmlformats.org/officeDocument/2006/relationships/hyperlink" Target="https://open.spotify.com/album/4QcUamZlTXauSQThuq0PNv?si=9iElBbMVQoCUCIs_Y_B85A" TargetMode="External"/><Relationship Id="rId4294" Type="http://schemas.openxmlformats.org/officeDocument/2006/relationships/hyperlink" Target="https://kreyll.bandcamp.com/album/ontzielingsrituelen-2" TargetMode="External"/><Relationship Id="rId4297" Type="http://schemas.openxmlformats.org/officeDocument/2006/relationships/hyperlink" Target="https://saeva.bandcamp.com/album/i-hope-youve-healed-from-all-you-wouldnt-say" TargetMode="External"/><Relationship Id="rId4296" Type="http://schemas.openxmlformats.org/officeDocument/2006/relationships/hyperlink" Target="https://gattoblack.bandcamp.com/album/sky-is-blue" TargetMode="External"/><Relationship Id="rId4299" Type="http://schemas.openxmlformats.org/officeDocument/2006/relationships/hyperlink" Target="https://demoniac.bandcamp.com/album/nube-negra-en-vivo-2" TargetMode="External"/><Relationship Id="rId4298" Type="http://schemas.openxmlformats.org/officeDocument/2006/relationships/hyperlink" Target="https://open.spotify.com/album/0O7kMSWrRd13ivtaJFoOOk?si=SzlPd4HyReOh8GAKS5-DrQ" TargetMode="External"/><Relationship Id="rId4249" Type="http://schemas.openxmlformats.org/officeDocument/2006/relationships/hyperlink" Target="https://www.youtube.com/watch?v=kmXpH7JvEoo" TargetMode="External"/><Relationship Id="rId4240" Type="http://schemas.openxmlformats.org/officeDocument/2006/relationships/hyperlink" Target="https://fatalportraitblacklion.bandcamp.com/album/an-elusive-instinct-for-lascivia-redvx" TargetMode="External"/><Relationship Id="rId4242" Type="http://schemas.openxmlformats.org/officeDocument/2006/relationships/hyperlink" Target="https://scarletrecords.bandcamp.com/album/evertale" TargetMode="External"/><Relationship Id="rId4241" Type="http://schemas.openxmlformats.org/officeDocument/2006/relationships/hyperlink" Target="https://cattlemass.bandcamp.com/album/alpha-1128-2" TargetMode="External"/><Relationship Id="rId4244" Type="http://schemas.openxmlformats.org/officeDocument/2006/relationships/hyperlink" Target="https://www.youtube.com/watch?v=vdwf7POmmDQ" TargetMode="External"/><Relationship Id="rId4243" Type="http://schemas.openxmlformats.org/officeDocument/2006/relationships/hyperlink" Target="https://devastrosity.bandcamp.com/album/eviscerating-desolation" TargetMode="External"/><Relationship Id="rId4246" Type="http://schemas.openxmlformats.org/officeDocument/2006/relationships/hyperlink" Target="https://ripplemusic.bandcamp.com/album/create-or-die" TargetMode="External"/><Relationship Id="rId4245" Type="http://schemas.openxmlformats.org/officeDocument/2006/relationships/hyperlink" Target="https://scarletrecords.bandcamp.com/album/fear" TargetMode="External"/><Relationship Id="rId4248" Type="http://schemas.openxmlformats.org/officeDocument/2006/relationships/hyperlink" Target="https://drofnosura-label.bandcamp.com/album/ritual-of-split-tongues" TargetMode="External"/><Relationship Id="rId4247" Type="http://schemas.openxmlformats.org/officeDocument/2006/relationships/hyperlink" Target="https://them6.bandcamp.com/album/psychedelic-enigma" TargetMode="External"/><Relationship Id="rId4239" Type="http://schemas.openxmlformats.org/officeDocument/2006/relationships/hyperlink" Target="https://www.youtube.com/watch?v=EgncjrUExf4" TargetMode="External"/><Relationship Id="rId4238" Type="http://schemas.openxmlformats.org/officeDocument/2006/relationships/hyperlink" Target="https://bonginator.bandcamp.com/album/retrodeath" TargetMode="External"/><Relationship Id="rId495" Type="http://schemas.openxmlformats.org/officeDocument/2006/relationships/hyperlink" Target="https://www.youtube.com/watch?v=rJOG8smZNCI" TargetMode="External"/><Relationship Id="rId4231" Type="http://schemas.openxmlformats.org/officeDocument/2006/relationships/hyperlink" Target="https://sunkendenmark.bandcamp.com/album/lykke-2" TargetMode="External"/><Relationship Id="rId494" Type="http://schemas.openxmlformats.org/officeDocument/2006/relationships/hyperlink" Target="https://open.spotify.com/album/0onMhnm4qrsnBM5XujBRvv?si=_PFCiwuBQGK7EEhAnE6Y8Q" TargetMode="External"/><Relationship Id="rId4230" Type="http://schemas.openxmlformats.org/officeDocument/2006/relationships/hyperlink" Target="https://www.youtube.com/watch?v=kzHOAGDR-T0" TargetMode="External"/><Relationship Id="rId493" Type="http://schemas.openxmlformats.org/officeDocument/2006/relationships/hyperlink" Target="https://obscureviolence.bandcamp.com/album/refuting-the-flesh" TargetMode="External"/><Relationship Id="rId4233" Type="http://schemas.openxmlformats.org/officeDocument/2006/relationships/hyperlink" Target="https://nadja.bandcamp.com/album/cut" TargetMode="External"/><Relationship Id="rId492" Type="http://schemas.openxmlformats.org/officeDocument/2006/relationships/hyperlink" Target="https://open.spotify.com/album/7aAoqbMvuyz4k99izcxVxu?si=v7POOC1gRTeFgUFG31lOAQ" TargetMode="External"/><Relationship Id="rId4232" Type="http://schemas.openxmlformats.org/officeDocument/2006/relationships/hyperlink" Target="https://www.youtube.com/watch?v=Mz4d9fKOYpQ" TargetMode="External"/><Relationship Id="rId499" Type="http://schemas.openxmlformats.org/officeDocument/2006/relationships/hyperlink" Target="https://pothamus.bandcamp.com/album/abur" TargetMode="External"/><Relationship Id="rId4235" Type="http://schemas.openxmlformats.org/officeDocument/2006/relationships/hyperlink" Target="https://inbreath.bandcamp.com/album/brahman" TargetMode="External"/><Relationship Id="rId498" Type="http://schemas.openxmlformats.org/officeDocument/2006/relationships/hyperlink" Target="https://www.youtube.com/watch?v=hRdctJWr81M" TargetMode="External"/><Relationship Id="rId4234" Type="http://schemas.openxmlformats.org/officeDocument/2006/relationships/hyperlink" Target="https://adept.bandcamp.com/album/blood-covenant" TargetMode="External"/><Relationship Id="rId497" Type="http://schemas.openxmlformats.org/officeDocument/2006/relationships/hyperlink" Target="https://open.spotify.com/album/6rIwuZL1LvSLeXAl5S5PWP?si=d07Ds50uSUqB9m1AQsPdTQ" TargetMode="External"/><Relationship Id="rId4237" Type="http://schemas.openxmlformats.org/officeDocument/2006/relationships/hyperlink" Target="https://remina.bandcamp.com/album/the-silver-sea" TargetMode="External"/><Relationship Id="rId496" Type="http://schemas.openxmlformats.org/officeDocument/2006/relationships/hyperlink" Target="https://mantar.bandcamp.com/album/post-apocalyptic-depression" TargetMode="External"/><Relationship Id="rId4236" Type="http://schemas.openxmlformats.org/officeDocument/2006/relationships/hyperlink" Target="https://jetjaguarofficial.bandcamp.com/album/severance" TargetMode="External"/><Relationship Id="rId4260" Type="http://schemas.openxmlformats.org/officeDocument/2006/relationships/hyperlink" Target="https://vallettanc.bandcamp.com/album/bitter-lucid-truth" TargetMode="External"/><Relationship Id="rId4262" Type="http://schemas.openxmlformats.org/officeDocument/2006/relationships/hyperlink" Target="https://borndividedofficial.bandcamp.com/album/chronicle-of-a-shipwreck" TargetMode="External"/><Relationship Id="rId4261" Type="http://schemas.openxmlformats.org/officeDocument/2006/relationships/hyperlink" Target="https://memoriesofold-limbmusic.bandcamp.com/album/never-stop-believing" TargetMode="External"/><Relationship Id="rId4264" Type="http://schemas.openxmlformats.org/officeDocument/2006/relationships/hyperlink" Target="https://arduamusic.bandcamp.com/album/25-nighttime-ep" TargetMode="External"/><Relationship Id="rId4263" Type="http://schemas.openxmlformats.org/officeDocument/2006/relationships/hyperlink" Target="https://draculumspellcraft.bandcamp.com/album/poems-of-spellcraft" TargetMode="External"/><Relationship Id="rId4266" Type="http://schemas.openxmlformats.org/officeDocument/2006/relationships/hyperlink" Target="https://cemeterymoon.bandcamp.com/album/dominion-of-ashes" TargetMode="External"/><Relationship Id="rId4265" Type="http://schemas.openxmlformats.org/officeDocument/2006/relationships/hyperlink" Target="https://www.youtube.com/watch?v=nTH5sQABYPY" TargetMode="External"/><Relationship Id="rId4268" Type="http://schemas.openxmlformats.org/officeDocument/2006/relationships/hyperlink" Target="https://jawbreakerrecords.bandcamp.com/album/the-darkening" TargetMode="External"/><Relationship Id="rId4267" Type="http://schemas.openxmlformats.org/officeDocument/2006/relationships/hyperlink" Target="https://benevola.bandcamp.com/album/desvelo-lluvia-fina" TargetMode="External"/><Relationship Id="rId4269" Type="http://schemas.openxmlformats.org/officeDocument/2006/relationships/hyperlink" Target="https://perl.bandcamp.com/album/architecture-du-vertige" TargetMode="External"/><Relationship Id="rId4251" Type="http://schemas.openxmlformats.org/officeDocument/2006/relationships/hyperlink" Target="https://hammerheart.bandcamp.com/album/face-the-fire" TargetMode="External"/><Relationship Id="rId4250" Type="http://schemas.openxmlformats.org/officeDocument/2006/relationships/hyperlink" Target="https://bergfried.bandcamp.com/album/romantik-iii" TargetMode="External"/><Relationship Id="rId4253" Type="http://schemas.openxmlformats.org/officeDocument/2006/relationships/hyperlink" Target="https://ninetreasures.bandcamp.com/album/seeking-the-absolute" TargetMode="External"/><Relationship Id="rId4252" Type="http://schemas.openxmlformats.org/officeDocument/2006/relationships/hyperlink" Target="https://www.youtube.com/watch?v=t-e73ishUL0" TargetMode="External"/><Relationship Id="rId4255" Type="http://schemas.openxmlformats.org/officeDocument/2006/relationships/hyperlink" Target="https://scorchingtomb.bandcamp.com/album/ossuary" TargetMode="External"/><Relationship Id="rId4254" Type="http://schemas.openxmlformats.org/officeDocument/2006/relationships/hyperlink" Target="https://bensimon.bandcamp.com/album/no-trees-grow-here" TargetMode="External"/><Relationship Id="rId4257" Type="http://schemas.openxmlformats.org/officeDocument/2006/relationships/hyperlink" Target="https://www.youtube.com/watch?v=BVkuZYjKLkw" TargetMode="External"/><Relationship Id="rId4256" Type="http://schemas.openxmlformats.org/officeDocument/2006/relationships/hyperlink" Target="https://knifehitscollective.bandcamp.com/album/no-semblance-of-peaceful-existence" TargetMode="External"/><Relationship Id="rId4259" Type="http://schemas.openxmlformats.org/officeDocument/2006/relationships/hyperlink" Target="https://phaetonband.bandcamp.com/album/neurogenesis" TargetMode="External"/><Relationship Id="rId4258" Type="http://schemas.openxmlformats.org/officeDocument/2006/relationships/hyperlink" Target="https://dawnfades.bandcamp.com/album/iii" TargetMode="External"/><Relationship Id="rId3810" Type="http://schemas.openxmlformats.org/officeDocument/2006/relationships/hyperlink" Target="https://open.spotify.com/album/1GcpRd6xjQquGLpORxYy5w?si=J54H8mRKQ5i056MLlUlf_g" TargetMode="External"/><Relationship Id="rId3812" Type="http://schemas.openxmlformats.org/officeDocument/2006/relationships/hyperlink" Target="https://open.spotify.com/album/4dhgg8BJEBV5LpK8KveM81?si=_dGO0L8vSsmSNGuRS4_Rtg" TargetMode="External"/><Relationship Id="rId3811" Type="http://schemas.openxmlformats.org/officeDocument/2006/relationships/hyperlink" Target="https://everlastingspew.bandcamp.com/album/antegnosis" TargetMode="External"/><Relationship Id="rId3814" Type="http://schemas.openxmlformats.org/officeDocument/2006/relationships/hyperlink" Target="https://open.spotify.com/album/3qzR10Wq9GyvojVWgiRsI5?si=svueYyl3QeakTF36uz3haw" TargetMode="External"/><Relationship Id="rId3813" Type="http://schemas.openxmlformats.org/officeDocument/2006/relationships/hyperlink" Target="https://stonemachineelectric.bandcamp.com/album/faces" TargetMode="External"/><Relationship Id="rId3816" Type="http://schemas.openxmlformats.org/officeDocument/2006/relationships/hyperlink" Target="https://open.spotify.com/album/58SS0rsdsVZ41123LpAAcx?si=KnrN8lPETe6GKmB8jffXFw" TargetMode="External"/><Relationship Id="rId3815" Type="http://schemas.openxmlformats.org/officeDocument/2006/relationships/hyperlink" Target="https://voidlurker.bandcamp.com/album/loathe-for-life" TargetMode="External"/><Relationship Id="rId3818" Type="http://schemas.openxmlformats.org/officeDocument/2006/relationships/hyperlink" Target="https://blizaro.bandcamp.com/album/light-and-desolation" TargetMode="External"/><Relationship Id="rId3817" Type="http://schemas.openxmlformats.org/officeDocument/2006/relationships/hyperlink" Target="https://www.youtube.com/watch?v=aazqJrACT4s" TargetMode="External"/><Relationship Id="rId3819" Type="http://schemas.openxmlformats.org/officeDocument/2006/relationships/hyperlink" Target="https://sumerianrecords.bandcamp.com/album/fury" TargetMode="External"/><Relationship Id="rId3801" Type="http://schemas.openxmlformats.org/officeDocument/2006/relationships/hyperlink" Target="https://open.spotify.com/album/7wxRyxDbQEdMnIliZi3xmi?si=GyUAxH5fRym-GWMsufuZQg" TargetMode="External"/><Relationship Id="rId3800" Type="http://schemas.openxmlformats.org/officeDocument/2006/relationships/hyperlink" Target="https://heavypsychsoundsrecords.bandcamp.com/album/cosmic-reaper-bleed-the-wicked-drown-the-damned" TargetMode="External"/><Relationship Id="rId3803" Type="http://schemas.openxmlformats.org/officeDocument/2006/relationships/hyperlink" Target="https://lastretch.bandcamp.com/album/abject-cruelty" TargetMode="External"/><Relationship Id="rId3802" Type="http://schemas.openxmlformats.org/officeDocument/2006/relationships/hyperlink" Target="https://www.youtube.com/watch?v=Jy6NtcAqMmA" TargetMode="External"/><Relationship Id="rId3805" Type="http://schemas.openxmlformats.org/officeDocument/2006/relationships/hyperlink" Target="https://ripplemusic.bandcamp.com/album/upon-tall-thrones" TargetMode="External"/><Relationship Id="rId3804" Type="http://schemas.openxmlformats.org/officeDocument/2006/relationships/hyperlink" Target="https://open.spotify.com/album/6PjnINFrhmc5iv4IHQP9Zv?si=enjIb0xAQi-THfcQEiGu4w" TargetMode="External"/><Relationship Id="rId3807" Type="http://schemas.openxmlformats.org/officeDocument/2006/relationships/hyperlink" Target="https://rawskullrecordz.bandcamp.com/album/born-in-the-grave" TargetMode="External"/><Relationship Id="rId3806" Type="http://schemas.openxmlformats.org/officeDocument/2006/relationships/hyperlink" Target="https://open.spotify.com/album/5Ss63TKdObzqqacDfzbmXK?si=_AYLSsHLSWm8bZFnfyn4rg" TargetMode="External"/><Relationship Id="rId3809" Type="http://schemas.openxmlformats.org/officeDocument/2006/relationships/hyperlink" Target="https://scarletrecords.bandcamp.com/album/oceans-2" TargetMode="External"/><Relationship Id="rId3808" Type="http://schemas.openxmlformats.org/officeDocument/2006/relationships/hyperlink" Target="https://open.spotify.com/album/21VpThKx9PaRD2ipvXvkrs?si=5QfXBF96RW6MsWuJ_aMMqg" TargetMode="External"/><Relationship Id="rId1213" Type="http://schemas.openxmlformats.org/officeDocument/2006/relationships/hyperlink" Target="https://open.spotify.com/album/2AzNfQjO8Cj6T7eW5mhHS1?si=CtlieIxeQtm7GPrYTF-qug" TargetMode="External"/><Relationship Id="rId2544" Type="http://schemas.openxmlformats.org/officeDocument/2006/relationships/hyperlink" Target="https://open.spotify.com/album/2wSE2kKNydu0wNhy2rnWSP?si=xG10ozFpT_iS4iTca-IEOg" TargetMode="External"/><Relationship Id="rId3876" Type="http://schemas.openxmlformats.org/officeDocument/2006/relationships/hyperlink" Target="https://open.spotify.com/album/2pOqx15Tq0Mrz4SyuBecz4?si=jfYmz-BQSbmZUx9PxaEKYg" TargetMode="External"/><Relationship Id="rId1214" Type="http://schemas.openxmlformats.org/officeDocument/2006/relationships/hyperlink" Target="https://nothingmetal.bandcamp.com/album/the-self-repair-manifesto" TargetMode="External"/><Relationship Id="rId2545" Type="http://schemas.openxmlformats.org/officeDocument/2006/relationships/hyperlink" Target="https://www.youtube.com/watch?v=1yeuzjQ36Co" TargetMode="External"/><Relationship Id="rId3875" Type="http://schemas.openxmlformats.org/officeDocument/2006/relationships/hyperlink" Target="https://voragoth.bandcamp.com/album/storm-obey-no-masters" TargetMode="External"/><Relationship Id="rId1215" Type="http://schemas.openxmlformats.org/officeDocument/2006/relationships/hyperlink" Target="https://spiine.bandcamp.com/album/tetraptych" TargetMode="External"/><Relationship Id="rId2546" Type="http://schemas.openxmlformats.org/officeDocument/2006/relationships/hyperlink" Target="https://vicisolumrecords.bandcamp.com/album/signeri" TargetMode="External"/><Relationship Id="rId3878" Type="http://schemas.openxmlformats.org/officeDocument/2006/relationships/hyperlink" Target="https://open.spotify.com/album/5UBdcXBiAYNHMoF2ze3LzP?si=OlUaZDCOSMS3XL-La7cSkw" TargetMode="External"/><Relationship Id="rId1216" Type="http://schemas.openxmlformats.org/officeDocument/2006/relationships/hyperlink" Target="https://vintras1.bandcamp.com/album/timescarred-2" TargetMode="External"/><Relationship Id="rId2547" Type="http://schemas.openxmlformats.org/officeDocument/2006/relationships/hyperlink" Target="https://open.spotify.com/album/1ZI5wOuGdVO2UQK5fae8Jw?si=xtNb20hqT0yrK2DjhWX9xQ" TargetMode="External"/><Relationship Id="rId3877" Type="http://schemas.openxmlformats.org/officeDocument/2006/relationships/hyperlink" Target="https://umulamahri.bandcamp.com/album/learning-the-secrets-of-acid-2" TargetMode="External"/><Relationship Id="rId1217" Type="http://schemas.openxmlformats.org/officeDocument/2006/relationships/hyperlink" Target="https://withinfractals.bandcamp.com/album/samsara" TargetMode="External"/><Relationship Id="rId2548" Type="http://schemas.openxmlformats.org/officeDocument/2006/relationships/hyperlink" Target="https://outergodsuk.bandcamp.com/album/dethroned-devoured" TargetMode="External"/><Relationship Id="rId1218" Type="http://schemas.openxmlformats.org/officeDocument/2006/relationships/hyperlink" Target="https://unsolicited.bandcamp.com/album/life-energies" TargetMode="External"/><Relationship Id="rId2549" Type="http://schemas.openxmlformats.org/officeDocument/2006/relationships/hyperlink" Target="https://open.spotify.com/album/1EX3rDZRRzuTeBNyfA2Idx?si=1oSqxXdSSjilQu-gjQBwNQ" TargetMode="External"/><Relationship Id="rId3879" Type="http://schemas.openxmlformats.org/officeDocument/2006/relationships/hyperlink" Target="https://voiddancer.bandcamp.com/album/sorrow-from-self-undoing" TargetMode="External"/><Relationship Id="rId1219" Type="http://schemas.openxmlformats.org/officeDocument/2006/relationships/hyperlink" Target="https://eternalgazemetal.bandcamp.com/album/swing-thy-sickle-and-reap" TargetMode="External"/><Relationship Id="rId3870" Type="http://schemas.openxmlformats.org/officeDocument/2006/relationships/hyperlink" Target="https://dissona.bandcamp.com/album/receptor" TargetMode="External"/><Relationship Id="rId2540" Type="http://schemas.openxmlformats.org/officeDocument/2006/relationships/hyperlink" Target="https://sunafterdark.bandcamp.com/album/tatkraft" TargetMode="External"/><Relationship Id="rId3872" Type="http://schemas.openxmlformats.org/officeDocument/2006/relationships/hyperlink" Target="https://www.youtube.com/watch?v=LFmljeFQFO0" TargetMode="External"/><Relationship Id="rId1210" Type="http://schemas.openxmlformats.org/officeDocument/2006/relationships/hyperlink" Target="https://thegloriouswindsofastralsorrow.bandcamp.com/album/steal-the-dream-of-the-starclouds" TargetMode="External"/><Relationship Id="rId2541" Type="http://schemas.openxmlformats.org/officeDocument/2006/relationships/hyperlink" Target="https://open.spotify.com/album/0mrQdKpsTv2zeNizRC7x3X?si=xbbnceYlTjGLnglzFtxxJQ" TargetMode="External"/><Relationship Id="rId3871" Type="http://schemas.openxmlformats.org/officeDocument/2006/relationships/hyperlink" Target="https://open.spotify.com/album/2ne3ENhXY67MwdEXuzeoSR?si=uQLE_nhQRfW9HVHrnwcOPA" TargetMode="External"/><Relationship Id="rId1211" Type="http://schemas.openxmlformats.org/officeDocument/2006/relationships/hyperlink" Target="https://open.spotify.com/album/5ejqBWSq98mDjHMx4pNg6I?si=eUCbojxaQOWaQSfqCrPo8Q" TargetMode="External"/><Relationship Id="rId2542" Type="http://schemas.openxmlformats.org/officeDocument/2006/relationships/hyperlink" Target="https://www.youtube.com/watch?v=jW-cScR6peQ" TargetMode="External"/><Relationship Id="rId3874" Type="http://schemas.openxmlformats.org/officeDocument/2006/relationships/hyperlink" Target="https://nishaiar.bandcamp.com/album/enkbera" TargetMode="External"/><Relationship Id="rId1212" Type="http://schemas.openxmlformats.org/officeDocument/2006/relationships/hyperlink" Target="https://cultoffire.bandcamp.com/album/the-one-who-is-made-of-smoke" TargetMode="External"/><Relationship Id="rId2543" Type="http://schemas.openxmlformats.org/officeDocument/2006/relationships/hyperlink" Target="https://evadne.bandcamp.com/album/the-fragile-light-of-fireflies" TargetMode="External"/><Relationship Id="rId3873" Type="http://schemas.openxmlformats.org/officeDocument/2006/relationships/hyperlink" Target="https://open.spotify.com/album/1hGynkvGJVN9iE8Uao2OCJ?si=_owu9TfWR42f9obDlBV5_Q" TargetMode="External"/><Relationship Id="rId1202" Type="http://schemas.openxmlformats.org/officeDocument/2006/relationships/hyperlink" Target="https://open.spotify.com/album/1c4UVFHeurG3ACdqTN8mzu?si=BDVfSJQBTQadaCTgO4LP_w" TargetMode="External"/><Relationship Id="rId2533" Type="http://schemas.openxmlformats.org/officeDocument/2006/relationships/hyperlink" Target="https://www.youtube.com/watch?v=icEwy7sNTHg" TargetMode="External"/><Relationship Id="rId3865" Type="http://schemas.openxmlformats.org/officeDocument/2006/relationships/hyperlink" Target="https://lucernehammer.bandcamp.com/album/vermilion-pyre" TargetMode="External"/><Relationship Id="rId1203" Type="http://schemas.openxmlformats.org/officeDocument/2006/relationships/hyperlink" Target="https://mechinamusic.bandcamp.com/album/bellum-interruptum" TargetMode="External"/><Relationship Id="rId2534" Type="http://schemas.openxmlformats.org/officeDocument/2006/relationships/hyperlink" Target="https://nightbearer.bandcamp.com/album/defiance" TargetMode="External"/><Relationship Id="rId3864" Type="http://schemas.openxmlformats.org/officeDocument/2006/relationships/hyperlink" Target="https://open.spotify.com/album/3014k1Psl9mhMTVQqh38tn?si=NmVPPz6nT6e1S4sUquDFLA" TargetMode="External"/><Relationship Id="rId1204" Type="http://schemas.openxmlformats.org/officeDocument/2006/relationships/hyperlink" Target="https://grapefruitastronauts.bandcamp.com/album/grapefruit-astronauts" TargetMode="External"/><Relationship Id="rId2535" Type="http://schemas.openxmlformats.org/officeDocument/2006/relationships/hyperlink" Target="https://open.spotify.com/album/3dlL4pvrqreCjl6wSZen8y?si=55HZbxmsQEuLu1ffMM9g0A" TargetMode="External"/><Relationship Id="rId3867" Type="http://schemas.openxmlformats.org/officeDocument/2006/relationships/hyperlink" Target="https://open.spotify.com/album/1FITxiOeFZRIHw0QKFt768?si=3IC0xZ-oTgWDsunSiCy9rw" TargetMode="External"/><Relationship Id="rId1205" Type="http://schemas.openxmlformats.org/officeDocument/2006/relationships/hyperlink" Target="https://open.spotify.com/album/4jSHXBMlc89Pnfy30mrl10?si=F-wRv2yCT-mmFi5pE1YDxA" TargetMode="External"/><Relationship Id="rId2536" Type="http://schemas.openxmlformats.org/officeDocument/2006/relationships/hyperlink" Target="https://www.youtube.com/watch?v=7yEst-xEOco" TargetMode="External"/><Relationship Id="rId3866" Type="http://schemas.openxmlformats.org/officeDocument/2006/relationships/hyperlink" Target="https://akaamelda.bandcamp.com/album/inner-call-of-spirit" TargetMode="External"/><Relationship Id="rId1206" Type="http://schemas.openxmlformats.org/officeDocument/2006/relationships/hyperlink" Target="https://ensembleapparitions.bandcamp.com/album/volcanic-reality" TargetMode="External"/><Relationship Id="rId2537" Type="http://schemas.openxmlformats.org/officeDocument/2006/relationships/hyperlink" Target="https://phantomy.bandcamp.com/album/from-the-wild" TargetMode="External"/><Relationship Id="rId3869" Type="http://schemas.openxmlformats.org/officeDocument/2006/relationships/hyperlink" Target="https://open.spotify.com/album/76RzNXl2eOR5rWGafszjlp?si=uL9JD0dBRVukOxw_jb7k-A" TargetMode="External"/><Relationship Id="rId1207" Type="http://schemas.openxmlformats.org/officeDocument/2006/relationships/hyperlink" Target="https://rattenburcht-iec.bandcamp.com/album/vampyric-vessel" TargetMode="External"/><Relationship Id="rId2538" Type="http://schemas.openxmlformats.org/officeDocument/2006/relationships/hyperlink" Target="https://open.spotify.com/album/0WcRkuCOi6BVuDyTF6Mlzc?si=bAQndIE4SDKSqd6W-HCQGw" TargetMode="External"/><Relationship Id="rId3868" Type="http://schemas.openxmlformats.org/officeDocument/2006/relationships/hyperlink" Target="https://khanofficial.bandcamp.com/album/that-fair-and-warlike-form-return-to-dust" TargetMode="External"/><Relationship Id="rId1208" Type="http://schemas.openxmlformats.org/officeDocument/2006/relationships/hyperlink" Target="https://chrisbeernink.bandcamp.com/album/the-chimera-suite" TargetMode="External"/><Relationship Id="rId2539" Type="http://schemas.openxmlformats.org/officeDocument/2006/relationships/hyperlink" Target="https://www.youtube.com/watch?v=30yFUbzNH20" TargetMode="External"/><Relationship Id="rId1209" Type="http://schemas.openxmlformats.org/officeDocument/2006/relationships/hyperlink" Target="https://open.spotify.com/album/6il1oQPxAC0lJtq8TuggsV?si=hFRQj_lcRfO3m8mlGsHEsg" TargetMode="External"/><Relationship Id="rId3861" Type="http://schemas.openxmlformats.org/officeDocument/2006/relationships/hyperlink" Target="https://open.spotify.com/album/641GJL9mNP9cMFThmM4s7P?si=TcsIc0JMRwmC8XXBZzNFwQ" TargetMode="External"/><Relationship Id="rId2530" Type="http://schemas.openxmlformats.org/officeDocument/2006/relationships/hyperlink" Target="https://open.spotify.com/album/3yx4y3blnznoirNtqmtrR9?si=xn-85T16TWS766hedaUwrw" TargetMode="External"/><Relationship Id="rId3860" Type="http://schemas.openxmlformats.org/officeDocument/2006/relationships/hyperlink" Target="https://xtreemmusic.bandcamp.com/album/as-gods-devour" TargetMode="External"/><Relationship Id="rId1200" Type="http://schemas.openxmlformats.org/officeDocument/2006/relationships/hyperlink" Target="https://rotttenmoon.bandcamp.com/album/marred-earth" TargetMode="External"/><Relationship Id="rId2531" Type="http://schemas.openxmlformats.org/officeDocument/2006/relationships/hyperlink" Target="https://byonoisegenerator-label.bandcamp.com/album/subnormal-dives" TargetMode="External"/><Relationship Id="rId3863" Type="http://schemas.openxmlformats.org/officeDocument/2006/relationships/hyperlink" Target="https://moneykills.bandcamp.com/album/stovepipe" TargetMode="External"/><Relationship Id="rId1201" Type="http://schemas.openxmlformats.org/officeDocument/2006/relationships/hyperlink" Target="https://beyondtheanimus.bandcamp.com/album/somber" TargetMode="External"/><Relationship Id="rId2532" Type="http://schemas.openxmlformats.org/officeDocument/2006/relationships/hyperlink" Target="https://open.spotify.com/album/0iOm24AgSS0FINNnITElWe?si=o49JvZ-VQvSUjVLZ_aXQ3Q" TargetMode="External"/><Relationship Id="rId3862" Type="http://schemas.openxmlformats.org/officeDocument/2006/relationships/hyperlink" Target="https://www.youtube.com/watch?v=dVbiHajVdxo" TargetMode="External"/><Relationship Id="rId1235" Type="http://schemas.openxmlformats.org/officeDocument/2006/relationships/hyperlink" Target="https://ingurgitatingoblivion1.bandcamp.com/album/cadence-and-perspective-in-desolation" TargetMode="External"/><Relationship Id="rId2566" Type="http://schemas.openxmlformats.org/officeDocument/2006/relationships/hyperlink" Target="https://open.spotify.com/album/5QaJVSGoCPfFygbrzVqyDr?si=WY4_fgWpSM2ceAqb4DNbEg" TargetMode="External"/><Relationship Id="rId3898" Type="http://schemas.openxmlformats.org/officeDocument/2006/relationships/hyperlink" Target="https://www.youtube.com/watch?v=jIqZa9lzB1g" TargetMode="External"/><Relationship Id="rId1236" Type="http://schemas.openxmlformats.org/officeDocument/2006/relationships/hyperlink" Target="https://www.youtube.com/watch?v=pyGAZgoqs30" TargetMode="External"/><Relationship Id="rId2567" Type="http://schemas.openxmlformats.org/officeDocument/2006/relationships/hyperlink" Target="https://www.youtube.com/watch?v=E9dQuDIiPD8" TargetMode="External"/><Relationship Id="rId3897" Type="http://schemas.openxmlformats.org/officeDocument/2006/relationships/hyperlink" Target="https://open.spotify.com/album/4f2SrjGXA6EKHQYliDS0Xj?si=NcNfBlO0Qr2O4oHEUxt53Q" TargetMode="External"/><Relationship Id="rId1237" Type="http://schemas.openxmlformats.org/officeDocument/2006/relationships/hyperlink" Target="https://nospun.bandcamp.com/album/ozai" TargetMode="External"/><Relationship Id="rId2568" Type="http://schemas.openxmlformats.org/officeDocument/2006/relationships/hyperlink" Target="https://blindwatchmaker1.bandcamp.com/album/shadows-over-elysium" TargetMode="External"/><Relationship Id="rId1238" Type="http://schemas.openxmlformats.org/officeDocument/2006/relationships/hyperlink" Target="https://open.spotify.com/album/7aoxabLnQs2iORO40s7rf5?si=6wokQEg5RQ6rMX5wrjs2EQ" TargetMode="External"/><Relationship Id="rId2569" Type="http://schemas.openxmlformats.org/officeDocument/2006/relationships/hyperlink" Target="https://www.youtube.com/watch?v=bIbF9hUAYwI" TargetMode="External"/><Relationship Id="rId3899" Type="http://schemas.openxmlformats.org/officeDocument/2006/relationships/hyperlink" Target="https://sufferinghour.bandcamp.com/album/impelling-rebirth" TargetMode="External"/><Relationship Id="rId1239" Type="http://schemas.openxmlformats.org/officeDocument/2006/relationships/hyperlink" Target="https://www.youtube.com/watch?v=HWC6MArU3rY" TargetMode="External"/><Relationship Id="rId409" Type="http://schemas.openxmlformats.org/officeDocument/2006/relationships/hyperlink" Target="https://open.spotify.com/album/3ZB7yyiYw4z5EAEyiAGRXI?si=RDUaLLhcS-m1lwbN3z-0vA" TargetMode="External"/><Relationship Id="rId404" Type="http://schemas.openxmlformats.org/officeDocument/2006/relationships/hyperlink" Target="https://open.spotify.com/album/0fyyDevNVKhBrpL45ugWgD?si=nFzwi_CTSZWHLFJY9HtlvQ" TargetMode="External"/><Relationship Id="rId403" Type="http://schemas.openxmlformats.org/officeDocument/2006/relationships/hyperlink" Target="https://noctambulistofficial.bandcamp.com/album/noctambulist-ii-de-droom" TargetMode="External"/><Relationship Id="rId402" Type="http://schemas.openxmlformats.org/officeDocument/2006/relationships/hyperlink" Target="https://personal-records.bandcamp.com/album/skeletal-wings-threshold" TargetMode="External"/><Relationship Id="rId401" Type="http://schemas.openxmlformats.org/officeDocument/2006/relationships/hyperlink" Target="https://ameokama.bandcamp.com/album/i-will-be-clouds-in-the-morning-and-rain-in-the-evening" TargetMode="External"/><Relationship Id="rId408" Type="http://schemas.openxmlformats.org/officeDocument/2006/relationships/hyperlink" Target="https://morast-vanrecords.bandcamp.com/album/fentanyl" TargetMode="External"/><Relationship Id="rId407" Type="http://schemas.openxmlformats.org/officeDocument/2006/relationships/hyperlink" Target="https://www.youtube.com/watch?v=iFgjXnGT8Hg" TargetMode="External"/><Relationship Id="rId406" Type="http://schemas.openxmlformats.org/officeDocument/2006/relationships/hyperlink" Target="https://open.spotify.com/album/32hLc2Mvr6YJfPqXFrqP8K?si=UsDiPwF-RqOmiKkfBT7omg" TargetMode="External"/><Relationship Id="rId405" Type="http://schemas.openxmlformats.org/officeDocument/2006/relationships/hyperlink" Target="https://hypnoticdirgerecords.bandcamp.com/album/antipole" TargetMode="External"/><Relationship Id="rId3890" Type="http://schemas.openxmlformats.org/officeDocument/2006/relationships/hyperlink" Target="https://open.spotify.com/album/2fjpHdtYpwaZ6Enlyf9Fz5?si=GjaEhgJOT4ew6bo3egPFGA" TargetMode="External"/><Relationship Id="rId2560" Type="http://schemas.openxmlformats.org/officeDocument/2006/relationships/hyperlink" Target="https://skybornereveriesnp.bandcamp.com/album/skyborne-reveries" TargetMode="External"/><Relationship Id="rId3892" Type="http://schemas.openxmlformats.org/officeDocument/2006/relationships/hyperlink" Target="https://open.spotify.com/album/6inaEcBiuVqtrlsZ2hPvmi?si=AsB-dNRyQMWbRWKP4OO-7w" TargetMode="External"/><Relationship Id="rId1230" Type="http://schemas.openxmlformats.org/officeDocument/2006/relationships/hyperlink" Target="https://www.youtube.com/watch?v=CSOzIaRlo6E" TargetMode="External"/><Relationship Id="rId2561" Type="http://schemas.openxmlformats.org/officeDocument/2006/relationships/hyperlink" Target="https://open.spotify.com/album/5rElcOHntFj2KHGuK9l5ia?si=Y7j8WCsSSRyDz703KLTCwQ" TargetMode="External"/><Relationship Id="rId3891" Type="http://schemas.openxmlformats.org/officeDocument/2006/relationships/hyperlink" Target="https://cranialband.bandcamp.com/album/structures" TargetMode="External"/><Relationship Id="rId400" Type="http://schemas.openxmlformats.org/officeDocument/2006/relationships/hyperlink" Target="https://open.spotify.com/album/7Jn2g6YMwQ3G3aeaLSPwvp?si=qLQzDzCHTsyjWUePvroanw" TargetMode="External"/><Relationship Id="rId1231" Type="http://schemas.openxmlformats.org/officeDocument/2006/relationships/hyperlink" Target="https://vishkumar.bandcamp.com/album/chrysalis" TargetMode="External"/><Relationship Id="rId2562" Type="http://schemas.openxmlformats.org/officeDocument/2006/relationships/hyperlink" Target="https://www.youtube.com/watch?v=EQM_BvJy5FQ" TargetMode="External"/><Relationship Id="rId3894" Type="http://schemas.openxmlformats.org/officeDocument/2006/relationships/hyperlink" Target="https://drumcorps.bandcamp.com/album/for-everything" TargetMode="External"/><Relationship Id="rId1232" Type="http://schemas.openxmlformats.org/officeDocument/2006/relationships/hyperlink" Target="https://open.spotify.com/album/5sfQl9EsP2UinHbyUmTpFw?si=0s9DDkuqQd6DgjGSZRwZnw" TargetMode="External"/><Relationship Id="rId2563" Type="http://schemas.openxmlformats.org/officeDocument/2006/relationships/hyperlink" Target="https://mykingdommusic.bandcamp.com/album/songs-from-the-restless-oblivion" TargetMode="External"/><Relationship Id="rId3893" Type="http://schemas.openxmlformats.org/officeDocument/2006/relationships/hyperlink" Target="https://ciahippiemindcontrol.bandcamp.com/album/dust" TargetMode="External"/><Relationship Id="rId1233" Type="http://schemas.openxmlformats.org/officeDocument/2006/relationships/hyperlink" Target="https://valeband.bandcamp.com/album/no-tomorrow-worth-knowing" TargetMode="External"/><Relationship Id="rId2564" Type="http://schemas.openxmlformats.org/officeDocument/2006/relationships/hyperlink" Target="https://open.spotify.com/album/3kqngQQyWlzYmq6hOcieAG?si=_VIonPcgQL6FfM4_C6iZwQ" TargetMode="External"/><Relationship Id="rId3896" Type="http://schemas.openxmlformats.org/officeDocument/2006/relationships/hyperlink" Target="https://dolmengate.bandcamp.com/album/echoes-of-ancient-tales" TargetMode="External"/><Relationship Id="rId1234" Type="http://schemas.openxmlformats.org/officeDocument/2006/relationships/hyperlink" Target="https://open.spotify.com/album/0HO7QhPzE9BLQfSCmWWi7X?si=mSK_j3i0SUKjQNas_T0URQ" TargetMode="External"/><Relationship Id="rId2565" Type="http://schemas.openxmlformats.org/officeDocument/2006/relationships/hyperlink" Target="https://thearchonrift.bandcamp.com/album/the-harrowing-path-between-loathing-and-love" TargetMode="External"/><Relationship Id="rId3895" Type="http://schemas.openxmlformats.org/officeDocument/2006/relationships/hyperlink" Target="https://open.spotify.com/album/5nPxAoA4Tmy5XYx54DIczJ?si=ybMUKWjcThO8NF7TwX5a-A" TargetMode="External"/><Relationship Id="rId1224" Type="http://schemas.openxmlformats.org/officeDocument/2006/relationships/hyperlink" Target="https://open.spotify.com/album/3aQ0jpAcvcAPBWwvaL9B7C?si=S729Qt7pTUa7wLTTQNmYfw" TargetMode="External"/><Relationship Id="rId2555" Type="http://schemas.openxmlformats.org/officeDocument/2006/relationships/hyperlink" Target="https://charontid.bandcamp.com/album/eumenides-2" TargetMode="External"/><Relationship Id="rId3887" Type="http://schemas.openxmlformats.org/officeDocument/2006/relationships/hyperlink" Target="https://throatpiss.bandcamp.com/album/existence-as-a-grinding-gear" TargetMode="External"/><Relationship Id="rId1225" Type="http://schemas.openxmlformats.org/officeDocument/2006/relationships/hyperlink" Target="https://rcpd.bandcamp.com/album/fugue" TargetMode="External"/><Relationship Id="rId2556" Type="http://schemas.openxmlformats.org/officeDocument/2006/relationships/hyperlink" Target="https://open.spotify.com/album/7mjVIcjfjouWSzWtoWVTiZ?si=fSdIyb02QNqAdgPT_79j0Q" TargetMode="External"/><Relationship Id="rId3886" Type="http://schemas.openxmlformats.org/officeDocument/2006/relationships/hyperlink" Target="https://open.spotify.com/album/0CLaGXtt9lq4OTJenO7XlT?si=uxPAW5_QT7SNwqfGrI9JkA" TargetMode="External"/><Relationship Id="rId1226" Type="http://schemas.openxmlformats.org/officeDocument/2006/relationships/hyperlink" Target="https://open.spotify.com/album/1nMmdQmW1GlLmH7QSXPxvF?si=Iv16FGBdQbK7Shev6B-0Tw" TargetMode="External"/><Relationship Id="rId2557" Type="http://schemas.openxmlformats.org/officeDocument/2006/relationships/hyperlink" Target="https://thelastingdoserecords.bandcamp.com/album/tja-tld14" TargetMode="External"/><Relationship Id="rId3889" Type="http://schemas.openxmlformats.org/officeDocument/2006/relationships/hyperlink" Target="https://ausserwelt.bandcamp.com/album/breath" TargetMode="External"/><Relationship Id="rId1227" Type="http://schemas.openxmlformats.org/officeDocument/2006/relationships/hyperlink" Target="https://satsumaontheweb.bandcamp.com/album/this-is-my-outside-voice" TargetMode="External"/><Relationship Id="rId2558" Type="http://schemas.openxmlformats.org/officeDocument/2006/relationships/hyperlink" Target="https://open.spotify.com/album/3VbODZuf0QlJYkvnMJQdmh?si=yAcl7xqlTOWA6FhQCYzlLQ" TargetMode="External"/><Relationship Id="rId3888" Type="http://schemas.openxmlformats.org/officeDocument/2006/relationships/hyperlink" Target="https://open.spotify.com/album/6dYEnhyDVgw7sSYJz94RCU?si=2dZIXKP5RDCwRAluhy_bxw" TargetMode="External"/><Relationship Id="rId1228" Type="http://schemas.openxmlformats.org/officeDocument/2006/relationships/hyperlink" Target="https://open.spotify.com/album/0ak17vxPRCoSLEEDJOIkQh?si=CjlufsLLRy6t-yBscEsY_Q" TargetMode="External"/><Relationship Id="rId2559" Type="http://schemas.openxmlformats.org/officeDocument/2006/relationships/hyperlink" Target="https://www.youtube.com/watch?v=KmbQPg-5vp0" TargetMode="External"/><Relationship Id="rId1229" Type="http://schemas.openxmlformats.org/officeDocument/2006/relationships/hyperlink" Target="https://symbioticgrowth.bandcamp.com/album/beyond-the-sleepless-aether-3" TargetMode="External"/><Relationship Id="rId3881" Type="http://schemas.openxmlformats.org/officeDocument/2006/relationships/hyperlink" Target="https://sicksadworldfrance.bandcamp.com/album/deuil-s" TargetMode="External"/><Relationship Id="rId2550" Type="http://schemas.openxmlformats.org/officeDocument/2006/relationships/hyperlink" Target="https://therisendread.bandcamp.com/album/death-from-above" TargetMode="External"/><Relationship Id="rId3880" Type="http://schemas.openxmlformats.org/officeDocument/2006/relationships/hyperlink" Target="https://open.spotify.com/album/1MJDlosDtAv6Yu0saf02Ph?si=lRFFi1DKTmqlUmMEqEpudA" TargetMode="External"/><Relationship Id="rId1220" Type="http://schemas.openxmlformats.org/officeDocument/2006/relationships/hyperlink" Target="https://acidageperilouscompulsion.bandcamp.com/album/perilous-compulsion" TargetMode="External"/><Relationship Id="rId2551" Type="http://schemas.openxmlformats.org/officeDocument/2006/relationships/hyperlink" Target="https://open.spotify.com/album/1Qj5hEoXTXRU8SasEuajfj?si=T9iK-wUtS7O9pD9o5Uu97g" TargetMode="External"/><Relationship Id="rId3883" Type="http://schemas.openxmlformats.org/officeDocument/2006/relationships/hyperlink" Target="https://zannband.bandcamp.com/album/petrichor" TargetMode="External"/><Relationship Id="rId1221" Type="http://schemas.openxmlformats.org/officeDocument/2006/relationships/hyperlink" Target="https://open.spotify.com/album/3VN1ab8wAGzXj0vTAWrk8T?si=mGtcOxHhS8ir5Le9n-PLiw" TargetMode="External"/><Relationship Id="rId2552" Type="http://schemas.openxmlformats.org/officeDocument/2006/relationships/hyperlink" Target="https://sargassus.bandcamp.com/album/vitruvian-rays" TargetMode="External"/><Relationship Id="rId3882" Type="http://schemas.openxmlformats.org/officeDocument/2006/relationships/hyperlink" Target="https://open.spotify.com/album/6474ZmKNJAtFH95jtu4BiZ?si=vqbvRcA-SLerhXkq_f_aHA" TargetMode="External"/><Relationship Id="rId1222" Type="http://schemas.openxmlformats.org/officeDocument/2006/relationships/hyperlink" Target="https://www.youtube.com/watch?v=79E8Mw5HFWM" TargetMode="External"/><Relationship Id="rId2553" Type="http://schemas.openxmlformats.org/officeDocument/2006/relationships/hyperlink" Target="https://open.spotify.com/album/1ySrS5L3hlvKdAxsxMrWGP?si=kOBsPNIvRo-Z2_FAbdlnMQ" TargetMode="External"/><Relationship Id="rId3885" Type="http://schemas.openxmlformats.org/officeDocument/2006/relationships/hyperlink" Target="https://nebulos.bandcamp.com/album/katharsis" TargetMode="External"/><Relationship Id="rId1223" Type="http://schemas.openxmlformats.org/officeDocument/2006/relationships/hyperlink" Target="https://open.spotify.com/album/0Mrtc7kpT3MVAqkepNbb10?si=ps9AKny4QCaNCKHy8xc7ew" TargetMode="External"/><Relationship Id="rId2554" Type="http://schemas.openxmlformats.org/officeDocument/2006/relationships/hyperlink" Target="https://www.youtube.com/watch?v=i1ouaOK1P4I" TargetMode="External"/><Relationship Id="rId3884" Type="http://schemas.openxmlformats.org/officeDocument/2006/relationships/hyperlink" Target="https://open.spotify.com/album/2fJgVnU7xXdXBORa3dxiYf?si=OmaBhQteTBCvv8-hTJuK8A" TargetMode="External"/><Relationship Id="rId2500" Type="http://schemas.openxmlformats.org/officeDocument/2006/relationships/hyperlink" Target="https://open.spotify.com/album/4idiYAfr1PoVH9C6H0UcgI?si=QKyx7d7oTEuqKsmd5OeqYQ" TargetMode="External"/><Relationship Id="rId3832" Type="http://schemas.openxmlformats.org/officeDocument/2006/relationships/hyperlink" Target="https://open.spotify.com/album/38AKq2raFoJPiSGfFcWoRS?si=AXGK7obIQ-qWVI0H75CrLQ" TargetMode="External"/><Relationship Id="rId2501" Type="http://schemas.openxmlformats.org/officeDocument/2006/relationships/hyperlink" Target="https://hpgd.bandcamp.com/album/obrint-el-tau-t" TargetMode="External"/><Relationship Id="rId3831" Type="http://schemas.openxmlformats.org/officeDocument/2006/relationships/hyperlink" Target="https://mrsfrighthouse.bandcamp.com/album/solitude-over-control" TargetMode="External"/><Relationship Id="rId2502" Type="http://schemas.openxmlformats.org/officeDocument/2006/relationships/hyperlink" Target="https://open.spotify.com/album/64z10D90HjEp5fmuJDCtU7?si=dGwPBfMZQW6_vh3w5KkEpQ" TargetMode="External"/><Relationship Id="rId3834" Type="http://schemas.openxmlformats.org/officeDocument/2006/relationships/hyperlink" Target="https://open.spotify.com/album/4Kg95dj49FWzhQzZWCElMa?si=Co-yxdU9TGe1qZ1usiefWw" TargetMode="External"/><Relationship Id="rId2503" Type="http://schemas.openxmlformats.org/officeDocument/2006/relationships/hyperlink" Target="https://erebeband.bandcamp.com/album/duolithe" TargetMode="External"/><Relationship Id="rId3833" Type="http://schemas.openxmlformats.org/officeDocument/2006/relationships/hyperlink" Target="https://monolythfrance.bandcamp.com/album/seeds-of-perseverance" TargetMode="External"/><Relationship Id="rId2504" Type="http://schemas.openxmlformats.org/officeDocument/2006/relationships/hyperlink" Target="https://open.spotify.com/album/6JW7kpsvAsgqdmWUAP4Ug7?si=Ac3VatUeR8e9SGfyaXuLYQ" TargetMode="External"/><Relationship Id="rId3836" Type="http://schemas.openxmlformats.org/officeDocument/2006/relationships/hyperlink" Target="https://open.spotify.com/album/0Kc6ljLdT04Ng0bJxTbOZY?si=QvKzhVsRROO2SMARDBrw5g" TargetMode="External"/><Relationship Id="rId2505" Type="http://schemas.openxmlformats.org/officeDocument/2006/relationships/hyperlink" Target="https://lightsofvimana.bandcamp.com/album/neopolis" TargetMode="External"/><Relationship Id="rId3835" Type="http://schemas.openxmlformats.org/officeDocument/2006/relationships/hyperlink" Target="https://glaebcr.bandcamp.com/album/black-cloud" TargetMode="External"/><Relationship Id="rId2506" Type="http://schemas.openxmlformats.org/officeDocument/2006/relationships/hyperlink" Target="https://open.spotify.com/album/51bdZxBSNh20DxVR06uP1t?si=7BYbZ64RSMyXlnQP3ItDSA" TargetMode="External"/><Relationship Id="rId3838" Type="http://schemas.openxmlformats.org/officeDocument/2006/relationships/hyperlink" Target="https://open.spotify.com/album/0lramT99U6zfCD98T8mSPn?si=GNB1dqXrRFyBPFjquepFJQ" TargetMode="External"/><Relationship Id="rId2507" Type="http://schemas.openxmlformats.org/officeDocument/2006/relationships/hyperlink" Target="https://www.youtube.com/watch?v=fRnse2hVIu0" TargetMode="External"/><Relationship Id="rId3837" Type="http://schemas.openxmlformats.org/officeDocument/2006/relationships/hyperlink" Target="https://refinerrr.bandcamp.com/album/self-titled" TargetMode="External"/><Relationship Id="rId2508" Type="http://schemas.openxmlformats.org/officeDocument/2006/relationships/hyperlink" Target="https://rowofashes.bandcamp.com/album/tide-into-ruin" TargetMode="External"/><Relationship Id="rId2509" Type="http://schemas.openxmlformats.org/officeDocument/2006/relationships/hyperlink" Target="https://open.spotify.com/album/0av6o4oueYPNzxzjk7wRWl?si=USCBvwqYSSWa8g-VCRdCTw" TargetMode="External"/><Relationship Id="rId3839" Type="http://schemas.openxmlformats.org/officeDocument/2006/relationships/hyperlink" Target="https://unother209.bandcamp.com/album/unother" TargetMode="External"/><Relationship Id="rId3830" Type="http://schemas.openxmlformats.org/officeDocument/2006/relationships/hyperlink" Target="https://sterveling.bandcamp.com/album/sterveling" TargetMode="External"/><Relationship Id="rId3821" Type="http://schemas.openxmlformats.org/officeDocument/2006/relationships/hyperlink" Target="https://villainofthestory.bandcamp.com/album/convergence-two-minds-in-one" TargetMode="External"/><Relationship Id="rId3820" Type="http://schemas.openxmlformats.org/officeDocument/2006/relationships/hyperlink" Target="https://open.spotify.com/album/1fCrRUykhfUC1sGg4QMoDu?si=Rv6JWc8NSMyJ1lmjsqJs0A" TargetMode="External"/><Relationship Id="rId3823" Type="http://schemas.openxmlformats.org/officeDocument/2006/relationships/hyperlink" Target="https://wehmutbm.bandcamp.com/album/iii-fr-hling" TargetMode="External"/><Relationship Id="rId3822" Type="http://schemas.openxmlformats.org/officeDocument/2006/relationships/hyperlink" Target="https://open.spotify.com/album/3CchvmN2sahY4niSqpvSLH?si=ICr8ioMSSwSVqTYoTZ6GVQ" TargetMode="External"/><Relationship Id="rId3825" Type="http://schemas.openxmlformats.org/officeDocument/2006/relationships/hyperlink" Target="https://www.youtube.com/watch?v=5DIg9PujFp8" TargetMode="External"/><Relationship Id="rId3824" Type="http://schemas.openxmlformats.org/officeDocument/2006/relationships/hyperlink" Target="https://open.spotify.com/album/6EkGVWh2OBU034NSIuwTgh?si=RYDHzxHYQgykgO33cC6NyQ" TargetMode="External"/><Relationship Id="rId3827" Type="http://schemas.openxmlformats.org/officeDocument/2006/relationships/hyperlink" Target="https://open.spotify.com/album/1YEuBmKuxOCEasukXMMuks?si=SLf_xXMYRamcO3WUmxorQA" TargetMode="External"/><Relationship Id="rId3826" Type="http://schemas.openxmlformats.org/officeDocument/2006/relationships/hyperlink" Target="https://telesterionmusic.bandcamp.com/album/songs-of-orpheus" TargetMode="External"/><Relationship Id="rId3829" Type="http://schemas.openxmlformats.org/officeDocument/2006/relationships/hyperlink" Target="https://open.spotify.com/album/2j5uX1D2kh0OvL3h0t0eel?si=lswZ6IrmS9mxQrryIACnGg" TargetMode="External"/><Relationship Id="rId3828" Type="http://schemas.openxmlformats.org/officeDocument/2006/relationships/hyperlink" Target="https://afterearth-swe.bandcamp.com/album/dark-night-of-the-soul" TargetMode="External"/><Relationship Id="rId2522" Type="http://schemas.openxmlformats.org/officeDocument/2006/relationships/hyperlink" Target="https://hexvessel.bandcamp.com/album/nocturne" TargetMode="External"/><Relationship Id="rId3854" Type="http://schemas.openxmlformats.org/officeDocument/2006/relationships/hyperlink" Target="https://gatesofdawn.bandcamp.com/album/iii" TargetMode="External"/><Relationship Id="rId2523" Type="http://schemas.openxmlformats.org/officeDocument/2006/relationships/hyperlink" Target="https://open.spotify.com/album/50rFKgev0H8lVJpkzKhC3K?si=GXcjCruxTw-AEXuezN9GKQ" TargetMode="External"/><Relationship Id="rId3853" Type="http://schemas.openxmlformats.org/officeDocument/2006/relationships/hyperlink" Target="https://open.spotify.com/album/4wTlTL8cpzcwGUNHMqjAMw?si=UsG_IoQAT0yaaxuwOfyVmA" TargetMode="External"/><Relationship Id="rId2524" Type="http://schemas.openxmlformats.org/officeDocument/2006/relationships/hyperlink" Target="https://www.youtube.com/watch?v=9qCJKj0pUO0" TargetMode="External"/><Relationship Id="rId3856" Type="http://schemas.openxmlformats.org/officeDocument/2006/relationships/hyperlink" Target="https://open.spotify.com/album/3Lc4yJXpuzu00CJsc0xmSk?si=SW2YtoaMSXWJ8lk2zqKoug" TargetMode="External"/><Relationship Id="rId2525" Type="http://schemas.openxmlformats.org/officeDocument/2006/relationships/hyperlink" Target="https://agabas.bandcamp.com/album/hard-anger" TargetMode="External"/><Relationship Id="rId3855" Type="http://schemas.openxmlformats.org/officeDocument/2006/relationships/hyperlink" Target="https://prosaicfr.bandcamp.com/album/define-me-gravity" TargetMode="External"/><Relationship Id="rId2526" Type="http://schemas.openxmlformats.org/officeDocument/2006/relationships/hyperlink" Target="https://open.spotify.com/album/6eijwTTiTf5lpMyTeL8Frb?si=sfeyv74sReiF4CSHuEBVHw" TargetMode="External"/><Relationship Id="rId3858" Type="http://schemas.openxmlformats.org/officeDocument/2006/relationships/hyperlink" Target="https://open.spotify.com/album/2bboRK8QRMn17rfBlpAvww?si=RHf-NLzeSVad1tATgtiW3g" TargetMode="External"/><Relationship Id="rId2527" Type="http://schemas.openxmlformats.org/officeDocument/2006/relationships/hyperlink" Target="https://fallujah.bandcamp.com/album/xenotaph" TargetMode="External"/><Relationship Id="rId3857" Type="http://schemas.openxmlformats.org/officeDocument/2006/relationships/hyperlink" Target="https://oaken.bandcamp.com/album/from-the-bonfire" TargetMode="External"/><Relationship Id="rId2528" Type="http://schemas.openxmlformats.org/officeDocument/2006/relationships/hyperlink" Target="https://open.spotify.com/album/1pbRzs1dkG6luTXoMNiZHs?si=g1tZf2hMSU6FnjX4OsFAyQ" TargetMode="External"/><Relationship Id="rId2529" Type="http://schemas.openxmlformats.org/officeDocument/2006/relationships/hyperlink" Target="https://marijuana.bandcamp.com/album/in-the-dawn-of-november" TargetMode="External"/><Relationship Id="rId3859" Type="http://schemas.openxmlformats.org/officeDocument/2006/relationships/hyperlink" Target="https://loweredheadrecords.bandcamp.com/album/lowered-head" TargetMode="External"/><Relationship Id="rId3850" Type="http://schemas.openxmlformats.org/officeDocument/2006/relationships/hyperlink" Target="https://open.spotify.com/album/1fjZuL8AdtZo2gxqzGwnF4?si=zo8_d88jRw6urs6Fyp_Pxg" TargetMode="External"/><Relationship Id="rId2520" Type="http://schemas.openxmlformats.org/officeDocument/2006/relationships/hyperlink" Target="https://afargang.bandcamp.com/album/andvake" TargetMode="External"/><Relationship Id="rId3852" Type="http://schemas.openxmlformats.org/officeDocument/2006/relationships/hyperlink" Target="https://krifis.bandcamp.com/album/anabasis" TargetMode="External"/><Relationship Id="rId2521" Type="http://schemas.openxmlformats.org/officeDocument/2006/relationships/hyperlink" Target="https://open.spotify.com/album/6ZSSLPJywdtNf8qtleu79E?si=M_RBd02DQbKo6D5oZ1dzPg" TargetMode="External"/><Relationship Id="rId3851" Type="http://schemas.openxmlformats.org/officeDocument/2006/relationships/hyperlink" Target="https://roughpass.bandcamp.com/album/solemn-psalms" TargetMode="External"/><Relationship Id="rId2511" Type="http://schemas.openxmlformats.org/officeDocument/2006/relationships/hyperlink" Target="https://open.spotify.com/album/70A0Z5M0oesMlJQ3awOOry?si=R1gTEiqzT6eqF7iza4sUfA" TargetMode="External"/><Relationship Id="rId3843" Type="http://schemas.openxmlformats.org/officeDocument/2006/relationships/hyperlink" Target="https://theoilbarons.bandcamp.com/album/grandiose" TargetMode="External"/><Relationship Id="rId2512" Type="http://schemas.openxmlformats.org/officeDocument/2006/relationships/hyperlink" Target="https://dolven.bandcamp.com/album/in-my-grave-silence" TargetMode="External"/><Relationship Id="rId3842" Type="http://schemas.openxmlformats.org/officeDocument/2006/relationships/hyperlink" Target="https://open.spotify.com/album/1ZUAbfumLk9K2KfL1ESZ5s?si=mmQT4rPrQL2FJsRxSkgUAw" TargetMode="External"/><Relationship Id="rId2513" Type="http://schemas.openxmlformats.org/officeDocument/2006/relationships/hyperlink" Target="https://kinggizzard.bandcamp.com/album/phantom-island" TargetMode="External"/><Relationship Id="rId3845" Type="http://schemas.openxmlformats.org/officeDocument/2006/relationships/hyperlink" Target="https://andifoundaway.bandcamp.com/album/clover-bloom" TargetMode="External"/><Relationship Id="rId2514" Type="http://schemas.openxmlformats.org/officeDocument/2006/relationships/hyperlink" Target="https://open.spotify.com/album/3koVdFrXznL2PQ8WxTYjt7?si=NnpYZWApS1CVm73PCsEASw" TargetMode="External"/><Relationship Id="rId3844" Type="http://schemas.openxmlformats.org/officeDocument/2006/relationships/hyperlink" Target="https://open.spotify.com/album/0ExNx4onR0hR5xcJsYEYzK?si=WMEsBi2DTaaKG9436nDCHw" TargetMode="External"/><Relationship Id="rId2515" Type="http://schemas.openxmlformats.org/officeDocument/2006/relationships/hyperlink" Target="https://byzantine.bandcamp.com/album/harbingers" TargetMode="External"/><Relationship Id="rId3847" Type="http://schemas.openxmlformats.org/officeDocument/2006/relationships/hyperlink" Target="https://countinghours2.bandcamp.com/album/dreaming-in-the-mire" TargetMode="External"/><Relationship Id="rId2516" Type="http://schemas.openxmlformats.org/officeDocument/2006/relationships/hyperlink" Target="https://open.spotify.com/album/3HGdMoJfXHmbtVCXbPbSdr?si=kD5TPciyQ4aA7_wOX_mAmg" TargetMode="External"/><Relationship Id="rId3846" Type="http://schemas.openxmlformats.org/officeDocument/2006/relationships/hyperlink" Target="https://ulmbandmontana.bandcamp.com/album/the-accursed-share" TargetMode="External"/><Relationship Id="rId2517" Type="http://schemas.openxmlformats.org/officeDocument/2006/relationships/hyperlink" Target="https://www.youtube.com/watch?v=2X1-pOTrcjw" TargetMode="External"/><Relationship Id="rId3849" Type="http://schemas.openxmlformats.org/officeDocument/2006/relationships/hyperlink" Target="https://fallenletters.bandcamp.com/album/mindfractures" TargetMode="External"/><Relationship Id="rId2518" Type="http://schemas.openxmlformats.org/officeDocument/2006/relationships/hyperlink" Target="https://avkrvst.bandcamp.com/album/waving-at-the-sky-24-bit-hd-audio" TargetMode="External"/><Relationship Id="rId3848" Type="http://schemas.openxmlformats.org/officeDocument/2006/relationships/hyperlink" Target="https://open.spotify.com/album/0zT3S0MPZa7y6Q1YfzlcRY?si=QkN-FermRimtgvjGhQgbGA" TargetMode="External"/><Relationship Id="rId2519" Type="http://schemas.openxmlformats.org/officeDocument/2006/relationships/hyperlink" Target="https://open.spotify.com/album/0cIqjMVGszUlgY8Aq7v98L?si=-fihkcP5ROanWap90Gjbxw" TargetMode="External"/><Relationship Id="rId3841" Type="http://schemas.openxmlformats.org/officeDocument/2006/relationships/hyperlink" Target="https://baikal-band.bandcamp.com/album/baikal" TargetMode="External"/><Relationship Id="rId2510" Type="http://schemas.openxmlformats.org/officeDocument/2006/relationships/hyperlink" Target="https://darkmattersecret.bandcamp.com/album/new-matter" TargetMode="External"/><Relationship Id="rId3840" Type="http://schemas.openxmlformats.org/officeDocument/2006/relationships/hyperlink" Target="https://open.spotify.com/album/2cGWIu4aHinO8B8esjEYt7?si=yqwyzAgRQ1mm8IENOTpUFA" TargetMode="External"/><Relationship Id="rId4327" Type="http://schemas.openxmlformats.org/officeDocument/2006/relationships/hyperlink" Target="https://www.youtube.com/watch?v=v7ej8IVp66I" TargetMode="External"/><Relationship Id="rId4326" Type="http://schemas.openxmlformats.org/officeDocument/2006/relationships/hyperlink" Target="https://dwellingbelow.bandcamp.com/album/wearisome-guardians" TargetMode="External"/><Relationship Id="rId4329" Type="http://schemas.openxmlformats.org/officeDocument/2006/relationships/hyperlink" Target="https://www.youtube.com/watch?v=vIltecndI54" TargetMode="External"/><Relationship Id="rId4328" Type="http://schemas.openxmlformats.org/officeDocument/2006/relationships/hyperlink" Target="https://outlaw218.bandcamp.com/album/opus-mortis" TargetMode="External"/><Relationship Id="rId469" Type="http://schemas.openxmlformats.org/officeDocument/2006/relationships/hyperlink" Target="https://hpgd.bandcamp.com/album/outrage" TargetMode="External"/><Relationship Id="rId468" Type="http://schemas.openxmlformats.org/officeDocument/2006/relationships/hyperlink" Target="https://www.youtube.com/watch?v=UV9QFZkKIjE" TargetMode="External"/><Relationship Id="rId467" Type="http://schemas.openxmlformats.org/officeDocument/2006/relationships/hyperlink" Target="https://open.spotify.com/album/55RyfSXO40yw0LhCw8B980?si=9U34PY9ZQFadJjS5njk20g" TargetMode="External"/><Relationship Id="rId1290" Type="http://schemas.openxmlformats.org/officeDocument/2006/relationships/hyperlink" Target="https://open.spotify.com/album/58hEH9Vzj25jTgJlH9Zy5y?si=xnQVu07lQrevQWJzwcLBlg" TargetMode="External"/><Relationship Id="rId1291" Type="http://schemas.openxmlformats.org/officeDocument/2006/relationships/hyperlink" Target="https://dyingvictimsproductions.bandcamp.com/album/vengeance-wrath" TargetMode="External"/><Relationship Id="rId1292" Type="http://schemas.openxmlformats.org/officeDocument/2006/relationships/hyperlink" Target="https://open.spotify.com/album/1TxguboBfZ35DMtS3mOCC1?si=MFyPCtuLThmd9IhHQ8Ohag" TargetMode="External"/><Relationship Id="rId462" Type="http://schemas.openxmlformats.org/officeDocument/2006/relationships/hyperlink" Target="https://cantuignis.bandcamp.com/album/the-fathomless-dominion" TargetMode="External"/><Relationship Id="rId1293" Type="http://schemas.openxmlformats.org/officeDocument/2006/relationships/hyperlink" Target="https://crawlingchaos-ttk.bandcamp.com/album/wyrd" TargetMode="External"/><Relationship Id="rId461" Type="http://schemas.openxmlformats.org/officeDocument/2006/relationships/hyperlink" Target="https://open.spotify.com/album/0dWfZ2DoWiIA2v4io99lOs?si=bM3JZ_wTRLG10_DXYSUQvA" TargetMode="External"/><Relationship Id="rId1294" Type="http://schemas.openxmlformats.org/officeDocument/2006/relationships/hyperlink" Target="https://open.spotify.com/album/7drVnfKrddlsYRoxE1xfkz?si=rvjAKh69T9Gwl3cqdu8OMw" TargetMode="External"/><Relationship Id="rId460" Type="http://schemas.openxmlformats.org/officeDocument/2006/relationships/hyperlink" Target="https://www.youtube.com/watch?v=uaPPZB_2Tyw" TargetMode="External"/><Relationship Id="rId1295" Type="http://schemas.openxmlformats.org/officeDocument/2006/relationships/hyperlink" Target="https://agoniarecords.bandcamp.com/album/the-illuminant" TargetMode="External"/><Relationship Id="rId4321" Type="http://schemas.openxmlformats.org/officeDocument/2006/relationships/hyperlink" Target="https://purenoise.bandcamp.com/album/the-light-we-chase" TargetMode="External"/><Relationship Id="rId1296" Type="http://schemas.openxmlformats.org/officeDocument/2006/relationships/hyperlink" Target="https://open.spotify.com/album/7MdRWKXrmtSbMKXrWm23iP?si=u62Gv3dJRdacNLKBuxTw-w" TargetMode="External"/><Relationship Id="rId4320" Type="http://schemas.openxmlformats.org/officeDocument/2006/relationships/hyperlink" Target="https://theoblivionsacrificeband.bandcamp.com/album/echoes-of-the-gallows" TargetMode="External"/><Relationship Id="rId466" Type="http://schemas.openxmlformats.org/officeDocument/2006/relationships/hyperlink" Target="https://dlrnt.bandcamp.com/album/thoughteater" TargetMode="External"/><Relationship Id="rId1297" Type="http://schemas.openxmlformats.org/officeDocument/2006/relationships/hyperlink" Target="https://www.youtube.com/watch?v=MkwtJrvOO10" TargetMode="External"/><Relationship Id="rId4323" Type="http://schemas.openxmlformats.org/officeDocument/2006/relationships/hyperlink" Target="https://www.youtube.com/watch?v=F_LczMlrh3w" TargetMode="External"/><Relationship Id="rId465" Type="http://schemas.openxmlformats.org/officeDocument/2006/relationships/hyperlink" Target="https://lavadome.bandcamp.com/album/vengeance-evangel" TargetMode="External"/><Relationship Id="rId1298" Type="http://schemas.openxmlformats.org/officeDocument/2006/relationships/hyperlink" Target="https://laurenbabic.bandcamp.com/album/too-much-and-never-enough" TargetMode="External"/><Relationship Id="rId4322" Type="http://schemas.openxmlformats.org/officeDocument/2006/relationships/hyperlink" Target="https://bloodymoonband.bandcamp.com/album/lost-damned" TargetMode="External"/><Relationship Id="rId464" Type="http://schemas.openxmlformats.org/officeDocument/2006/relationships/hyperlink" Target="https://thinshred.bandcamp.com/album/the-overlapping-nature-of-things-preorder" TargetMode="External"/><Relationship Id="rId1299" Type="http://schemas.openxmlformats.org/officeDocument/2006/relationships/hyperlink" Target="https://open.spotify.com/album/5y8d9vu2zDXrRCWeWmyCLG?si=dHWYYrTVRKK4ij1S2JH6bQ" TargetMode="External"/><Relationship Id="rId4325" Type="http://schemas.openxmlformats.org/officeDocument/2006/relationships/hyperlink" Target="https://www.youtube.com/watch?v=w80jc0H2dQo" TargetMode="External"/><Relationship Id="rId463" Type="http://schemas.openxmlformats.org/officeDocument/2006/relationships/hyperlink" Target="https://open.spotify.com/album/68VdbRiHLbfUCtH7d2gHCU?si=eT5XWDSpQoSYf42q67Ci5w" TargetMode="External"/><Relationship Id="rId4324" Type="http://schemas.openxmlformats.org/officeDocument/2006/relationships/hyperlink" Target="https://barrenpath.bandcamp.com/album/grieving" TargetMode="External"/><Relationship Id="rId4316" Type="http://schemas.openxmlformats.org/officeDocument/2006/relationships/hyperlink" Target="https://unprocessed.bandcamp.com/album/angel" TargetMode="External"/><Relationship Id="rId4315" Type="http://schemas.openxmlformats.org/officeDocument/2006/relationships/hyperlink" Target="https://www.youtube.com/watch?v=kl8Q5QU23QE" TargetMode="External"/><Relationship Id="rId4318" Type="http://schemas.openxmlformats.org/officeDocument/2006/relationships/hyperlink" Target="https://fleshfieldofficial.bandcamp.com/album/belief-control" TargetMode="External"/><Relationship Id="rId4317" Type="http://schemas.openxmlformats.org/officeDocument/2006/relationships/hyperlink" Target="https://mantah.bandcamp.com/album/antidote" TargetMode="External"/><Relationship Id="rId4319" Type="http://schemas.openxmlformats.org/officeDocument/2006/relationships/hyperlink" Target="https://asleepatthehelmofficial.bandcamp.com/album/ornate-resentment" TargetMode="External"/><Relationship Id="rId459" Type="http://schemas.openxmlformats.org/officeDocument/2006/relationships/hyperlink" Target="https://open.spotify.com/album/1phlP5UkRnNAmLBBOEsOFR?si=gCLUGqLmSVKl25mg4of6vQ" TargetMode="External"/><Relationship Id="rId458" Type="http://schemas.openxmlformats.org/officeDocument/2006/relationships/hyperlink" Target="https://blackstarmantra.bandcamp.com/album/escape-reality" TargetMode="External"/><Relationship Id="rId457" Type="http://schemas.openxmlformats.org/officeDocument/2006/relationships/hyperlink" Target="https://bloodymountainrecords.bandcamp.com/album/futility-e-p" TargetMode="External"/><Relationship Id="rId456" Type="http://schemas.openxmlformats.org/officeDocument/2006/relationships/hyperlink" Target="https://open.spotify.com/album/2QADVGPqd5Jw1X8A0r0Apg?si=u4mmdlgtSp-7jp1q6us8AA" TargetMode="External"/><Relationship Id="rId1280" Type="http://schemas.openxmlformats.org/officeDocument/2006/relationships/hyperlink" Target="https://open.spotify.com/album/0nHZFMlRozyRanBXUCBpp8?si=McENUz52Rs-2qjVdLCYiXw" TargetMode="External"/><Relationship Id="rId1281" Type="http://schemas.openxmlformats.org/officeDocument/2006/relationships/hyperlink" Target="https://theghostisclearrecords.bandcamp.com/album/reflections-and-criticisms" TargetMode="External"/><Relationship Id="rId451" Type="http://schemas.openxmlformats.org/officeDocument/2006/relationships/hyperlink" Target="https://ashenfields.bandcamp.com/album/so-haggard-and-so-woe-begone" TargetMode="External"/><Relationship Id="rId1282" Type="http://schemas.openxmlformats.org/officeDocument/2006/relationships/hyperlink" Target="https://open.spotify.com/album/1gF7MikPQuapHxmdg2WyEd?si=SBnA3qajS3SRnPTwx-uVBQ" TargetMode="External"/><Relationship Id="rId450" Type="http://schemas.openxmlformats.org/officeDocument/2006/relationships/hyperlink" Target="https://prehistoriaband.bandcamp.com/album/cryptic-halo" TargetMode="External"/><Relationship Id="rId1283" Type="http://schemas.openxmlformats.org/officeDocument/2006/relationships/hyperlink" Target="https://sevensistersheavymetal.bandcamp.com/album/shadow-of-a-fallen-star-pt-2" TargetMode="External"/><Relationship Id="rId1284" Type="http://schemas.openxmlformats.org/officeDocument/2006/relationships/hyperlink" Target="https://open.spotify.com/album/2t9UQGbjyYCHU1rhn5rf2t?si=CL9Isty1S5yX8XHaJorXuQ" TargetMode="External"/><Relationship Id="rId4310" Type="http://schemas.openxmlformats.org/officeDocument/2006/relationships/hyperlink" Target="https://primitivemandoom.bandcamp.com/album/observance" TargetMode="External"/><Relationship Id="rId1285" Type="http://schemas.openxmlformats.org/officeDocument/2006/relationships/hyperlink" Target="https://vemodofficial.bandcamp.com/album/burden" TargetMode="External"/><Relationship Id="rId455" Type="http://schemas.openxmlformats.org/officeDocument/2006/relationships/hyperlink" Target="https://mellomofficial.bandcamp.com/album/the-empire-of-gloom" TargetMode="External"/><Relationship Id="rId1286" Type="http://schemas.openxmlformats.org/officeDocument/2006/relationships/hyperlink" Target="https://open.spotify.com/album/3ytCJLyBSJN5vHK7g3YRJa?si=vA8sgrQKTWe7ncaDO56wAg" TargetMode="External"/><Relationship Id="rId4312" Type="http://schemas.openxmlformats.org/officeDocument/2006/relationships/hyperlink" Target="https://aephanemer.bandcamp.com/album/utopie" TargetMode="External"/><Relationship Id="rId454" Type="http://schemas.openxmlformats.org/officeDocument/2006/relationships/hyperlink" Target="https://arcanesight.bandcamp.com/album/a-brief-light" TargetMode="External"/><Relationship Id="rId1287" Type="http://schemas.openxmlformats.org/officeDocument/2006/relationships/hyperlink" Target="https://dyingvictimsproductions.bandcamp.com/album/where-spirit-withers-in-its-flesh-constraint" TargetMode="External"/><Relationship Id="rId4311" Type="http://schemas.openxmlformats.org/officeDocument/2006/relationships/hyperlink" Target="https://massanera.bandcamp.com/album/the-emptiness-of-all-things" TargetMode="External"/><Relationship Id="rId453" Type="http://schemas.openxmlformats.org/officeDocument/2006/relationships/hyperlink" Target="https://serpentsofpakhangba.bandcamp.com/album/air-and-fire" TargetMode="External"/><Relationship Id="rId1288" Type="http://schemas.openxmlformats.org/officeDocument/2006/relationships/hyperlink" Target="https://open.spotify.com/album/5JtaEZfOQRQ1BYc8LqfMFO?si=TbxvAT1QQqenn1ddY4mOxA" TargetMode="External"/><Relationship Id="rId4314" Type="http://schemas.openxmlformats.org/officeDocument/2006/relationships/hyperlink" Target="https://open.spotify.com/album/5KFvhZwejSylBaPatTFVBA?si=7yY36L7bQ0upW_5jcsKdDQ" TargetMode="External"/><Relationship Id="rId452" Type="http://schemas.openxmlformats.org/officeDocument/2006/relationships/hyperlink" Target="https://open.spotify.com/album/3HzXsY4XWrcXGumhMlQSM4?si=fUXun1pwSPGRVH3bCCnwsw" TargetMode="External"/><Relationship Id="rId1289" Type="http://schemas.openxmlformats.org/officeDocument/2006/relationships/hyperlink" Target="https://dyingvictimsproductions.bandcamp.com/album/lady-beast-the-inner-alchemist-lp" TargetMode="External"/><Relationship Id="rId4313" Type="http://schemas.openxmlformats.org/officeDocument/2006/relationships/hyperlink" Target="https://chatpile.bandcamp.com/album/in-the-earth-again" TargetMode="External"/><Relationship Id="rId3018" Type="http://schemas.openxmlformats.org/officeDocument/2006/relationships/hyperlink" Target="https://www.youtube.com/watch?v=hKr_Qyk7sUY" TargetMode="External"/><Relationship Id="rId4349" Type="http://schemas.openxmlformats.org/officeDocument/2006/relationships/hyperlink" Target="https://burnedineffigy.bandcamp.com/album/tyrannus-aeternum" TargetMode="External"/><Relationship Id="rId3017" Type="http://schemas.openxmlformats.org/officeDocument/2006/relationships/hyperlink" Target="https://open.spotify.com/album/36nq2kkO0XJrWppGX4N92S?si=iL1y2JdPRTS1ZVFPNACbwQ" TargetMode="External"/><Relationship Id="rId4348" Type="http://schemas.openxmlformats.org/officeDocument/2006/relationships/hyperlink" Target="https://kuolemankello.bandcamp.com/album/perkeet" TargetMode="External"/><Relationship Id="rId3019" Type="http://schemas.openxmlformats.org/officeDocument/2006/relationships/hyperlink" Target="https://blckmgnt.bandcamp.com/album/megamantra-2" TargetMode="External"/><Relationship Id="rId491" Type="http://schemas.openxmlformats.org/officeDocument/2006/relationships/hyperlink" Target="https://dawnofsolace.bandcamp.com/album/affliction-vortex" TargetMode="External"/><Relationship Id="rId490" Type="http://schemas.openxmlformats.org/officeDocument/2006/relationships/hyperlink" Target="https://open.spotify.com/album/48doH9nnym0XhIm1587p3F?si=I3Fnxp45RSOUrJgXANV49A" TargetMode="External"/><Relationship Id="rId489" Type="http://schemas.openxmlformats.org/officeDocument/2006/relationships/hyperlink" Target="https://www.youtube.com/watch?v=VbBRkQ8XTeg" TargetMode="External"/><Relationship Id="rId484" Type="http://schemas.openxmlformats.org/officeDocument/2006/relationships/hyperlink" Target="https://open.spotify.com/album/4EcDzeECKPtxUa7heXgxA8?si=Q0psZXoPSVC12ztscHLdqw" TargetMode="External"/><Relationship Id="rId3010" Type="http://schemas.openxmlformats.org/officeDocument/2006/relationships/hyperlink" Target="https://dyingvictimsproductions.bandcamp.com/album/man-eater" TargetMode="External"/><Relationship Id="rId4341" Type="http://schemas.openxmlformats.org/officeDocument/2006/relationships/hyperlink" Target="https://www.youtube.com/watch?v=CumK0H5MvfA" TargetMode="External"/><Relationship Id="rId483" Type="http://schemas.openxmlformats.org/officeDocument/2006/relationships/hyperlink" Target="https://rioghan.bandcamp.com/album/kept" TargetMode="External"/><Relationship Id="rId4340" Type="http://schemas.openxmlformats.org/officeDocument/2006/relationships/hyperlink" Target="https://avantgardemusic.bandcamp.com/album/bianca" TargetMode="External"/><Relationship Id="rId482" Type="http://schemas.openxmlformats.org/officeDocument/2006/relationships/hyperlink" Target="https://open.spotify.com/album/3ckDRG2vDGPJyo2F1JqQj6?si=GQuQu4xDSFWb1rlAw06WIQ" TargetMode="External"/><Relationship Id="rId3012" Type="http://schemas.openxmlformats.org/officeDocument/2006/relationships/hyperlink" Target="https://dyingvictimsproductions.bandcamp.com/album/from-the-grave" TargetMode="External"/><Relationship Id="rId4343" Type="http://schemas.openxmlformats.org/officeDocument/2006/relationships/hyperlink" Target="https://www.youtube.com/watch?v=wY2y5sDNSts" TargetMode="External"/><Relationship Id="rId481" Type="http://schemas.openxmlformats.org/officeDocument/2006/relationships/hyperlink" Target="https://open.spotify.com/album/5ZV5kI1t3JRxU1O18EM8rH?si=fgMhF4JAQy6zqOfkF8OZTA" TargetMode="External"/><Relationship Id="rId3011" Type="http://schemas.openxmlformats.org/officeDocument/2006/relationships/hyperlink" Target="https://open.spotify.com/album/2PSVIPWfF4BNakEKtAh4lo?si=1sUp6Vc-QCyNF29Ci97Vmw" TargetMode="External"/><Relationship Id="rId4342" Type="http://schemas.openxmlformats.org/officeDocument/2006/relationships/hyperlink" Target="https://oneofnine.bandcamp.com/album/dawn-of-the-iron-shadow" TargetMode="External"/><Relationship Id="rId488" Type="http://schemas.openxmlformats.org/officeDocument/2006/relationships/hyperlink" Target="https://open.spotify.com/album/3nC8QKEPHnYsi0xlaZMVLj?si=LcO0yviNRb68Uap0RkdTmA" TargetMode="External"/><Relationship Id="rId3014" Type="http://schemas.openxmlformats.org/officeDocument/2006/relationships/hyperlink" Target="https://dehumanreign.bandcamp.com/album/dawn-of-a-malefic-dominion" TargetMode="External"/><Relationship Id="rId4345" Type="http://schemas.openxmlformats.org/officeDocument/2006/relationships/hyperlink" Target="https://elenionmusic.bandcamp.com/album/the-symphony-of-the-night" TargetMode="External"/><Relationship Id="rId487" Type="http://schemas.openxmlformats.org/officeDocument/2006/relationships/hyperlink" Target="https://open.spotify.com/album/2y8QlFM8O9zhONQsQpFgsv?si=b92hlW5FTXOYKsZe8BrcQg" TargetMode="External"/><Relationship Id="rId3013" Type="http://schemas.openxmlformats.org/officeDocument/2006/relationships/hyperlink" Target="https://open.spotify.com/album/0KqMaVGLLGFMG366527Kaz?si=qgBNpeHSQM63jttYiT9OzA" TargetMode="External"/><Relationship Id="rId4344" Type="http://schemas.openxmlformats.org/officeDocument/2006/relationships/hyperlink" Target="https://bogwizard.bandcamp.com/album/satanik-panik" TargetMode="External"/><Relationship Id="rId486" Type="http://schemas.openxmlformats.org/officeDocument/2006/relationships/hyperlink" Target="https://centurymedia.bandcamp.com/album/to-live-in-a-different-way-24-bit-hd-audio" TargetMode="External"/><Relationship Id="rId3016" Type="http://schemas.openxmlformats.org/officeDocument/2006/relationships/hyperlink" Target="https://shadecrown.bandcamp.com/album/0" TargetMode="External"/><Relationship Id="rId4347" Type="http://schemas.openxmlformats.org/officeDocument/2006/relationships/hyperlink" Target="https://listenable-records.bandcamp.com/album/sudden-impact" TargetMode="External"/><Relationship Id="rId485" Type="http://schemas.openxmlformats.org/officeDocument/2006/relationships/hyperlink" Target="https://www.youtube.com/watch?v=JmCF2OJXnuo" TargetMode="External"/><Relationship Id="rId3015" Type="http://schemas.openxmlformats.org/officeDocument/2006/relationships/hyperlink" Target="https://open.spotify.com/album/67HhYT3TldLjdsFfu4jF38?si=pAm47JE3R_elbXhevbCa-w" TargetMode="External"/><Relationship Id="rId4346" Type="http://schemas.openxmlformats.org/officeDocument/2006/relationships/hyperlink" Target="https://railhazer.bandcamp.com/album/trashtronaut" TargetMode="External"/><Relationship Id="rId3007" Type="http://schemas.openxmlformats.org/officeDocument/2006/relationships/hyperlink" Target="https://www.youtube.com/watch?v=yGheQ9kmFn8" TargetMode="External"/><Relationship Id="rId4338" Type="http://schemas.openxmlformats.org/officeDocument/2006/relationships/hyperlink" Target="https://believeinnothing.bandcamp.com/album/rot" TargetMode="External"/><Relationship Id="rId3006" Type="http://schemas.openxmlformats.org/officeDocument/2006/relationships/hyperlink" Target="https://open.spotify.com/album/2nhub6ls6ku8HPjsJ7W9OH?si=-Ft-Z-cWQ-GBY8HUrmQ18Q" TargetMode="External"/><Relationship Id="rId4337" Type="http://schemas.openxmlformats.org/officeDocument/2006/relationships/hyperlink" Target="https://bastardcross.bandcamp.com/album/crossripper-2" TargetMode="External"/><Relationship Id="rId3009" Type="http://schemas.openxmlformats.org/officeDocument/2006/relationships/hyperlink" Target="https://open.spotify.com/album/72XEx0iEnIWAxa5aCv6CIQ?si=LGMY_5-rS7C0OQu4O6PE5g" TargetMode="External"/><Relationship Id="rId3008" Type="http://schemas.openxmlformats.org/officeDocument/2006/relationships/hyperlink" Target="https://dyingvictimsproductions.bandcamp.com/album/catch-the-endless-dawn" TargetMode="External"/><Relationship Id="rId4339" Type="http://schemas.openxmlformats.org/officeDocument/2006/relationships/hyperlink" Target="https://caligarirecords.bandcamp.com/album/embalming" TargetMode="External"/><Relationship Id="rId480" Type="http://schemas.openxmlformats.org/officeDocument/2006/relationships/hyperlink" Target="https://blacknarcissusband.bandcamp.com/album/there-lingers-one-whos-long-forgotten" TargetMode="External"/><Relationship Id="rId479" Type="http://schemas.openxmlformats.org/officeDocument/2006/relationships/hyperlink" Target="https://www.youtube.com/watch?v=0txAKJoi5Kk" TargetMode="External"/><Relationship Id="rId478" Type="http://schemas.openxmlformats.org/officeDocument/2006/relationships/hyperlink" Target="https://open.spotify.com/album/3qMkm8R2K3vTdQiidP0yYN?si=bGhNeXXZS7a3QEza-j9iqQ" TargetMode="External"/><Relationship Id="rId473" Type="http://schemas.openxmlformats.org/officeDocument/2006/relationships/hyperlink" Target="https://www.youtube.com/watch?v=CJUAbeqRtr4" TargetMode="External"/><Relationship Id="rId4330" Type="http://schemas.openxmlformats.org/officeDocument/2006/relationships/hyperlink" Target="https://empiredrowns.bandcamp.com/album/endless-nights" TargetMode="External"/><Relationship Id="rId472" Type="http://schemas.openxmlformats.org/officeDocument/2006/relationships/hyperlink" Target="https://open.spotify.com/album/4n33ky6eHrGCZZId4BPtc8?si=TAMeSEN9QvaByVEUxUh1Yg" TargetMode="External"/><Relationship Id="rId471" Type="http://schemas.openxmlformats.org/officeDocument/2006/relationships/hyperlink" Target="https://vermiliaofficial.bandcamp.com/album/karsikko" TargetMode="External"/><Relationship Id="rId3001" Type="http://schemas.openxmlformats.org/officeDocument/2006/relationships/hyperlink" Target="https://open.spotify.com/album/5x46IIKFqzgDzp9BhWLHkR?si=bRDIdvSWSV-pBcl1Orfi0A" TargetMode="External"/><Relationship Id="rId4332" Type="http://schemas.openxmlformats.org/officeDocument/2006/relationships/hyperlink" Target="https://nightingalesmerch.bandcamp.com/album/sylphlike-re-recording-2025" TargetMode="External"/><Relationship Id="rId470" Type="http://schemas.openxmlformats.org/officeDocument/2006/relationships/hyperlink" Target="https://open.spotify.com/album/6pp1d1CWrbr5JcEEXtbIqz?si=eDlhJfKtT1SCLB89omoOEg" TargetMode="External"/><Relationship Id="rId3000" Type="http://schemas.openxmlformats.org/officeDocument/2006/relationships/hyperlink" Target="https://haxprocess-label.bandcamp.com/album/beyond-what-eyes-can-see" TargetMode="External"/><Relationship Id="rId4331" Type="http://schemas.openxmlformats.org/officeDocument/2006/relationships/hyperlink" Target="https://www.youtube.com/watch?v=d4tCDE6JFRM" TargetMode="External"/><Relationship Id="rId477" Type="http://schemas.openxmlformats.org/officeDocument/2006/relationships/hyperlink" Target="https://agoniarecords.bandcamp.com/album/wilhelm" TargetMode="External"/><Relationship Id="rId3003" Type="http://schemas.openxmlformats.org/officeDocument/2006/relationships/hyperlink" Target="https://jordfst.bandcamp.com/album/blodsd-d-och-hor" TargetMode="External"/><Relationship Id="rId4334" Type="http://schemas.openxmlformats.org/officeDocument/2006/relationships/hyperlink" Target="https://moonspell.bandcamp.com/album/opus-diabolicum-the-orchestral-live-show" TargetMode="External"/><Relationship Id="rId476" Type="http://schemas.openxmlformats.org/officeDocument/2006/relationships/hyperlink" Target="https://open.spotify.com/album/5EOCZA9fBxYGH3Ynlyjhiu?si=RTprbFUkQauz3MSnuOZ5tw" TargetMode="External"/><Relationship Id="rId3002" Type="http://schemas.openxmlformats.org/officeDocument/2006/relationships/hyperlink" Target="https://www.youtube.com/watch?v=PdDxBWJps9w" TargetMode="External"/><Relationship Id="rId4333" Type="http://schemas.openxmlformats.org/officeDocument/2006/relationships/hyperlink" Target="https://www.youtube.com/watch?v=SK_Z662-d_A" TargetMode="External"/><Relationship Id="rId475" Type="http://schemas.openxmlformats.org/officeDocument/2006/relationships/hyperlink" Target="https://open.spotify.com/album/6RGc9qkmo1fdK4LcWwG6QV?si=IA5fzYyIQLiQqoyCIeTMPA" TargetMode="External"/><Relationship Id="rId3005" Type="http://schemas.openxmlformats.org/officeDocument/2006/relationships/hyperlink" Target="https://goblinsmoker.bandcamp.com/album/the-kings-eternal-throne" TargetMode="External"/><Relationship Id="rId4336" Type="http://schemas.openxmlformats.org/officeDocument/2006/relationships/hyperlink" Target="https://www.youtube.com/watch?v=vHhVLMN4UB4" TargetMode="External"/><Relationship Id="rId474" Type="http://schemas.openxmlformats.org/officeDocument/2006/relationships/hyperlink" Target="https://dusktone.bandcamp.com/album/ossarium" TargetMode="External"/><Relationship Id="rId3004" Type="http://schemas.openxmlformats.org/officeDocument/2006/relationships/hyperlink" Target="https://open.spotify.com/album/5nxl4NBsdMAUFerTcksJaf?si=m3K1dDMISCO9HosBCr6vsQ" TargetMode="External"/><Relationship Id="rId4335" Type="http://schemas.openxmlformats.org/officeDocument/2006/relationships/hyperlink" Target="https://talesofmike.bandcamp.com/album/human" TargetMode="External"/><Relationship Id="rId1257" Type="http://schemas.openxmlformats.org/officeDocument/2006/relationships/hyperlink" Target="https://open.spotify.com/album/4ZqJ4fYsGefA4uad1XW2w0?si=pvZPEBvjTJOtOrs0AQh36w" TargetMode="External"/><Relationship Id="rId2588" Type="http://schemas.openxmlformats.org/officeDocument/2006/relationships/hyperlink" Target="https://vinnumsabbathi.bandcamp.com/album/intersatelital" TargetMode="External"/><Relationship Id="rId1258" Type="http://schemas.openxmlformats.org/officeDocument/2006/relationships/hyperlink" Target="https://daevar.bandcamp.com/album/sub-rosa" TargetMode="External"/><Relationship Id="rId2589" Type="http://schemas.openxmlformats.org/officeDocument/2006/relationships/hyperlink" Target="https://vanishingearth.bandcamp.com/album/the-boundless" TargetMode="External"/><Relationship Id="rId1259" Type="http://schemas.openxmlformats.org/officeDocument/2006/relationships/hyperlink" Target="https://open.spotify.com/album/5a073JQnEzyRIqnSt5DZIx?si=uUn1B7uISxK1JrvHoMVWTQ" TargetMode="External"/><Relationship Id="rId426" Type="http://schemas.openxmlformats.org/officeDocument/2006/relationships/hyperlink" Target="https://xavernah.bandcamp.com/album/absence" TargetMode="External"/><Relationship Id="rId425" Type="http://schemas.openxmlformats.org/officeDocument/2006/relationships/hyperlink" Target="https://open.spotify.com/album/5JO8jDEDTyAL9eV9Qg4dwZ?si=4-5gGSE6S7KLXJiGP031SQ" TargetMode="External"/><Relationship Id="rId424" Type="http://schemas.openxmlformats.org/officeDocument/2006/relationships/hyperlink" Target="https://openkasket.bandcamp.com/album/trials-of-failure" TargetMode="External"/><Relationship Id="rId423" Type="http://schemas.openxmlformats.org/officeDocument/2006/relationships/hyperlink" Target="https://open.spotify.com/album/34zM1kSrRFNg9nQy6X9Gdt?si=AaeimFFHRTqF5BAmfG2UzQ" TargetMode="External"/><Relationship Id="rId429" Type="http://schemas.openxmlformats.org/officeDocument/2006/relationships/hyperlink" Target="https://theodensreign.bandcamp.com/album/citadel-of-the-stars" TargetMode="External"/><Relationship Id="rId428" Type="http://schemas.openxmlformats.org/officeDocument/2006/relationships/hyperlink" Target="https://www.youtube.com/watch?v=zxlab5b4PUo" TargetMode="External"/><Relationship Id="rId427" Type="http://schemas.openxmlformats.org/officeDocument/2006/relationships/hyperlink" Target="https://open.spotify.com/album/6PuHoUlCkALHjZ7TL22Kg6?si=MWVWxI4FTYu65uRnmw5m6Q" TargetMode="External"/><Relationship Id="rId2580" Type="http://schemas.openxmlformats.org/officeDocument/2006/relationships/hyperlink" Target="https://entityofchaos.bandcamp.com/album/spectral-echoes" TargetMode="External"/><Relationship Id="rId1250" Type="http://schemas.openxmlformats.org/officeDocument/2006/relationships/hyperlink" Target="https://open.spotify.com/album/1aDiUxRPQYeGtZuPC8J83R?si=Gb1UnySVS8yLbheLRn3jxw" TargetMode="External"/><Relationship Id="rId2581" Type="http://schemas.openxmlformats.org/officeDocument/2006/relationships/hyperlink" Target="https://open.spotify.com/album/3sg9U75oFfYyaQgfkfxMga?si=woZTwj8ERFmS1pLw-lN5eQ" TargetMode="External"/><Relationship Id="rId1251" Type="http://schemas.openxmlformats.org/officeDocument/2006/relationships/hyperlink" Target="https://avantgardemusic.bandcamp.com/album/we-lost-our-hope-along-the-way" TargetMode="External"/><Relationship Id="rId2582" Type="http://schemas.openxmlformats.org/officeDocument/2006/relationships/hyperlink" Target="https://archaic-sound.bandcamp.com/album/leur-esprit-marche-dans-les-t-n-bres" TargetMode="External"/><Relationship Id="rId1252" Type="http://schemas.openxmlformats.org/officeDocument/2006/relationships/hyperlink" Target="https://open.spotify.com/album/1qeCWH6qaThXquc0t4C9K1?si=yc4KnGCNSM-dh0HOECKOvQ" TargetMode="External"/><Relationship Id="rId2583" Type="http://schemas.openxmlformats.org/officeDocument/2006/relationships/hyperlink" Target="https://answerfromcygnus.bandcamp.com/album/des-cendres" TargetMode="External"/><Relationship Id="rId422" Type="http://schemas.openxmlformats.org/officeDocument/2006/relationships/hyperlink" Target="https://palehorsepalerider1.bandcamp.com/album/waves-i" TargetMode="External"/><Relationship Id="rId1253" Type="http://schemas.openxmlformats.org/officeDocument/2006/relationships/hyperlink" Target="https://www.youtube.com/watch?v=Cnp10WXC2Uc" TargetMode="External"/><Relationship Id="rId2584" Type="http://schemas.openxmlformats.org/officeDocument/2006/relationships/hyperlink" Target="https://open.spotify.com/album/4RSJsLomF384ZnzKLHzXxb?si=njMg14VnQGCBhFXSyNVZ9A" TargetMode="External"/><Relationship Id="rId421" Type="http://schemas.openxmlformats.org/officeDocument/2006/relationships/hyperlink" Target="https://open.spotify.com/album/0tkot0fpIye0vUibbyAmkt?si=iT9oZ4QzTiyZ2BGMZ7Dz2Q" TargetMode="External"/><Relationship Id="rId1254" Type="http://schemas.openxmlformats.org/officeDocument/2006/relationships/hyperlink" Target="https://savagemasterofficial.bandcamp.com/album/dark-dangerous-pre-order" TargetMode="External"/><Relationship Id="rId2585" Type="http://schemas.openxmlformats.org/officeDocument/2006/relationships/hyperlink" Target="https://anathematise.bandcamp.com/album/corrosive-reflection" TargetMode="External"/><Relationship Id="rId420" Type="http://schemas.openxmlformats.org/officeDocument/2006/relationships/hyperlink" Target="https://www.youtube.com/watch?v=Kw8O4iG74bA" TargetMode="External"/><Relationship Id="rId1255" Type="http://schemas.openxmlformats.org/officeDocument/2006/relationships/hyperlink" Target="https://open.spotify.com/album/3Vs80t8okTel07emNiUv2G?si=mK2hvhd6QoyxZXYq4-LeGA" TargetMode="External"/><Relationship Id="rId2586" Type="http://schemas.openxmlformats.org/officeDocument/2006/relationships/hyperlink" Target="https://winterblind.bandcamp.com/album/ego" TargetMode="External"/><Relationship Id="rId1256" Type="http://schemas.openxmlformats.org/officeDocument/2006/relationships/hyperlink" Target="https://panthalassan.bandcamp.com/album/from-the-shallows-of-the-mantle" TargetMode="External"/><Relationship Id="rId2587" Type="http://schemas.openxmlformats.org/officeDocument/2006/relationships/hyperlink" Target="https://open.spotify.com/album/0NwHdnAKSB0nv7Xurl00SH?si=ERx_TZ_gS8GzuAFpvFTVIw" TargetMode="External"/><Relationship Id="rId1246" Type="http://schemas.openxmlformats.org/officeDocument/2006/relationships/hyperlink" Target="https://open.spotify.com/album/5qEOO4BX3s3amNgFashUs0?si=dhRzipnARmmKekqpB5E8VQ" TargetMode="External"/><Relationship Id="rId2577" Type="http://schemas.openxmlformats.org/officeDocument/2006/relationships/hyperlink" Target="https://execrari.bandcamp.com/album/desolation-manifest" TargetMode="External"/><Relationship Id="rId1247" Type="http://schemas.openxmlformats.org/officeDocument/2006/relationships/hyperlink" Target="https://sickxsense.bandcamp.com/album/cross-me-twice" TargetMode="External"/><Relationship Id="rId2578" Type="http://schemas.openxmlformats.org/officeDocument/2006/relationships/hyperlink" Target="https://open.spotify.com/album/2U1BIYaK6q19vT4f2cdi5M?si=4tIqrUIdQoSJvrtf1rjOow" TargetMode="External"/><Relationship Id="rId1248" Type="http://schemas.openxmlformats.org/officeDocument/2006/relationships/hyperlink" Target="https://open.spotify.com/album/7gsdI7hjHwWFQ0ashLR13K?si=hGxnd-0eR6iqGJcnceBIog" TargetMode="External"/><Relationship Id="rId2579" Type="http://schemas.openxmlformats.org/officeDocument/2006/relationships/hyperlink" Target="https://trha.bandcamp.com/album/di-nido-jad-untwan-law-ur-d-hajt-ejn-a-tana-l-n-b" TargetMode="External"/><Relationship Id="rId1249" Type="http://schemas.openxmlformats.org/officeDocument/2006/relationships/hyperlink" Target="https://judicatormetal.bandcamp.com/album/concord" TargetMode="External"/><Relationship Id="rId415" Type="http://schemas.openxmlformats.org/officeDocument/2006/relationships/hyperlink" Target="https://www.youtube.com/watch?v=96GLUoC8zjQ" TargetMode="External"/><Relationship Id="rId414" Type="http://schemas.openxmlformats.org/officeDocument/2006/relationships/hyperlink" Target="https://open.spotify.com/album/7u0YRsY2r1dVE45cORyvwO?si=56wLnadiRluaih4tmxu4_A" TargetMode="External"/><Relationship Id="rId413" Type="http://schemas.openxmlformats.org/officeDocument/2006/relationships/hyperlink" Target="https://erebaltorhhr.bandcamp.com/album/h-lsingem-rker" TargetMode="External"/><Relationship Id="rId412" Type="http://schemas.openxmlformats.org/officeDocument/2006/relationships/hyperlink" Target="https://open.spotify.com/album/7a6GERsb9QWlRKSmcB0JiD?si=cRgOi754Ssi-3nt9bMF_ZQ" TargetMode="External"/><Relationship Id="rId419" Type="http://schemas.openxmlformats.org/officeDocument/2006/relationships/hyperlink" Target="https://open.spotify.com/album/4tPjHc9qKhFmoemZcQ04IZ?si=t6hsOZenQkOjO_-H2no0XA" TargetMode="External"/><Relationship Id="rId418" Type="http://schemas.openxmlformats.org/officeDocument/2006/relationships/hyperlink" Target="https://black44.bandcamp.com/album/bloodlines" TargetMode="External"/><Relationship Id="rId417" Type="http://schemas.openxmlformats.org/officeDocument/2006/relationships/hyperlink" Target="https://www.youtube.com/watch?v=8rdoJPOBZEo" TargetMode="External"/><Relationship Id="rId416" Type="http://schemas.openxmlformats.org/officeDocument/2006/relationships/hyperlink" Target="https://inbornsuffering.bandcamp.com/album/pale-grey-monochrome" TargetMode="External"/><Relationship Id="rId2570" Type="http://schemas.openxmlformats.org/officeDocument/2006/relationships/hyperlink" Target="https://professoremeritus.bandcamp.com/album/a-land-long-gone" TargetMode="External"/><Relationship Id="rId1240" Type="http://schemas.openxmlformats.org/officeDocument/2006/relationships/hyperlink" Target="https://i-voidhangerrecords.bandcamp.com/album/labyrinthine-heirs" TargetMode="External"/><Relationship Id="rId2571" Type="http://schemas.openxmlformats.org/officeDocument/2006/relationships/hyperlink" Target="https://open.spotify.com/album/4GbsIV7o1LpDdNYEyZsGnH?si=CpHW15JXQFGomLGQOHBaOg" TargetMode="External"/><Relationship Id="rId1241" Type="http://schemas.openxmlformats.org/officeDocument/2006/relationships/hyperlink" Target="https://open.spotify.com/album/6NsmHdoA7dPcTcQUxBP8FT?si=kqGihw1kTnKDS0PAC9Xn7A" TargetMode="External"/><Relationship Id="rId2572" Type="http://schemas.openxmlformats.org/officeDocument/2006/relationships/hyperlink" Target="https://thebiscuitmerchant.bandcamp.com/album/tempora" TargetMode="External"/><Relationship Id="rId411" Type="http://schemas.openxmlformats.org/officeDocument/2006/relationships/hyperlink" Target="https://markohietala.bandcamp.com/album/roses-from-the-deep" TargetMode="External"/><Relationship Id="rId1242" Type="http://schemas.openxmlformats.org/officeDocument/2006/relationships/hyperlink" Target="https://i-voidhangerrecords.bandcamp.com/album/the-overmold" TargetMode="External"/><Relationship Id="rId2573" Type="http://schemas.openxmlformats.org/officeDocument/2006/relationships/hyperlink" Target="https://open.spotify.com/album/74LnBCraVmDBetr8eYEGkS?si=sq2VpRJhSwqFmR5sVgX4nw" TargetMode="External"/><Relationship Id="rId410" Type="http://schemas.openxmlformats.org/officeDocument/2006/relationships/hyperlink" Target="https://www.youtube.com/watch?v=iadDa1SCbpk" TargetMode="External"/><Relationship Id="rId1243" Type="http://schemas.openxmlformats.org/officeDocument/2006/relationships/hyperlink" Target="https://i-voidhangerrecords.bandcamp.com/album/upgrade" TargetMode="External"/><Relationship Id="rId2574" Type="http://schemas.openxmlformats.org/officeDocument/2006/relationships/hyperlink" Target="https://lipoma-gurglinggore.bandcamp.com/album/no-cure-for-the-sick" TargetMode="External"/><Relationship Id="rId1244" Type="http://schemas.openxmlformats.org/officeDocument/2006/relationships/hyperlink" Target="https://open.spotify.com/album/6Utf0r8K8W83DxTs40j1sx?si=MwBnd8pzRiCYVPPJToPPZw" TargetMode="External"/><Relationship Id="rId2575" Type="http://schemas.openxmlformats.org/officeDocument/2006/relationships/hyperlink" Target="https://open.spotify.com/album/71EFawymPhWOa710Mzvp4L?si=NmzCcSVpRlOmMXx6NQP7lQ" TargetMode="External"/><Relationship Id="rId1245" Type="http://schemas.openxmlformats.org/officeDocument/2006/relationships/hyperlink" Target="https://underoath.bandcamp.com/album/the-place-after-this-one" TargetMode="External"/><Relationship Id="rId2576" Type="http://schemas.openxmlformats.org/officeDocument/2006/relationships/hyperlink" Target="https://spectralarmour.bandcamp.com/album/phantasm" TargetMode="External"/><Relationship Id="rId1279" Type="http://schemas.openxmlformats.org/officeDocument/2006/relationships/hyperlink" Target="https://archenemyofficial.bandcamp.com/album/blood-dynasty-24-bit-hd-audio" TargetMode="External"/><Relationship Id="rId4305" Type="http://schemas.openxmlformats.org/officeDocument/2006/relationships/hyperlink" Target="https://runemagick.bandcamp.com/album/cycle-of-the-dying-sun-dawn-of-ashen-realms" TargetMode="External"/><Relationship Id="rId4304" Type="http://schemas.openxmlformats.org/officeDocument/2006/relationships/hyperlink" Target="https://open.spotify.com/album/4bdSheKbIbek2iAxdDLYUY?si=AKcjiDImQLWTCqT9IsQsVQ" TargetMode="External"/><Relationship Id="rId4307" Type="http://schemas.openxmlformats.org/officeDocument/2006/relationships/hyperlink" Target="https://frontierer.bandcamp.com/album/orange-mathematics-redux" TargetMode="External"/><Relationship Id="rId4306" Type="http://schemas.openxmlformats.org/officeDocument/2006/relationships/hyperlink" Target="https://www.youtube.com/watch?v=rR6WnzUdW5Q" TargetMode="External"/><Relationship Id="rId4309" Type="http://schemas.openxmlformats.org/officeDocument/2006/relationships/hyperlink" Target="https://centurymedia.bandcamp.com/album/saudade-24-bit-hd-audio" TargetMode="External"/><Relationship Id="rId4308" Type="http://schemas.openxmlformats.org/officeDocument/2006/relationships/hyperlink" Target="https://indisciplinarian.bandcamp.com/album/guld" TargetMode="External"/><Relationship Id="rId448" Type="http://schemas.openxmlformats.org/officeDocument/2006/relationships/hyperlink" Target="https://continuumofxul.bandcamp.com/album/voratore" TargetMode="External"/><Relationship Id="rId447" Type="http://schemas.openxmlformats.org/officeDocument/2006/relationships/hyperlink" Target="https://visionsofruin.bandcamp.com/album/ix-of-swords" TargetMode="External"/><Relationship Id="rId446" Type="http://schemas.openxmlformats.org/officeDocument/2006/relationships/hyperlink" Target="https://www.youtube.com/watch?v=O2ygPhiDcR4" TargetMode="External"/><Relationship Id="rId445" Type="http://schemas.openxmlformats.org/officeDocument/2006/relationships/hyperlink" Target="https://open.spotify.com/album/1r3UudU2UpHyh3jzIfsqn8?si=HcBqMIp-R0Gsf4JQzRuUSw" TargetMode="External"/><Relationship Id="rId449" Type="http://schemas.openxmlformats.org/officeDocument/2006/relationships/hyperlink" Target="https://open.spotify.com/album/6pIv7uvW4CMohNZuSpMN97?si=Ou7FmVrRTC24QNtUGWaA2g" TargetMode="External"/><Relationship Id="rId1270" Type="http://schemas.openxmlformats.org/officeDocument/2006/relationships/hyperlink" Target="https://open.spotify.com/album/2SEV67rOOqDh60otmvigOE?si=iOGwTMbERf2dVUNN4lgtwQ" TargetMode="External"/><Relationship Id="rId440" Type="http://schemas.openxmlformats.org/officeDocument/2006/relationships/hyperlink" Target="https://open.spotify.com/album/6xurT6UQGgxePbw8uwlpTb?si=t5HrMPCvRIOe0k9fKP-5mA" TargetMode="External"/><Relationship Id="rId1271" Type="http://schemas.openxmlformats.org/officeDocument/2006/relationships/hyperlink" Target="https://alienweaponry.bandcamp.com/album/te-r" TargetMode="External"/><Relationship Id="rId1272" Type="http://schemas.openxmlformats.org/officeDocument/2006/relationships/hyperlink" Target="https://open.spotify.com/album/2H7YgFo7y9Jy0H8kI2XieO?si=6HXEGjQrS_u9bM08_-smlQ" TargetMode="External"/><Relationship Id="rId1273" Type="http://schemas.openxmlformats.org/officeDocument/2006/relationships/hyperlink" Target="https://telepathyband.bandcamp.com/album/transmissions" TargetMode="External"/><Relationship Id="rId1274" Type="http://schemas.openxmlformats.org/officeDocument/2006/relationships/hyperlink" Target="https://open.spotify.com/album/59mVD3SIJFKOX7PVvz5DX8?si=cP66gTGKSTm8lmu2ySphlw" TargetMode="External"/><Relationship Id="rId444" Type="http://schemas.openxmlformats.org/officeDocument/2006/relationships/hyperlink" Target="https://shagor.bandcamp.com/album/lyksalver" TargetMode="External"/><Relationship Id="rId1275" Type="http://schemas.openxmlformats.org/officeDocument/2006/relationships/hyperlink" Target="https://www.youtube.com/watch?v=u42Pu3EIgws" TargetMode="External"/><Relationship Id="rId4301" Type="http://schemas.openxmlformats.org/officeDocument/2006/relationships/hyperlink" Target="https://open.spotify.com/album/4jqAqTWzaJvtVck9sGsfap?si=M-AKSXXUSEK_6K_Bb7XyAA" TargetMode="External"/><Relationship Id="rId443" Type="http://schemas.openxmlformats.org/officeDocument/2006/relationships/hyperlink" Target="https://www.youtube.com/watch?v=HAeoId1Zlm4" TargetMode="External"/><Relationship Id="rId1276" Type="http://schemas.openxmlformats.org/officeDocument/2006/relationships/hyperlink" Target="https://pleiadesuk.bandcamp.com/album/if-your-roots-run-deep-you-cant-fear-the-wind" TargetMode="External"/><Relationship Id="rId4300" Type="http://schemas.openxmlformats.org/officeDocument/2006/relationships/hyperlink" Target="https://dogknightsproductions.bandcamp.com/album/dk186-kias-swatantra-lp" TargetMode="External"/><Relationship Id="rId442" Type="http://schemas.openxmlformats.org/officeDocument/2006/relationships/hyperlink" Target="https://open.spotify.com/album/72TuBzjepDLMbTdjuSx1Fi?si=DK_gqCKeR86vu8bfQx4I7Q" TargetMode="External"/><Relationship Id="rId1277" Type="http://schemas.openxmlformats.org/officeDocument/2006/relationships/hyperlink" Target="https://open.spotify.com/album/431CE7pSiCDB1vCYmu9AMl?si=8FogtydeSn-fEcruWPC7ug" TargetMode="External"/><Relationship Id="rId4303" Type="http://schemas.openxmlformats.org/officeDocument/2006/relationships/hyperlink" Target="https://yelloweyes.bandcamp.com/album/confusion-gate" TargetMode="External"/><Relationship Id="rId441" Type="http://schemas.openxmlformats.org/officeDocument/2006/relationships/hyperlink" Target="https://eigenstatezero.bandcamp.com/album/shape-of-god-thought-of-sun" TargetMode="External"/><Relationship Id="rId1278" Type="http://schemas.openxmlformats.org/officeDocument/2006/relationships/hyperlink" Target="https://open.spotify.com/album/7c4xJPkWyEyLFhscmPbhl7?si=3osL2syiSheQREArg5XmJw" TargetMode="External"/><Relationship Id="rId4302" Type="http://schemas.openxmlformats.org/officeDocument/2006/relationships/hyperlink" Target="https://spider-god.bandcamp.com/album/murder-machine-ep" TargetMode="External"/><Relationship Id="rId1268" Type="http://schemas.openxmlformats.org/officeDocument/2006/relationships/hyperlink" Target="https://www.youtube.com/watch?v=2uLp1-pszQM" TargetMode="External"/><Relationship Id="rId2599" Type="http://schemas.openxmlformats.org/officeDocument/2006/relationships/hyperlink" Target="https://open.spotify.com/album/6zSYM1wsj1EitCvHtVqKuK?si=cEt8KaiXRPmD_i9UtMbLWA" TargetMode="External"/><Relationship Id="rId1269" Type="http://schemas.openxmlformats.org/officeDocument/2006/relationships/hyperlink" Target="https://pathstodeliverance.bandcamp.com/album/ten" TargetMode="External"/><Relationship Id="rId437" Type="http://schemas.openxmlformats.org/officeDocument/2006/relationships/hyperlink" Target="https://lordalienoire.bandcamp.com/album/noir-berger" TargetMode="External"/><Relationship Id="rId436" Type="http://schemas.openxmlformats.org/officeDocument/2006/relationships/hyperlink" Target="https://open.spotify.com/album/1nH4IKyUFOdb4oG8kqDvIp?si=vbePHGgTQDmpFtOF5_ZF2A" TargetMode="External"/><Relationship Id="rId435" Type="http://schemas.openxmlformats.org/officeDocument/2006/relationships/hyperlink" Target="https://wantofsin.bandcamp.com/album/hydrophobic" TargetMode="External"/><Relationship Id="rId434" Type="http://schemas.openxmlformats.org/officeDocument/2006/relationships/hyperlink" Target="https://open.spotify.com/album/4Z8SGXF5Y49fLh1qN0C6YP?si=lmJ7FV-kTpS4AgbmpgfclA" TargetMode="External"/><Relationship Id="rId439" Type="http://schemas.openxmlformats.org/officeDocument/2006/relationships/hyperlink" Target="https://solfar.bandcamp.com/album/cuts-you-up" TargetMode="External"/><Relationship Id="rId438" Type="http://schemas.openxmlformats.org/officeDocument/2006/relationships/hyperlink" Target="https://www.youtube.com/watch?v=C1Wp_Fz4Cs8" TargetMode="External"/><Relationship Id="rId2590" Type="http://schemas.openxmlformats.org/officeDocument/2006/relationships/hyperlink" Target="https://inceptionoffall.bandcamp.com/album/ruin" TargetMode="External"/><Relationship Id="rId1260" Type="http://schemas.openxmlformats.org/officeDocument/2006/relationships/hyperlink" Target="https://open.spotify.com/album/5Eh3xMVdGFAUiYwuoPOzXc?si=1eT1ntE8Qy25a38wOlV_DQ" TargetMode="External"/><Relationship Id="rId2591" Type="http://schemas.openxmlformats.org/officeDocument/2006/relationships/hyperlink" Target="https://invalidyellow.bandcamp.com/album/old-shuck" TargetMode="External"/><Relationship Id="rId1261" Type="http://schemas.openxmlformats.org/officeDocument/2006/relationships/hyperlink" Target="https://open.spotify.com/album/3f895XnoWWhMeM31qE3qS0?si=8LgpemPLRZO0IqFVQbq9Xg" TargetMode="External"/><Relationship Id="rId2592" Type="http://schemas.openxmlformats.org/officeDocument/2006/relationships/hyperlink" Target="https://acolossalhand.bandcamp.com/album/the-last-good-days" TargetMode="External"/><Relationship Id="rId1262" Type="http://schemas.openxmlformats.org/officeDocument/2006/relationships/hyperlink" Target="https://amenra.bandcamp.com/album/with-fang-and-claw" TargetMode="External"/><Relationship Id="rId2593" Type="http://schemas.openxmlformats.org/officeDocument/2006/relationships/hyperlink" Target="https://open.spotify.com/album/30BUyeyRG8iHkyHwzhh28A?si=sqD5vE0wS0qVD37BZ_x1fw" TargetMode="External"/><Relationship Id="rId1263" Type="http://schemas.openxmlformats.org/officeDocument/2006/relationships/hyperlink" Target="https://open.spotify.com/album/02mDx0zLG0UTeMCrzQFY2m?si=XQpRmQZqShykUpGTLTnhCA" TargetMode="External"/><Relationship Id="rId2594" Type="http://schemas.openxmlformats.org/officeDocument/2006/relationships/hyperlink" Target="https://violentbliss.bandcamp.com/album/the-jnana-veils" TargetMode="External"/><Relationship Id="rId433" Type="http://schemas.openxmlformats.org/officeDocument/2006/relationships/hyperlink" Target="https://corpsingmetal.bandcamp.com/album/viewing-the-invisible-ep" TargetMode="External"/><Relationship Id="rId1264" Type="http://schemas.openxmlformats.org/officeDocument/2006/relationships/hyperlink" Target="https://amenra.bandcamp.com/album/de-toorn" TargetMode="External"/><Relationship Id="rId2595" Type="http://schemas.openxmlformats.org/officeDocument/2006/relationships/hyperlink" Target="https://open.spotify.com/album/1K26rP5vpv0FodpSfKE6z6?si=5-bUxTBGSGGtK1L5_WMBHQ" TargetMode="External"/><Relationship Id="rId432" Type="http://schemas.openxmlformats.org/officeDocument/2006/relationships/hyperlink" Target="https://www.youtube.com/watch?v=q1tvoJxW61A" TargetMode="External"/><Relationship Id="rId1265" Type="http://schemas.openxmlformats.org/officeDocument/2006/relationships/hyperlink" Target="https://open.spotify.com/album/5dxaDyPcGWeAMNL7yQ1TWc?si=e7mgKnBAQ9yqzJ2N9K4mrA" TargetMode="External"/><Relationship Id="rId2596" Type="http://schemas.openxmlformats.org/officeDocument/2006/relationships/hyperlink" Target="https://destroyerdestroyer.bandcamp.com/album/void" TargetMode="External"/><Relationship Id="rId431" Type="http://schemas.openxmlformats.org/officeDocument/2006/relationships/hyperlink" Target="https://omnicidalinstinct.bandcamp.com/album/catharsis-in-blight" TargetMode="External"/><Relationship Id="rId1266" Type="http://schemas.openxmlformats.org/officeDocument/2006/relationships/hyperlink" Target="https://greyaura3.bandcamp.com/album/zwart-vierkant-slotstuk" TargetMode="External"/><Relationship Id="rId2597" Type="http://schemas.openxmlformats.org/officeDocument/2006/relationships/hyperlink" Target="https://open.spotify.com/album/4JXJLJ8Axm52MIJUI8W1dp?si=vOUPUr9TQeqP_AmhZq5gyw" TargetMode="External"/><Relationship Id="rId430" Type="http://schemas.openxmlformats.org/officeDocument/2006/relationships/hyperlink" Target="https://open.spotify.com/album/5PG6CXpcJpfur45YGwKBwl?si=OcBVuGoRQJSeNCGdtcifyw" TargetMode="External"/><Relationship Id="rId1267" Type="http://schemas.openxmlformats.org/officeDocument/2006/relationships/hyperlink" Target="https://open.spotify.com/album/4UJsdJrG225Rj7PTLGlljW?si=UrpQfYoFRMW_qP_9KngASQ" TargetMode="External"/><Relationship Id="rId2598" Type="http://schemas.openxmlformats.org/officeDocument/2006/relationships/hyperlink" Target="https://endlessreturning.bandcamp.com/album/numinous" TargetMode="External"/><Relationship Id="rId3070" Type="http://schemas.openxmlformats.org/officeDocument/2006/relationships/hyperlink" Target="https://i-voidhangerrecords.bandcamp.com/album/rift" TargetMode="External"/><Relationship Id="rId3072" Type="http://schemas.openxmlformats.org/officeDocument/2006/relationships/hyperlink" Target="https://i-voidhangerrecords.bandcamp.com/album/toujours-humain" TargetMode="External"/><Relationship Id="rId3071" Type="http://schemas.openxmlformats.org/officeDocument/2006/relationships/hyperlink" Target="https://seamosquito.bandcamp.com/album/majestas" TargetMode="External"/><Relationship Id="rId3074" Type="http://schemas.openxmlformats.org/officeDocument/2006/relationships/hyperlink" Target="https://www.youtube.com/watch?v=SwIbfvhM4ho" TargetMode="External"/><Relationship Id="rId3073" Type="http://schemas.openxmlformats.org/officeDocument/2006/relationships/hyperlink" Target="https://carbomb.bandcamp.com/album/tiles-whisper-dreams-ep" TargetMode="External"/><Relationship Id="rId3076" Type="http://schemas.openxmlformats.org/officeDocument/2006/relationships/hyperlink" Target="https://centuriesofdecay.bandcamp.com/album/a-monument-to-oblivion" TargetMode="External"/><Relationship Id="rId3075" Type="http://schemas.openxmlformats.org/officeDocument/2006/relationships/hyperlink" Target="https://thearmed.bandcamp.com/album/the-future-is-here-and-everything-needs-to-be-destroyed" TargetMode="External"/><Relationship Id="rId3078" Type="http://schemas.openxmlformats.org/officeDocument/2006/relationships/hyperlink" Target="https://www.youtube.com/watch?v=0SvvCyHrpP8" TargetMode="External"/><Relationship Id="rId3077" Type="http://schemas.openxmlformats.org/officeDocument/2006/relationships/hyperlink" Target="https://kayodot.bandcamp.com/album/every-rock-every-half-truth-under-reason" TargetMode="External"/><Relationship Id="rId3079" Type="http://schemas.openxmlformats.org/officeDocument/2006/relationships/hyperlink" Target="https://mothspr.bandcamp.com/album/septem" TargetMode="External"/><Relationship Id="rId4390" Type="http://schemas.openxmlformats.org/officeDocument/2006/relationships/hyperlink" Target="https://vaara.bandcamp.com/album/transition" TargetMode="External"/><Relationship Id="rId3061" Type="http://schemas.openxmlformats.org/officeDocument/2006/relationships/hyperlink" Target="https://mypurestheartforyou.bandcamp.com/album/australopithecus" TargetMode="External"/><Relationship Id="rId4392" Type="http://schemas.openxmlformats.org/officeDocument/2006/relationships/hyperlink" Target="https://vaaild.bandcamp.com/album/stemmer" TargetMode="External"/><Relationship Id="rId3060" Type="http://schemas.openxmlformats.org/officeDocument/2006/relationships/hyperlink" Target="https://open.spotify.com/album/1UmRSKIFsz9LE01R64hrX3?si=cotEjt01Sk6ssqsySBjIGg" TargetMode="External"/><Relationship Id="rId4391" Type="http://schemas.openxmlformats.org/officeDocument/2006/relationships/hyperlink" Target="https://open.spotify.com/album/07VaZEstU4dlCSqlcTXkql?si=XoHH6c81TuKuInxnzRUx4w" TargetMode="External"/><Relationship Id="rId3063" Type="http://schemas.openxmlformats.org/officeDocument/2006/relationships/hyperlink" Target="https://xtreemmusic.bandcamp.com/album/the-same" TargetMode="External"/><Relationship Id="rId4394" Type="http://schemas.openxmlformats.org/officeDocument/2006/relationships/hyperlink" Target="https://open.spotify.com/album/1jKzKcokuNyR1fN42XAt5n?si=t8oTWO8vSduqb5J2D3xAwg" TargetMode="External"/><Relationship Id="rId3062" Type="http://schemas.openxmlformats.org/officeDocument/2006/relationships/hyperlink" Target="https://deathcurve.bandcamp.com/album/a-wallflower-in-the-corner" TargetMode="External"/><Relationship Id="rId4393" Type="http://schemas.openxmlformats.org/officeDocument/2006/relationships/hyperlink" Target="https://decarneeflor.bandcamp.com/album/em-teus-olhos-vejo-fendas" TargetMode="External"/><Relationship Id="rId3065" Type="http://schemas.openxmlformats.org/officeDocument/2006/relationships/hyperlink" Target="https://sunandmoonrecords.bandcamp.com/album/unreachable-mountain" TargetMode="External"/><Relationship Id="rId4396" Type="http://schemas.openxmlformats.org/officeDocument/2006/relationships/hyperlink" Target="https://open.spotify.com/album/3vOSdZmHYoZgKHqbrYBzvo?si=-vxYwvi9RJWWBEjvD4XDRQ" TargetMode="External"/><Relationship Id="rId3064" Type="http://schemas.openxmlformats.org/officeDocument/2006/relationships/hyperlink" Target="https://www.youtube.com/watch?v=ORTyeco6RlE" TargetMode="External"/><Relationship Id="rId4395" Type="http://schemas.openxmlformats.org/officeDocument/2006/relationships/hyperlink" Target="https://leatherhearsesl.bandcamp.com/album/burn-in-heaven-decalouge" TargetMode="External"/><Relationship Id="rId3067" Type="http://schemas.openxmlformats.org/officeDocument/2006/relationships/hyperlink" Target="https://arcanesanctuaryband.bandcamp.com/album/the-travelers-diary" TargetMode="External"/><Relationship Id="rId4398" Type="http://schemas.openxmlformats.org/officeDocument/2006/relationships/hyperlink" Target="https://open.spotify.com/album/797RbOUySfU8l2sjoZNf0o?si=u5JSMDHcRO2wJpp4ZvYVFA" TargetMode="External"/><Relationship Id="rId3066" Type="http://schemas.openxmlformats.org/officeDocument/2006/relationships/hyperlink" Target="https://pallbearer.bandcamp.com/album/live-at-reggies" TargetMode="External"/><Relationship Id="rId4397" Type="http://schemas.openxmlformats.org/officeDocument/2006/relationships/hyperlink" Target="https://arallu.bandcamp.com/album/dmoon-from-the-ancient-world" TargetMode="External"/><Relationship Id="rId3069" Type="http://schemas.openxmlformats.org/officeDocument/2006/relationships/hyperlink" Target="https://sallowmoth.bandcamp.com/album/mossbane-lantern" TargetMode="External"/><Relationship Id="rId3068" Type="http://schemas.openxmlformats.org/officeDocument/2006/relationships/hyperlink" Target="https://dozerofficial.bandcamp.com/album/rewind-to-return-rarities-singles-and-b-sides" TargetMode="External"/><Relationship Id="rId4399" Type="http://schemas.openxmlformats.org/officeDocument/2006/relationships/hyperlink" Target="https://theuntold.bandcamp.com/album/thunder-and-water-act-two" TargetMode="External"/><Relationship Id="rId3090" Type="http://schemas.openxmlformats.org/officeDocument/2006/relationships/hyperlink" Target="https://www.youtube.com/watch?v=SIJldSFlL3Q" TargetMode="External"/><Relationship Id="rId3092" Type="http://schemas.openxmlformats.org/officeDocument/2006/relationships/hyperlink" Target="https://open.spotify.com/album/1XWS4zU24GGqnVsoUYtbIe?si=t2tZsAqLTIKF0dKwUCbBZg" TargetMode="External"/><Relationship Id="rId3091" Type="http://schemas.openxmlformats.org/officeDocument/2006/relationships/hyperlink" Target="https://challengerdeepdude.bandcamp.com/album/point-of-no-return" TargetMode="External"/><Relationship Id="rId3094" Type="http://schemas.openxmlformats.org/officeDocument/2006/relationships/hyperlink" Target="https://eskapism.bandcamp.com/album/skresnava" TargetMode="External"/><Relationship Id="rId3093" Type="http://schemas.openxmlformats.org/officeDocument/2006/relationships/hyperlink" Target="https://plasmodulated-gurglinggore.bandcamp.com/album/an-ocean-ov-putrid-stinky-vile-disgusting-hell" TargetMode="External"/><Relationship Id="rId3096" Type="http://schemas.openxmlformats.org/officeDocument/2006/relationships/hyperlink" Target="https://slowquit.bandcamp.com/album/fusion-in-rupture" TargetMode="External"/><Relationship Id="rId3095" Type="http://schemas.openxmlformats.org/officeDocument/2006/relationships/hyperlink" Target="https://www.youtube.com/watch?v=DEPNtjslAC8" TargetMode="External"/><Relationship Id="rId3098" Type="http://schemas.openxmlformats.org/officeDocument/2006/relationships/hyperlink" Target="https://mesacounojo.bandcamp.com/album/first-metastasis" TargetMode="External"/><Relationship Id="rId3097" Type="http://schemas.openxmlformats.org/officeDocument/2006/relationships/hyperlink" Target="https://bloodrage.bandcamp.com/album/return-to-crimson-pines" TargetMode="External"/><Relationship Id="rId3099" Type="http://schemas.openxmlformats.org/officeDocument/2006/relationships/hyperlink" Target="https://risingbeast.bandcamp.com/album/bethselamin" TargetMode="External"/><Relationship Id="rId3081" Type="http://schemas.openxmlformats.org/officeDocument/2006/relationships/hyperlink" Target="https://hardchiller.bandcamp.com/album/baby" TargetMode="External"/><Relationship Id="rId3080" Type="http://schemas.openxmlformats.org/officeDocument/2006/relationships/hyperlink" Target="https://justiceforthedamned.bandcamp.com/album/stay-relentless" TargetMode="External"/><Relationship Id="rId3083" Type="http://schemas.openxmlformats.org/officeDocument/2006/relationships/hyperlink" Target="https://foxlakeco.bandcamp.com/album/new-world-heat" TargetMode="External"/><Relationship Id="rId3082" Type="http://schemas.openxmlformats.org/officeDocument/2006/relationships/hyperlink" Target="https://hedonistsl.bandcamp.com/album/scapulimancy" TargetMode="External"/><Relationship Id="rId3085" Type="http://schemas.openxmlformats.org/officeDocument/2006/relationships/hyperlink" Target="https://anchoritedoom.bandcamp.com/album/realm-of-ruin" TargetMode="External"/><Relationship Id="rId3084" Type="http://schemas.openxmlformats.org/officeDocument/2006/relationships/hyperlink" Target="https://frombelownc.bandcamp.com/album/the-deeds-of-monsters" TargetMode="External"/><Relationship Id="rId3087" Type="http://schemas.openxmlformats.org/officeDocument/2006/relationships/hyperlink" Target="https://hammertheband.bandcamp.com/album/trapped" TargetMode="External"/><Relationship Id="rId3086" Type="http://schemas.openxmlformats.org/officeDocument/2006/relationships/hyperlink" Target="https://culak.bandcamp.com/album/eidetica" TargetMode="External"/><Relationship Id="rId3089" Type="http://schemas.openxmlformats.org/officeDocument/2006/relationships/hyperlink" Target="https://whenmanmeetshismaker.bandcamp.com/album/the-hell-in-heaven-3" TargetMode="External"/><Relationship Id="rId3088" Type="http://schemas.openxmlformats.org/officeDocument/2006/relationships/hyperlink" Target="https://barbarousband.bandcamp.com/album/initium-mors" TargetMode="External"/><Relationship Id="rId3039" Type="http://schemas.openxmlformats.org/officeDocument/2006/relationships/hyperlink" Target="https://scalpoc.bandcamp.com/album/not-worthy-of-human-compassio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estuarinemetal.bandcamp.com/album/corporeal-furnace" TargetMode="External"/><Relationship Id="rId3" Type="http://schemas.openxmlformats.org/officeDocument/2006/relationships/hyperlink" Target="https://open.spotify.com/album/1bDkXZkb0ASVCz1NXQKiYh?si=r2jEcYuCQri36p9oakdK6g" TargetMode="External"/><Relationship Id="rId4" Type="http://schemas.openxmlformats.org/officeDocument/2006/relationships/hyperlink" Target="https://mirar.bandcamp.com/album/ascension" TargetMode="External"/><Relationship Id="rId3030" Type="http://schemas.openxmlformats.org/officeDocument/2006/relationships/hyperlink" Target="https://www.youtube.com/watch?v=3ZaU3fC13TI" TargetMode="External"/><Relationship Id="rId4361" Type="http://schemas.openxmlformats.org/officeDocument/2006/relationships/hyperlink" Target="https://www.youtube.com/watch?v=nqgFoF4_pnI" TargetMode="External"/><Relationship Id="rId4360" Type="http://schemas.openxmlformats.org/officeDocument/2006/relationships/hyperlink" Target="https://shadesofdeepwater.bandcamp.com/album/the-years-on-borrowed-time" TargetMode="External"/><Relationship Id="rId9" Type="http://schemas.openxmlformats.org/officeDocument/2006/relationships/hyperlink" Target="https://open.spotify.com/album/6DM57dLpOwUolA20kC58Iq?si=U7v7PAvQS226DP_bDHzYTw" TargetMode="External"/><Relationship Id="rId3032" Type="http://schemas.openxmlformats.org/officeDocument/2006/relationships/hyperlink" Target="https://open.spotify.com/album/4ttW5iX4Htk4741PpqiK7z?si=wfTmOKS4TNSTs3pzZ_QS5g" TargetMode="External"/><Relationship Id="rId4363" Type="http://schemas.openxmlformats.org/officeDocument/2006/relationships/hyperlink" Target="https://www.youtube.com/watch?v=ZQuoFnvQpdE" TargetMode="External"/><Relationship Id="rId3031" Type="http://schemas.openxmlformats.org/officeDocument/2006/relationships/hyperlink" Target="https://kontusionkontusion.bandcamp.com/album/insatiable-lust-for-death" TargetMode="External"/><Relationship Id="rId4362" Type="http://schemas.openxmlformats.org/officeDocument/2006/relationships/hyperlink" Target="https://dismalfaterecs.bandcamp.com/album/gruesome-and-macabre" TargetMode="External"/><Relationship Id="rId3034" Type="http://schemas.openxmlformats.org/officeDocument/2006/relationships/hyperlink" Target="https://uniqueleaderrecords.bandcamp.com/album/hell-inside" TargetMode="External"/><Relationship Id="rId4365" Type="http://schemas.openxmlformats.org/officeDocument/2006/relationships/hyperlink" Target="https://infrahumano.bandcamp.com/album/depths-of-suffering" TargetMode="External"/><Relationship Id="rId3033" Type="http://schemas.openxmlformats.org/officeDocument/2006/relationships/hyperlink" Target="https://www.youtube.com/watch?v=19iHGder620" TargetMode="External"/><Relationship Id="rId4364" Type="http://schemas.openxmlformats.org/officeDocument/2006/relationships/hyperlink" Target="https://aquilla.bandcamp.com/album/sentinels-of-new-dawn" TargetMode="External"/><Relationship Id="rId5" Type="http://schemas.openxmlformats.org/officeDocument/2006/relationships/hyperlink" Target="https://coffretdebijoux.bandcamp.com/album/lei" TargetMode="External"/><Relationship Id="rId3036" Type="http://schemas.openxmlformats.org/officeDocument/2006/relationships/hyperlink" Target="https://deliquesceau.bandcamp.com/album/saviour-enslaver" TargetMode="External"/><Relationship Id="rId4367" Type="http://schemas.openxmlformats.org/officeDocument/2006/relationships/hyperlink" Target="https://www.youtube.com/watch?v=T8_uUWOdagg" TargetMode="External"/><Relationship Id="rId6" Type="http://schemas.openxmlformats.org/officeDocument/2006/relationships/hyperlink" Target="https://theophonos.bandcamp.com/album/banishment" TargetMode="External"/><Relationship Id="rId3035" Type="http://schemas.openxmlformats.org/officeDocument/2006/relationships/hyperlink" Target="https://open.spotify.com/album/3exQZkZ5yXOw2ZkC5UVGfA?si=af2Yi59nSfeNcZNEL2ysRg" TargetMode="External"/><Relationship Id="rId4366" Type="http://schemas.openxmlformats.org/officeDocument/2006/relationships/hyperlink" Target="https://sypsis.bandcamp.com/album/annihilated-existence-4" TargetMode="External"/><Relationship Id="rId7" Type="http://schemas.openxmlformats.org/officeDocument/2006/relationships/hyperlink" Target="https://tanpopocrisis.bandcamp.com/album/meridian" TargetMode="External"/><Relationship Id="rId3038" Type="http://schemas.openxmlformats.org/officeDocument/2006/relationships/hyperlink" Target="https://www.youtube.com/watch?v=av6_tN3i-ro" TargetMode="External"/><Relationship Id="rId4369" Type="http://schemas.openxmlformats.org/officeDocument/2006/relationships/hyperlink" Target="https://incriminatingsilence.bandcamp.com/album/rite-of-reflection" TargetMode="External"/><Relationship Id="rId8" Type="http://schemas.openxmlformats.org/officeDocument/2006/relationships/hyperlink" Target="https://gonemage.bandcamp.com/album/entranced-by-the-ice-storm" TargetMode="External"/><Relationship Id="rId3037" Type="http://schemas.openxmlformats.org/officeDocument/2006/relationships/hyperlink" Target="https://open.spotify.com/album/7ozQznQfvnKjboHSIS6b6a?si=p9zkXO-BQ5m5M5WpmD6z0g" TargetMode="External"/><Relationship Id="rId4368" Type="http://schemas.openxmlformats.org/officeDocument/2006/relationships/hyperlink" Target="https://heraldicblaze.bandcamp.com/album/monument-of-will" TargetMode="External"/><Relationship Id="rId3029" Type="http://schemas.openxmlformats.org/officeDocument/2006/relationships/hyperlink" Target="https://open.spotify.com/album/2eIA2EfQBpRvJobTWHanfU?si=xgqSUdr9Rou9DJvvb0gRcQ" TargetMode="External"/><Relationship Id="rId3028" Type="http://schemas.openxmlformats.org/officeDocument/2006/relationships/hyperlink" Target="https://arkhaaik.bandcamp.com/album/uihtis" TargetMode="External"/><Relationship Id="rId4359" Type="http://schemas.openxmlformats.org/officeDocument/2006/relationships/hyperlink" Target="https://ripcordrecords.bandcamp.com/album/hope-scars" TargetMode="External"/><Relationship Id="rId4350" Type="http://schemas.openxmlformats.org/officeDocument/2006/relationships/hyperlink" Target="https://www.youtube.com/watch?v=AJ6mF8Pidkw" TargetMode="External"/><Relationship Id="rId3021" Type="http://schemas.openxmlformats.org/officeDocument/2006/relationships/hyperlink" Target="https://atomicwitch.bandcamp.com/album/death-etiquette" TargetMode="External"/><Relationship Id="rId4352" Type="http://schemas.openxmlformats.org/officeDocument/2006/relationships/hyperlink" Target="https://listenable-records.bandcamp.com/album/vurias" TargetMode="External"/><Relationship Id="rId3020" Type="http://schemas.openxmlformats.org/officeDocument/2006/relationships/hyperlink" Target="https://open.spotify.com/album/7zHUTy9IGS8yld0NQPtz9A?si=Bwrc2luEScav51wRP8X_gA" TargetMode="External"/><Relationship Id="rId4351" Type="http://schemas.openxmlformats.org/officeDocument/2006/relationships/hyperlink" Target="https://blackcrosshotel.bandcamp.com/album/songs-for-switches" TargetMode="External"/><Relationship Id="rId3023" Type="http://schemas.openxmlformats.org/officeDocument/2006/relationships/hyperlink" Target="https://cineastre.bandcamp.com/album/hymnen-an-die-nacht" TargetMode="External"/><Relationship Id="rId4354" Type="http://schemas.openxmlformats.org/officeDocument/2006/relationships/hyperlink" Target="https://mykingdommusic.bandcamp.com/album/vii-vitium" TargetMode="External"/><Relationship Id="rId3022" Type="http://schemas.openxmlformats.org/officeDocument/2006/relationships/hyperlink" Target="https://open.spotify.com/album/2UlBmZSTOPwCsfGGxgB5RB?si=u0No51wVQRiPAIpnTisr4w" TargetMode="External"/><Relationship Id="rId4353" Type="http://schemas.openxmlformats.org/officeDocument/2006/relationships/hyperlink" Target="https://www.youtube.com/watch?v=2q7FS8Gkt6U" TargetMode="External"/><Relationship Id="rId3025" Type="http://schemas.openxmlformats.org/officeDocument/2006/relationships/hyperlink" Target="https://bloodlettermetal.bandcamp.com/album/leave-the-light-behind" TargetMode="External"/><Relationship Id="rId4356" Type="http://schemas.openxmlformats.org/officeDocument/2006/relationships/hyperlink" Target="https://miasmata.bandcamp.com/album/subterrania" TargetMode="External"/><Relationship Id="rId3024" Type="http://schemas.openxmlformats.org/officeDocument/2006/relationships/hyperlink" Target="https://open.spotify.com/album/4yiGS2MFtC8HSsNttbBQzJ?si=Glb9VeEbQiSg4nLlvmP1nw" TargetMode="External"/><Relationship Id="rId4355" Type="http://schemas.openxmlformats.org/officeDocument/2006/relationships/hyperlink" Target="https://shrinemaiden.bandcamp.com/album/a-theory-of-cloud" TargetMode="External"/><Relationship Id="rId3027" Type="http://schemas.openxmlformats.org/officeDocument/2006/relationships/hyperlink" Target="https://falsegods1.bandcamp.com/album/lost-in-darkness-and-distance" TargetMode="External"/><Relationship Id="rId4358" Type="http://schemas.openxmlformats.org/officeDocument/2006/relationships/hyperlink" Target="https://nuclearwinterrecords.bandcamp.com/album/dismal-thoughts" TargetMode="External"/><Relationship Id="rId3026" Type="http://schemas.openxmlformats.org/officeDocument/2006/relationships/hyperlink" Target="https://open.spotify.com/album/32tnCT8xYLuKBL8vLLCvmE?si=gKwAEaauTt-6rqafEr2ZkQ" TargetMode="External"/><Relationship Id="rId4357" Type="http://schemas.openxmlformats.org/officeDocument/2006/relationships/hyperlink" Target="https://www.youtube.com/watch?v=leiyhm5PrGE" TargetMode="External"/><Relationship Id="rId3050" Type="http://schemas.openxmlformats.org/officeDocument/2006/relationships/hyperlink" Target="https://open.spotify.com/album/3IpXU8p3OevOnmwVxoLHwu?si=hltUXAh9SKGFR5UbTM0PIA" TargetMode="External"/><Relationship Id="rId4381" Type="http://schemas.openxmlformats.org/officeDocument/2006/relationships/hyperlink" Target="https://oneironoia.bandcamp.com/album/the-great-resignation" TargetMode="External"/><Relationship Id="rId4380" Type="http://schemas.openxmlformats.org/officeDocument/2006/relationships/hyperlink" Target="https://soaratheband.bandcamp.com/album/moksha" TargetMode="External"/><Relationship Id="rId3052" Type="http://schemas.openxmlformats.org/officeDocument/2006/relationships/hyperlink" Target="https://copperfeastrecords.bandcamp.com/album/eroded-forms" TargetMode="External"/><Relationship Id="rId4383" Type="http://schemas.openxmlformats.org/officeDocument/2006/relationships/hyperlink" Target="https://subjectedtoinfinity.bandcamp.com/album/nightside-of-eden" TargetMode="External"/><Relationship Id="rId3051" Type="http://schemas.openxmlformats.org/officeDocument/2006/relationships/hyperlink" Target="https://whatweowethedead.bandcamp.com/album/rituals-of-the-collapse" TargetMode="External"/><Relationship Id="rId4382" Type="http://schemas.openxmlformats.org/officeDocument/2006/relationships/hyperlink" Target="https://bersaerk.bandcamp.com/album/verdens-vrang" TargetMode="External"/><Relationship Id="rId3054" Type="http://schemas.openxmlformats.org/officeDocument/2006/relationships/hyperlink" Target="https://rhizaria.bandcamp.com/album/indulgences" TargetMode="External"/><Relationship Id="rId4385" Type="http://schemas.openxmlformats.org/officeDocument/2006/relationships/hyperlink" Target="https://escaraband.bandcamp.com/album/memorias-previas-a-la-extinci-n" TargetMode="External"/><Relationship Id="rId3053" Type="http://schemas.openxmlformats.org/officeDocument/2006/relationships/hyperlink" Target="https://open.spotify.com/album/4L9KJRM0p5YyV9z0nA8YIG?si=yUnx6mWmSdOKQywoySNubQ" TargetMode="External"/><Relationship Id="rId4384" Type="http://schemas.openxmlformats.org/officeDocument/2006/relationships/hyperlink" Target="https://canvasofsilence.bandcamp.com/album/as-the-world-tree-fell" TargetMode="External"/><Relationship Id="rId3056" Type="http://schemas.openxmlformats.org/officeDocument/2006/relationships/hyperlink" Target="https://open.spotify.com/album/0flQduYfme0xT6fL3l1stU?si=JCzINjneR86UKOJaLFsHqg" TargetMode="External"/><Relationship Id="rId4387" Type="http://schemas.openxmlformats.org/officeDocument/2006/relationships/hyperlink" Target="https://www.youtube.com/watch?v=TUdXknyHmpw" TargetMode="External"/><Relationship Id="rId3055" Type="http://schemas.openxmlformats.org/officeDocument/2006/relationships/hyperlink" Target="https://open.spotify.com/album/1iS1aKFnp2fkxFKtedlUBN?si=TSJhCWrXQNiZdPVEByMS8g" TargetMode="External"/><Relationship Id="rId4386" Type="http://schemas.openxmlformats.org/officeDocument/2006/relationships/hyperlink" Target="https://whalefallthall.bandcamp.com/album/ocean-land" TargetMode="External"/><Relationship Id="rId3058" Type="http://schemas.openxmlformats.org/officeDocument/2006/relationships/hyperlink" Target="https://open.spotify.com/album/1BqVkNH3Po9sSrwccxqt43?si=K9qcwAEMSLmmUGQzJqmlCg" TargetMode="External"/><Relationship Id="rId4389" Type="http://schemas.openxmlformats.org/officeDocument/2006/relationships/hyperlink" Target="https://selfmadegod.bandcamp.com/album/outlaw" TargetMode="External"/><Relationship Id="rId3057" Type="http://schemas.openxmlformats.org/officeDocument/2006/relationships/hyperlink" Target="https://bensraincoat.bandcamp.com/album/radiant-cliffs" TargetMode="External"/><Relationship Id="rId4388" Type="http://schemas.openxmlformats.org/officeDocument/2006/relationships/hyperlink" Target="https://anthemsofgomorrah.bandcamp.com/album/necrospectral-nexus" TargetMode="External"/><Relationship Id="rId3059" Type="http://schemas.openxmlformats.org/officeDocument/2006/relationships/hyperlink" Target="https://webegho.bandcamp.com/album/i" TargetMode="External"/><Relationship Id="rId4370" Type="http://schemas.openxmlformats.org/officeDocument/2006/relationships/hyperlink" Target="https://www.youtube.com/watch?v=wNn_Z-NefBU" TargetMode="External"/><Relationship Id="rId3041" Type="http://schemas.openxmlformats.org/officeDocument/2006/relationships/hyperlink" Target="https://16volt.bandcamp.com/album/more-of-less" TargetMode="External"/><Relationship Id="rId4372" Type="http://schemas.openxmlformats.org/officeDocument/2006/relationships/hyperlink" Target="https://sailingbeforethewind.bandcamp.com/album/destination" TargetMode="External"/><Relationship Id="rId3040" Type="http://schemas.openxmlformats.org/officeDocument/2006/relationships/hyperlink" Target="https://open.spotify.com/album/16C9JhrUDB19XJVVcyj2dy?si=Q_l1lVV9QVezUGGGnILa6w" TargetMode="External"/><Relationship Id="rId4371" Type="http://schemas.openxmlformats.org/officeDocument/2006/relationships/hyperlink" Target="https://torjohnsonrecords.bandcamp.com/album/excommunication-hymns" TargetMode="External"/><Relationship Id="rId3043" Type="http://schemas.openxmlformats.org/officeDocument/2006/relationships/hyperlink" Target="https://discosmacarras.bandcamp.com/album/fel" TargetMode="External"/><Relationship Id="rId4374" Type="http://schemas.openxmlformats.org/officeDocument/2006/relationships/hyperlink" Target="https://convulserecords.bandcamp.com/album/beneath-the-wheel" TargetMode="External"/><Relationship Id="rId3042" Type="http://schemas.openxmlformats.org/officeDocument/2006/relationships/hyperlink" Target="https://open.spotify.com/album/2x96zmR770e8yMvR63oUd9?si=8Pmg6JGIS8WEmpxiDCuORw" TargetMode="External"/><Relationship Id="rId4373" Type="http://schemas.openxmlformats.org/officeDocument/2006/relationships/hyperlink" Target="https://sludgelordrecords.bandcamp.com/album/gorb" TargetMode="External"/><Relationship Id="rId3045" Type="http://schemas.openxmlformats.org/officeDocument/2006/relationships/hyperlink" Target="https://abyssery.bandcamp.com/album/interminable-end" TargetMode="External"/><Relationship Id="rId4376" Type="http://schemas.openxmlformats.org/officeDocument/2006/relationships/hyperlink" Target="https://hellslaught.bandcamp.com/album/violent-iconoclasm" TargetMode="External"/><Relationship Id="rId3044" Type="http://schemas.openxmlformats.org/officeDocument/2006/relationships/hyperlink" Target="https://open.spotify.com/album/4ztUWf1KEctCMPu66x5ok2?si=MSiNe-OXRROWOyW3WBXrKQ" TargetMode="External"/><Relationship Id="rId4375" Type="http://schemas.openxmlformats.org/officeDocument/2006/relationships/hyperlink" Target="https://flesia.bandcamp.com/album/achterbahnekstase-2" TargetMode="External"/><Relationship Id="rId3047" Type="http://schemas.openxmlformats.org/officeDocument/2006/relationships/hyperlink" Target="https://malformed-fin.bandcamp.com/album/confinement-of-flesh" TargetMode="External"/><Relationship Id="rId4378" Type="http://schemas.openxmlformats.org/officeDocument/2006/relationships/hyperlink" Target="https://harkon.bandcamp.com/album/love-and-vore" TargetMode="External"/><Relationship Id="rId3046" Type="http://schemas.openxmlformats.org/officeDocument/2006/relationships/hyperlink" Target="https://open.spotify.com/album/0jIZT47Qr628i5tuhkD77Y?si=DMwCDBncTne-P03kJdxc6Q" TargetMode="External"/><Relationship Id="rId4377" Type="http://schemas.openxmlformats.org/officeDocument/2006/relationships/hyperlink" Target="https://manofsorrowsdoom.bandcamp.com/album/as-i-exist-in-the-endless-void" TargetMode="External"/><Relationship Id="rId3049" Type="http://schemas.openxmlformats.org/officeDocument/2006/relationships/hyperlink" Target="https://sadserenity.bandcamp.com/album/tiny-miracles" TargetMode="External"/><Relationship Id="rId3048" Type="http://schemas.openxmlformats.org/officeDocument/2006/relationships/hyperlink" Target="https://open.spotify.com/album/6O0arKVe9zyDIfspAVBfQZ?si=oH6mKz3zQ0maMZIB6aNq4w" TargetMode="External"/><Relationship Id="rId4379" Type="http://schemas.openxmlformats.org/officeDocument/2006/relationships/hyperlink" Target="https://sligm.bandcamp.com/album/untethered-dimensions" TargetMode="External"/><Relationship Id="rId3911" Type="http://schemas.openxmlformats.org/officeDocument/2006/relationships/hyperlink" Target="https://open.spotify.com/album/53OZ1bz3osxjQds7jXCB13?si=NuoySYdeQqiwwPUtnvi9AA" TargetMode="External"/><Relationship Id="rId3910" Type="http://schemas.openxmlformats.org/officeDocument/2006/relationships/hyperlink" Target="https://20buckspin.bandcamp.com/album/uncrossing-the-keys" TargetMode="External"/><Relationship Id="rId3913" Type="http://schemas.openxmlformats.org/officeDocument/2006/relationships/hyperlink" Target="https://todayistheday.bandcamp.com/album/never-give-in" TargetMode="External"/><Relationship Id="rId3912" Type="http://schemas.openxmlformats.org/officeDocument/2006/relationships/hyperlink" Target="https://www.youtube.com/watch?v=djl_3cB8tno" TargetMode="External"/><Relationship Id="rId3915" Type="http://schemas.openxmlformats.org/officeDocument/2006/relationships/hyperlink" Target="https://authorandpunisher.bandcamp.com/album/nocturnal-birding" TargetMode="External"/><Relationship Id="rId3914" Type="http://schemas.openxmlformats.org/officeDocument/2006/relationships/hyperlink" Target="https://open.spotify.com/album/4PKd8PmO9RQDX4XnkHMF1X?si=rbXuJ3IcTDuY_s4CWM6VNQ" TargetMode="External"/><Relationship Id="rId3917" Type="http://schemas.openxmlformats.org/officeDocument/2006/relationships/hyperlink" Target="https://www.youtube.com/watch?v=DObFgl27F4E" TargetMode="External"/><Relationship Id="rId3916" Type="http://schemas.openxmlformats.org/officeDocument/2006/relationships/hyperlink" Target="https://open.spotify.com/album/2DKMKEOOVQUKr5YqfQ2wWy?si=mZsYlcaiRM23Cr8H_OAG3Q" TargetMode="External"/><Relationship Id="rId3919" Type="http://schemas.openxmlformats.org/officeDocument/2006/relationships/hyperlink" Target="https://open.spotify.com/album/4tO1Ms6azDZNgy7pAOJt7R?si=-ig9hGpPRYavZJchoath3w" TargetMode="External"/><Relationship Id="rId3918" Type="http://schemas.openxmlformats.org/officeDocument/2006/relationships/hyperlink" Target="https://hoodedmenace.bandcamp.com/album/lachrymose-monuments-of-obscuration" TargetMode="External"/><Relationship Id="rId3900" Type="http://schemas.openxmlformats.org/officeDocument/2006/relationships/hyperlink" Target="https://open.spotify.com/album/3T1n4bmk2LUGUR4yTz63nu?si=5x7XlJisS5WDjQ6D0hbVnQ" TargetMode="External"/><Relationship Id="rId3902" Type="http://schemas.openxmlformats.org/officeDocument/2006/relationships/hyperlink" Target="https://bloodredhourglassofficial.bandcamp.com/album/we-should-be-buried-like-this" TargetMode="External"/><Relationship Id="rId3901" Type="http://schemas.openxmlformats.org/officeDocument/2006/relationships/hyperlink" Target="https://www.youtube.com/watch?v=M1RluM196AA" TargetMode="External"/><Relationship Id="rId3904" Type="http://schemas.openxmlformats.org/officeDocument/2006/relationships/hyperlink" Target="https://syrek.bandcamp.com/album/story-2" TargetMode="External"/><Relationship Id="rId3903" Type="http://schemas.openxmlformats.org/officeDocument/2006/relationships/hyperlink" Target="https://open.spotify.com/album/0g62eTQQ85HplDFqLdMlF3?si=16LCgdiNSpuFAsHzwlzdzg" TargetMode="External"/><Relationship Id="rId3906" Type="http://schemas.openxmlformats.org/officeDocument/2006/relationships/hyperlink" Target="https://i-voidhangerrecords.bandcamp.com/album/ruina-draconis" TargetMode="External"/><Relationship Id="rId3905" Type="http://schemas.openxmlformats.org/officeDocument/2006/relationships/hyperlink" Target="https://open.spotify.com/album/3ZQOJHaiPA0d9LZ3xk6zN4?si=NSzBkC76RFC11NukwqtsCA" TargetMode="External"/><Relationship Id="rId3908" Type="http://schemas.openxmlformats.org/officeDocument/2006/relationships/hyperlink" Target="https://unsouling.bandcamp.com/album/outward-streams-of-devotional-woe" TargetMode="External"/><Relationship Id="rId3907" Type="http://schemas.openxmlformats.org/officeDocument/2006/relationships/hyperlink" Target="https://open.spotify.com/album/7IQnwiLhyKnZd9WC3Ya9gH?si=OEx7CWU-Qu6UpWoU793NaQ" TargetMode="External"/><Relationship Id="rId3909" Type="http://schemas.openxmlformats.org/officeDocument/2006/relationships/hyperlink" Target="https://open.spotify.com/album/2gcmOV9JDSkO8bbW5igFpl?si=h8ZVKJx-TgaCX60gkq--Hg" TargetMode="External"/><Relationship Id="rId3931" Type="http://schemas.openxmlformats.org/officeDocument/2006/relationships/hyperlink" Target="https://open.spotify.com/album/2hoKtcZNfs4CY59Hz43g51?si=i_YYFvQGTq-1_8Gtjfcntw" TargetMode="External"/><Relationship Id="rId2600" Type="http://schemas.openxmlformats.org/officeDocument/2006/relationships/hyperlink" Target="https://hypaethralrecords.bandcamp.com/album/shadow-without-a-horizon" TargetMode="External"/><Relationship Id="rId3930" Type="http://schemas.openxmlformats.org/officeDocument/2006/relationships/hyperlink" Target="https://enragement-label.bandcamp.com/album/extinguish-all-existence" TargetMode="External"/><Relationship Id="rId2601" Type="http://schemas.openxmlformats.org/officeDocument/2006/relationships/hyperlink" Target="https://open.spotify.com/album/5VlavaP5OgRsz9xM5qPD6a?si=LPwywTy2TNSqFkBNOs-agQ" TargetMode="External"/><Relationship Id="rId3933" Type="http://schemas.openxmlformats.org/officeDocument/2006/relationships/hyperlink" Target="https://sumofr.bandcamp.com/album/spectral" TargetMode="External"/><Relationship Id="rId2602" Type="http://schemas.openxmlformats.org/officeDocument/2006/relationships/hyperlink" Target="https://tankcrimes.bandcamp.com/album/destination-extinction" TargetMode="External"/><Relationship Id="rId3932" Type="http://schemas.openxmlformats.org/officeDocument/2006/relationships/hyperlink" Target="https://www.youtube.com/watch?v=mQl3_5lKGlk" TargetMode="External"/><Relationship Id="rId2603" Type="http://schemas.openxmlformats.org/officeDocument/2006/relationships/hyperlink" Target="https://open.spotify.com/album/1NRlezzsLH4hWyFGieKGlq?si=3QutBbLrRr-SuC-qCoRI2Q" TargetMode="External"/><Relationship Id="rId3935" Type="http://schemas.openxmlformats.org/officeDocument/2006/relationships/hyperlink" Target="https://gorycz.bandcamp.com/album/zasypia" TargetMode="External"/><Relationship Id="rId2604" Type="http://schemas.openxmlformats.org/officeDocument/2006/relationships/hyperlink" Target="https://avantgardemusic.bandcamp.com/album/vacuum-coeli" TargetMode="External"/><Relationship Id="rId3934" Type="http://schemas.openxmlformats.org/officeDocument/2006/relationships/hyperlink" Target="https://open.spotify.com/album/77bQKcrHGAO4Q4GWXCQK5h?si=8OZT1hxyRD2FAnfbYWhL7Q" TargetMode="External"/><Relationship Id="rId2605" Type="http://schemas.openxmlformats.org/officeDocument/2006/relationships/hyperlink" Target="https://open.spotify.com/album/4e08xcm9uMQG6hSn3jqqNV?si=kwhNVVSfQni0wbQHoAl2NA" TargetMode="External"/><Relationship Id="rId3937" Type="http://schemas.openxmlformats.org/officeDocument/2006/relationships/hyperlink" Target="https://www.youtube.com/watch?v=ALIqldfqHF8" TargetMode="External"/><Relationship Id="rId2606" Type="http://schemas.openxmlformats.org/officeDocument/2006/relationships/hyperlink" Target="https://valdrin.bandcamp.com/album/apex-violator" TargetMode="External"/><Relationship Id="rId3936" Type="http://schemas.openxmlformats.org/officeDocument/2006/relationships/hyperlink" Target="https://open.spotify.com/album/2Dotr4ckZhPjj3B4i393JO?si=JB0gASS8S-usA1wm_KChRw" TargetMode="External"/><Relationship Id="rId808" Type="http://schemas.openxmlformats.org/officeDocument/2006/relationships/hyperlink" Target="https://open.spotify.com/album/4VJuPjzEiIvBe5q7pMMdx9?si=dM9Lc3czTRSk48Ab99xr7w" TargetMode="External"/><Relationship Id="rId2607" Type="http://schemas.openxmlformats.org/officeDocument/2006/relationships/hyperlink" Target="https://open.spotify.com/album/6IwbiYWBmO5ELiq4XH1PTo?si=fPHEO-ThR_GIch1I-pQA0A" TargetMode="External"/><Relationship Id="rId3939" Type="http://schemas.openxmlformats.org/officeDocument/2006/relationships/hyperlink" Target="https://open.spotify.com/album/7qYZEoFXuB2AAK99y98l2N?si=mS0pdOPxTW-gYoa0RsnrlQ" TargetMode="External"/><Relationship Id="rId807" Type="http://schemas.openxmlformats.org/officeDocument/2006/relationships/hyperlink" Target="https://zacleaser.bandcamp.com/album/ascension-to-light" TargetMode="External"/><Relationship Id="rId2608" Type="http://schemas.openxmlformats.org/officeDocument/2006/relationships/hyperlink" Target="https://scarletrecords.bandcamp.com/album/oceans-of-black" TargetMode="External"/><Relationship Id="rId3938" Type="http://schemas.openxmlformats.org/officeDocument/2006/relationships/hyperlink" Target="https://windwalkers.bandcamp.com/album/i-dont-belong-here" TargetMode="External"/><Relationship Id="rId806" Type="http://schemas.openxmlformats.org/officeDocument/2006/relationships/hyperlink" Target="https://open.spotify.com/album/5WxVgcugX1HZj8ARMfGnmK?si=kc3KqkK3QPa7euAXGuc3xA" TargetMode="External"/><Relationship Id="rId2609" Type="http://schemas.openxmlformats.org/officeDocument/2006/relationships/hyperlink" Target="https://open.spotify.com/album/1g966q6spArBrbPQNSmi2b?si=5mqk2zOzTKSCyIsCBJMW2A" TargetMode="External"/><Relationship Id="rId805" Type="http://schemas.openxmlformats.org/officeDocument/2006/relationships/hyperlink" Target="https://open.spotify.com/album/6yJcSRdS7115GcPCOCyTK2?si=W_L2pt6-Q7mbTvmUU5YEfw" TargetMode="External"/><Relationship Id="rId809" Type="http://schemas.openxmlformats.org/officeDocument/2006/relationships/hyperlink" Target="https://www.youtube.com/watch?v=B9wtFHCadtQ" TargetMode="External"/><Relationship Id="rId800" Type="http://schemas.openxmlformats.org/officeDocument/2006/relationships/hyperlink" Target="https://harvestofash.bandcamp.com/album/castaway" TargetMode="External"/><Relationship Id="rId804" Type="http://schemas.openxmlformats.org/officeDocument/2006/relationships/hyperlink" Target="https://spider-god.bandcamp.com/album/possess-the-devil-the-original-album" TargetMode="External"/><Relationship Id="rId803" Type="http://schemas.openxmlformats.org/officeDocument/2006/relationships/hyperlink" Target="https://open.spotify.com/album/2vWcWi7YTcy0QqMQAr8mg6?si=vW7AdHYeSLmIeiuCSAyuZg" TargetMode="External"/><Relationship Id="rId802" Type="http://schemas.openxmlformats.org/officeDocument/2006/relationships/hyperlink" Target="https://marchofscylla.bandcamp.com/album/andromeda" TargetMode="External"/><Relationship Id="rId801" Type="http://schemas.openxmlformats.org/officeDocument/2006/relationships/hyperlink" Target="https://open.spotify.com/album/3yohivHbIQOEiv9xhhyh14?si=9jnOta_dRUiSCmnt1wcuvA" TargetMode="External"/><Relationship Id="rId3920" Type="http://schemas.openxmlformats.org/officeDocument/2006/relationships/hyperlink" Target="https://www.youtube.com/watch?v=NgiK_sL6zfU" TargetMode="External"/><Relationship Id="rId3922" Type="http://schemas.openxmlformats.org/officeDocument/2006/relationships/hyperlink" Target="https://open.spotify.com/album/4HxzA7GFGtbcLiCNNd4AmZ?si=hKyVPuXzTeaFpAO6EKmkaQ" TargetMode="External"/><Relationship Id="rId3921" Type="http://schemas.openxmlformats.org/officeDocument/2006/relationships/hyperlink" Target="https://agriculturemusic.bandcamp.com/album/the-spiritual-sound" TargetMode="External"/><Relationship Id="rId3924" Type="http://schemas.openxmlformats.org/officeDocument/2006/relationships/hyperlink" Target="https://open.spotify.com/album/7AF42hCxVINdJYUy7X5sLP?si=T3YczeqmRGiDTZwysBM12A" TargetMode="External"/><Relationship Id="rId3923" Type="http://schemas.openxmlformats.org/officeDocument/2006/relationships/hyperlink" Target="https://www.youtube.com/watch?v=k9yMIboriEY" TargetMode="External"/><Relationship Id="rId3926" Type="http://schemas.openxmlformats.org/officeDocument/2006/relationships/hyperlink" Target="https://open.spotify.com/album/1ovzOV64ES8l2X7t1iIhEO?si=RvxZPuccQr2YR4gAXoj3Nw" TargetMode="External"/><Relationship Id="rId3925" Type="http://schemas.openxmlformats.org/officeDocument/2006/relationships/hyperlink" Target="https://orbitculture.bandcamp.com/album/death-above-life-24-bit-hd-audio" TargetMode="External"/><Relationship Id="rId3928" Type="http://schemas.openxmlformats.org/officeDocument/2006/relationships/hyperlink" Target="https://open.spotify.com/album/7bv6t6XXCroAiwxQ1ly7K4?si=yt0ysGUKTkGlY5w_32zZSQ" TargetMode="External"/><Relationship Id="rId3927" Type="http://schemas.openxmlformats.org/officeDocument/2006/relationships/hyperlink" Target="https://ovomusic.bandcamp.com/album/gemma" TargetMode="External"/><Relationship Id="rId3929" Type="http://schemas.openxmlformats.org/officeDocument/2006/relationships/hyperlink" Target="https://www.youtube.com/watch?v=lk_8_q5SMO0" TargetMode="External"/><Relationship Id="rId1334" Type="http://schemas.openxmlformats.org/officeDocument/2006/relationships/hyperlink" Target="https://cerberusdoom.bandcamp.com/album/summon" TargetMode="External"/><Relationship Id="rId2665" Type="http://schemas.openxmlformats.org/officeDocument/2006/relationships/hyperlink" Target="https://isiliel.bandcamp.com/album/moonbow-rebellion" TargetMode="External"/><Relationship Id="rId3997" Type="http://schemas.openxmlformats.org/officeDocument/2006/relationships/hyperlink" Target="https://aoecist.bandcamp.com/album/illusory-dissolvents" TargetMode="External"/><Relationship Id="rId1335" Type="http://schemas.openxmlformats.org/officeDocument/2006/relationships/hyperlink" Target="https://open.spotify.com/album/471rdPGkdMib6JO8XYozeI?si=mlIKS7aFRbGgewJFVihXSg" TargetMode="External"/><Relationship Id="rId2666" Type="http://schemas.openxmlformats.org/officeDocument/2006/relationships/hyperlink" Target="https://venusscifi.bandcamp.com/album/uploaded-brains" TargetMode="External"/><Relationship Id="rId3996" Type="http://schemas.openxmlformats.org/officeDocument/2006/relationships/hyperlink" Target="https://open.spotify.com/album/0SRaO4pgZpEZvBCyNi3fGY?si=IwexZ4rTQ42RcMOn9AA2eg" TargetMode="External"/><Relationship Id="rId1336" Type="http://schemas.openxmlformats.org/officeDocument/2006/relationships/hyperlink" Target="https://fonte.bandcamp.com/album/the-great-red-spot" TargetMode="External"/><Relationship Id="rId2667" Type="http://schemas.openxmlformats.org/officeDocument/2006/relationships/hyperlink" Target="https://open.spotify.com/album/7tkLpHb1x8cesqhtRw5QJl?si=7_Q93CP8ToiHa3MwzX-0LA" TargetMode="External"/><Relationship Id="rId3999" Type="http://schemas.openxmlformats.org/officeDocument/2006/relationships/hyperlink" Target="https://open.spotify.com/album/3e8tQVlWz3uENgJFuA7m20?si=l9-xWcPTTD2JKBT0oMGorQ" TargetMode="External"/><Relationship Id="rId1337" Type="http://schemas.openxmlformats.org/officeDocument/2006/relationships/hyperlink" Target="https://open.spotify.com/album/6eIDu0WY0251vc1wtapJqC?si=VmGOa_RLTn-JaAq5Q5qOEw" TargetMode="External"/><Relationship Id="rId2668" Type="http://schemas.openxmlformats.org/officeDocument/2006/relationships/hyperlink" Target="https://palsied.bandcamp.com/album/legendary-hatreds" TargetMode="External"/><Relationship Id="rId3998" Type="http://schemas.openxmlformats.org/officeDocument/2006/relationships/hyperlink" Target="https://intraether.bandcamp.com/album/vestiges" TargetMode="External"/><Relationship Id="rId1338" Type="http://schemas.openxmlformats.org/officeDocument/2006/relationships/hyperlink" Target="https://witchcultchc.bandcamp.com/album/support-local-business" TargetMode="External"/><Relationship Id="rId2669" Type="http://schemas.openxmlformats.org/officeDocument/2006/relationships/hyperlink" Target="https://dymnalotva.bandcamp.com/album/live-at-dark-easter-metal-meeting-2025" TargetMode="External"/><Relationship Id="rId1339" Type="http://schemas.openxmlformats.org/officeDocument/2006/relationships/hyperlink" Target="https://avantgardemusic.bandcamp.com/album/d-dssang" TargetMode="External"/><Relationship Id="rId745" Type="http://schemas.openxmlformats.org/officeDocument/2006/relationships/hyperlink" Target="https://open.spotify.com/album/61Bf5HiEF9WrIwkz2hdDuQ?si=gAwSOg7PQcm7qIgEL_BuBQ" TargetMode="External"/><Relationship Id="rId744" Type="http://schemas.openxmlformats.org/officeDocument/2006/relationships/hyperlink" Target="https://caligarirecords.bandcamp.com/album/profane-altar" TargetMode="External"/><Relationship Id="rId743" Type="http://schemas.openxmlformats.org/officeDocument/2006/relationships/hyperlink" Target="https://open.spotify.com/album/63q9VopkBeBmgE9QDBd1TB?si=b5Bzjb7iRR6aTBwaQ-MXrw" TargetMode="External"/><Relationship Id="rId742" Type="http://schemas.openxmlformats.org/officeDocument/2006/relationships/hyperlink" Target="https://darkchapelband.bandcamp.com/album/spirit-in-the-glass" TargetMode="External"/><Relationship Id="rId749" Type="http://schemas.openxmlformats.org/officeDocument/2006/relationships/hyperlink" Target="https://open.spotify.com/album/5MOIoMvxXZB0b8ZHKYd6bE?si=u8NGA13MT7OIGsJg_KjAlA" TargetMode="External"/><Relationship Id="rId748" Type="http://schemas.openxmlformats.org/officeDocument/2006/relationships/hyperlink" Target="https://tragedyproductions.bandcamp.com/album/--2" TargetMode="External"/><Relationship Id="rId747" Type="http://schemas.openxmlformats.org/officeDocument/2006/relationships/hyperlink" Target="https://armageddonlabel.bandcamp.com/album/faster-than-death" TargetMode="External"/><Relationship Id="rId746" Type="http://schemas.openxmlformats.org/officeDocument/2006/relationships/hyperlink" Target="https://toughness.bandcamp.com/album/black-respite-of-oblivion" TargetMode="External"/><Relationship Id="rId3991" Type="http://schemas.openxmlformats.org/officeDocument/2006/relationships/hyperlink" Target="https://www.youtube.com/watch?v=aIq6VFsWN2c" TargetMode="External"/><Relationship Id="rId2660" Type="http://schemas.openxmlformats.org/officeDocument/2006/relationships/hyperlink" Target="https://constanttorment.bandcamp.com/album/suspended-in-desolate-permanence" TargetMode="External"/><Relationship Id="rId3990" Type="http://schemas.openxmlformats.org/officeDocument/2006/relationships/hyperlink" Target="https://illusivekey.bandcamp.com/album/consume-us" TargetMode="External"/><Relationship Id="rId741" Type="http://schemas.openxmlformats.org/officeDocument/2006/relationships/hyperlink" Target="https://www.youtube.com/watch?v=ca5MSEWz7vM" TargetMode="External"/><Relationship Id="rId1330" Type="http://schemas.openxmlformats.org/officeDocument/2006/relationships/hyperlink" Target="https://elletea.bandcamp.com/album/into-the-fall" TargetMode="External"/><Relationship Id="rId2661" Type="http://schemas.openxmlformats.org/officeDocument/2006/relationships/hyperlink" Target="https://ophelionmusic.bandcamp.com/album/the-jaunt" TargetMode="External"/><Relationship Id="rId3993" Type="http://schemas.openxmlformats.org/officeDocument/2006/relationships/hyperlink" Target="https://open.spotify.com/album/1JUF50s96CrXMGHGNkwViZ?si=f5hl63jmTga3s8C6Ds4pXQ" TargetMode="External"/><Relationship Id="rId740" Type="http://schemas.openxmlformats.org/officeDocument/2006/relationships/hyperlink" Target="https://open.spotify.com/album/32UDQhsSWX93UoZZ5yLMnT?si=ap8dL7nfS5KekcqzBRnZDA" TargetMode="External"/><Relationship Id="rId1331" Type="http://schemas.openxmlformats.org/officeDocument/2006/relationships/hyperlink" Target="https://open.spotify.com/album/3lbzc0FUsx5HTYEO5gMMao?si=DDo9EJ3tQb6lB8og0aT6xQ" TargetMode="External"/><Relationship Id="rId2662" Type="http://schemas.openxmlformats.org/officeDocument/2006/relationships/hyperlink" Target="https://open.spotify.com/album/1Stl2MjBp83fk5gzQEJ10U?si=fxsZqkKqTV-BQHuN3O855Q" TargetMode="External"/><Relationship Id="rId3992" Type="http://schemas.openxmlformats.org/officeDocument/2006/relationships/hyperlink" Target="https://hedmark.bandcamp.com/album/hedmark" TargetMode="External"/><Relationship Id="rId1332" Type="http://schemas.openxmlformats.org/officeDocument/2006/relationships/hyperlink" Target="https://www.youtube.com/watch?v=1L9HIb0Mni0" TargetMode="External"/><Relationship Id="rId2663" Type="http://schemas.openxmlformats.org/officeDocument/2006/relationships/hyperlink" Target="https://www.youtube.com/watch?v=GaxmIm7zMQ8" TargetMode="External"/><Relationship Id="rId3995" Type="http://schemas.openxmlformats.org/officeDocument/2006/relationships/hyperlink" Target="https://gonemage.bandcamp.com/album/coldest-keep-in-bitter-heavens" TargetMode="External"/><Relationship Id="rId1333" Type="http://schemas.openxmlformats.org/officeDocument/2006/relationships/hyperlink" Target="https://chiaroscurometal.bandcamp.com/album/chiaroscuro" TargetMode="External"/><Relationship Id="rId2664" Type="http://schemas.openxmlformats.org/officeDocument/2006/relationships/hyperlink" Target="https://deciduousforest.bandcamp.com/album/fields-of-yore" TargetMode="External"/><Relationship Id="rId3994" Type="http://schemas.openxmlformats.org/officeDocument/2006/relationships/hyperlink" Target="https://open.spotify.com/album/2WRstVgw9uJXnYXB67wVC1?si=nxLCM7rsS7W2G_vR1NL5cA" TargetMode="External"/><Relationship Id="rId1323" Type="http://schemas.openxmlformats.org/officeDocument/2006/relationships/hyperlink" Target="https://suiciderecordsswe.bandcamp.com/album/alive-to-no-avail" TargetMode="External"/><Relationship Id="rId2654" Type="http://schemas.openxmlformats.org/officeDocument/2006/relationships/hyperlink" Target="https://alcyonepvd.bandcamp.com/album/cult-of-kukulkan-2025-remix-remaster" TargetMode="External"/><Relationship Id="rId3986" Type="http://schemas.openxmlformats.org/officeDocument/2006/relationships/hyperlink" Target="https://occultkenji.bandcamp.com/album/of-gods-and-ancestors" TargetMode="External"/><Relationship Id="rId1324" Type="http://schemas.openxmlformats.org/officeDocument/2006/relationships/hyperlink" Target="https://open.spotify.com/album/5toUq8wxaiWXLPxSVvXKfp?si=LFcKSoyoTuWtDH88GYBPKw" TargetMode="External"/><Relationship Id="rId2655" Type="http://schemas.openxmlformats.org/officeDocument/2006/relationships/hyperlink" Target="https://sempervirensband.bandcamp.com/album/sword-ferns" TargetMode="External"/><Relationship Id="rId3985" Type="http://schemas.openxmlformats.org/officeDocument/2006/relationships/hyperlink" Target="https://hedras.bandcamp.com/album/front-line" TargetMode="External"/><Relationship Id="rId1325" Type="http://schemas.openxmlformats.org/officeDocument/2006/relationships/hyperlink" Target="https://www.youtube.com/watch?v=_UzSylEQvjo" TargetMode="External"/><Relationship Id="rId2656" Type="http://schemas.openxmlformats.org/officeDocument/2006/relationships/hyperlink" Target="https://open.spotify.com/album/71wuS8oPWthj7E6XEYpjzh?si=dxRoJEMGTJmlaifaSRnmKA" TargetMode="External"/><Relationship Id="rId3988" Type="http://schemas.openxmlformats.org/officeDocument/2006/relationships/hyperlink" Target="https://vialsofwrath.bandcamp.com/album/remnants-for-remembrance" TargetMode="External"/><Relationship Id="rId1326" Type="http://schemas.openxmlformats.org/officeDocument/2006/relationships/hyperlink" Target="https://fleshspoilofficial.bandcamp.com/album/the-beginning-of-the-end" TargetMode="External"/><Relationship Id="rId2657" Type="http://schemas.openxmlformats.org/officeDocument/2006/relationships/hyperlink" Target="https://mantrafr.bandcamp.com/album/celestial" TargetMode="External"/><Relationship Id="rId3987" Type="http://schemas.openxmlformats.org/officeDocument/2006/relationships/hyperlink" Target="https://open.spotify.com/album/3ZnqaJ9s4rTEkG0YexByWZ?si=RPwS5qgzQFqqN59W4oeKxQ" TargetMode="External"/><Relationship Id="rId1327" Type="http://schemas.openxmlformats.org/officeDocument/2006/relationships/hyperlink" Target="https://open.spotify.com/album/3ayzZZGNZ8btubCw4PBzix?si=TjQ0pvMTT06e_mkc9H0suA" TargetMode="External"/><Relationship Id="rId2658" Type="http://schemas.openxmlformats.org/officeDocument/2006/relationships/hyperlink" Target="https://open.spotify.com/album/6AtpTRi3ouxZaIht9P4MZr?si=VcdJeO4vQnKf0PH1CLjW4A" TargetMode="External"/><Relationship Id="rId1328" Type="http://schemas.openxmlformats.org/officeDocument/2006/relationships/hyperlink" Target="https://pillarsofcacophony.bandcamp.com/album/paralipomena" TargetMode="External"/><Relationship Id="rId2659" Type="http://schemas.openxmlformats.org/officeDocument/2006/relationships/hyperlink" Target="https://torizon.bandcamp.com/album/meliora" TargetMode="External"/><Relationship Id="rId3989" Type="http://schemas.openxmlformats.org/officeDocument/2006/relationships/hyperlink" Target="https://open.spotify.com/album/11rMdmp7lbVWyWtsQh0vDw?si=GyFRAE4BT4ysrcVvHT5oxQ" TargetMode="External"/><Relationship Id="rId1329" Type="http://schemas.openxmlformats.org/officeDocument/2006/relationships/hyperlink" Target="https://open.spotify.com/album/2QEuDPYOo0fd6iZHIPkRrO?si=AuUuevFiQaeDPBoWKCFA2A" TargetMode="External"/><Relationship Id="rId739" Type="http://schemas.openxmlformats.org/officeDocument/2006/relationships/hyperlink" Target="https://heavypsychsoundsrecords.bandcamp.com/album/ocultum-buena-muerte" TargetMode="External"/><Relationship Id="rId734" Type="http://schemas.openxmlformats.org/officeDocument/2006/relationships/hyperlink" Target="https://benthiclfr.bandcamp.com/album/sanguine" TargetMode="External"/><Relationship Id="rId733" Type="http://schemas.openxmlformats.org/officeDocument/2006/relationships/hyperlink" Target="https://owlbearmetal.bandcamp.com/album/feather-claw" TargetMode="External"/><Relationship Id="rId732" Type="http://schemas.openxmlformats.org/officeDocument/2006/relationships/hyperlink" Target="https://www.youtube.com/watch?v=q-3ibolYGEk" TargetMode="External"/><Relationship Id="rId731" Type="http://schemas.openxmlformats.org/officeDocument/2006/relationships/hyperlink" Target="https://open.spotify.com/album/01KEU7IuyQFhq4DXhNzm0s?si=3h90fPhxRqemYiYmGO87nA" TargetMode="External"/><Relationship Id="rId738" Type="http://schemas.openxmlformats.org/officeDocument/2006/relationships/hyperlink" Target="https://www.youtube.com/watch?v=WjhayxXpOKA" TargetMode="External"/><Relationship Id="rId737" Type="http://schemas.openxmlformats.org/officeDocument/2006/relationships/hyperlink" Target="https://open.spotify.com/album/1fvja6YWzFE4LhwskU8eIu?si=IgT4ZXsqT1--oqkd_slcXw" TargetMode="External"/><Relationship Id="rId736" Type="http://schemas.openxmlformats.org/officeDocument/2006/relationships/hyperlink" Target="https://listenable-records.bandcamp.com/album/violence-prevails" TargetMode="External"/><Relationship Id="rId735" Type="http://schemas.openxmlformats.org/officeDocument/2006/relationships/hyperlink" Target="https://open.spotify.com/album/3ET7HND49XQ9E4ukYVTOia?si=riXrMqo-S-6e1xaockhDfQ" TargetMode="External"/><Relationship Id="rId3980" Type="http://schemas.openxmlformats.org/officeDocument/2006/relationships/hyperlink" Target="https://open.spotify.com/album/7DOlxRAHzMtVTETJQO4u35?si=Rd1ZaZIxQcOelxwVcyoHYg" TargetMode="External"/><Relationship Id="rId730" Type="http://schemas.openxmlformats.org/officeDocument/2006/relationships/hyperlink" Target="https://dimmanmetal.bandcamp.com/album/consciousness" TargetMode="External"/><Relationship Id="rId2650" Type="http://schemas.openxmlformats.org/officeDocument/2006/relationships/hyperlink" Target="https://aetos2.bandcamp.com/album/ancient-power" TargetMode="External"/><Relationship Id="rId3982" Type="http://schemas.openxmlformats.org/officeDocument/2006/relationships/hyperlink" Target="https://xavierboscher.bandcamp.com/album/la-cit-s-raphine" TargetMode="External"/><Relationship Id="rId1320" Type="http://schemas.openxmlformats.org/officeDocument/2006/relationships/hyperlink" Target="https://teitanblood.bandcamp.com/album/from-the-visceral-abyss" TargetMode="External"/><Relationship Id="rId2651" Type="http://schemas.openxmlformats.org/officeDocument/2006/relationships/hyperlink" Target="https://open.spotify.com/album/6Bw3rRY1STp9GXFjYE5bw3?si=UnIX1pYCR3CDaZ2DSlVfOA" TargetMode="External"/><Relationship Id="rId3981" Type="http://schemas.openxmlformats.org/officeDocument/2006/relationships/hyperlink" Target="https://subsolevanitas.bandcamp.com/album/iv" TargetMode="External"/><Relationship Id="rId1321" Type="http://schemas.openxmlformats.org/officeDocument/2006/relationships/hyperlink" Target="https://open.spotify.com/album/4Y8NuC3hZbU1nYrr4xV3kS?si=2tvaNsi-RUGTtFhkjyylfg" TargetMode="External"/><Relationship Id="rId2652" Type="http://schemas.openxmlformats.org/officeDocument/2006/relationships/hyperlink" Target="https://barrenaltar.bandcamp.com/album/bound-by-impermanence" TargetMode="External"/><Relationship Id="rId3984" Type="http://schemas.openxmlformats.org/officeDocument/2006/relationships/hyperlink" Target="https://open.spotify.com/album/57fK3MBk6CSflKNdUwo4SX?si=qn96EY3sQru08Uwo0iqHuQ" TargetMode="External"/><Relationship Id="rId1322" Type="http://schemas.openxmlformats.org/officeDocument/2006/relationships/hyperlink" Target="https://www.youtube.com/watch?v=-oToX4j01IE" TargetMode="External"/><Relationship Id="rId2653" Type="http://schemas.openxmlformats.org/officeDocument/2006/relationships/hyperlink" Target="https://open.spotify.com/album/0Y74R8CYSBE1T43Du6AIes?si=XYvQ880LR1KjeiNmg4rbeA" TargetMode="External"/><Relationship Id="rId3983" Type="http://schemas.openxmlformats.org/officeDocument/2006/relationships/hyperlink" Target="https://fighter-records.bandcamp.com/album/fossilized" TargetMode="External"/><Relationship Id="rId1356" Type="http://schemas.openxmlformats.org/officeDocument/2006/relationships/hyperlink" Target="https://eonian.bandcamp.com/album/born-from-ice" TargetMode="External"/><Relationship Id="rId2687" Type="http://schemas.openxmlformats.org/officeDocument/2006/relationships/hyperlink" Target="https://nefas.bandcamp.com/album/oblation-ov-obliteration" TargetMode="External"/><Relationship Id="rId1357" Type="http://schemas.openxmlformats.org/officeDocument/2006/relationships/hyperlink" Target="https://fieryserpent.bandcamp.com/album/flammae-quae-ligant" TargetMode="External"/><Relationship Id="rId2688" Type="http://schemas.openxmlformats.org/officeDocument/2006/relationships/hyperlink" Target="https://open.spotify.com/album/43avkrGsVPgDFNCElemdgn?si=u69yki48So6HwMtKTWwhfA" TargetMode="External"/><Relationship Id="rId1358" Type="http://schemas.openxmlformats.org/officeDocument/2006/relationships/hyperlink" Target="https://xtreemmusic.bandcamp.com/album/something-is-rotten-in-humanity" TargetMode="External"/><Relationship Id="rId2689" Type="http://schemas.openxmlformats.org/officeDocument/2006/relationships/hyperlink" Target="https://breaths.bandcamp.com/album/death-can-wait" TargetMode="External"/><Relationship Id="rId1359" Type="http://schemas.openxmlformats.org/officeDocument/2006/relationships/hyperlink" Target="https://open.spotify.com/album/4lZOLVsfBHZ6P59k9T8Jb6?si=PdxdkpJISziXD5MVRg2uuw" TargetMode="External"/><Relationship Id="rId767" Type="http://schemas.openxmlformats.org/officeDocument/2006/relationships/hyperlink" Target="https://www.youtube.com/watch?v=u-a-lDcUTBU" TargetMode="External"/><Relationship Id="rId766" Type="http://schemas.openxmlformats.org/officeDocument/2006/relationships/hyperlink" Target="https://open.spotify.com/album/0nFbYZR3zuI8IdqoFUpKCo?si=OoprESTgQlulPgFaO0AEBA" TargetMode="External"/><Relationship Id="rId765" Type="http://schemas.openxmlformats.org/officeDocument/2006/relationships/hyperlink" Target="https://voidrevenant.bandcamp.com/album/celestial-procession" TargetMode="External"/><Relationship Id="rId764" Type="http://schemas.openxmlformats.org/officeDocument/2006/relationships/hyperlink" Target="https://www.youtube.com/watch?v=JbgpwkHVRos" TargetMode="External"/><Relationship Id="rId769" Type="http://schemas.openxmlformats.org/officeDocument/2006/relationships/hyperlink" Target="https://open.spotify.com/album/76w05mGcgkianhRDS6MfKl?si=-eD3yGi4R6uScO3RkT6_GA" TargetMode="External"/><Relationship Id="rId768" Type="http://schemas.openxmlformats.org/officeDocument/2006/relationships/hyperlink" Target="https://cursedmonk.bandcamp.com/album/violence-is-a-curse" TargetMode="External"/><Relationship Id="rId2680" Type="http://schemas.openxmlformats.org/officeDocument/2006/relationships/hyperlink" Target="https://open.spotify.com/album/5ASfRvWR4zH3MtEQkMdwWp?si=BmPjmkvLRuKoABDB1z_XTQ" TargetMode="External"/><Relationship Id="rId1350" Type="http://schemas.openxmlformats.org/officeDocument/2006/relationships/hyperlink" Target="https://nevborn.bandcamp.com/album/alkaios-part-ii-the-peacock" TargetMode="External"/><Relationship Id="rId2681" Type="http://schemas.openxmlformats.org/officeDocument/2006/relationships/hyperlink" Target="https://dyingvictimsproductions.bandcamp.com/album/echoes-from-the-void" TargetMode="External"/><Relationship Id="rId1351" Type="http://schemas.openxmlformats.org/officeDocument/2006/relationships/hyperlink" Target="https://open.spotify.com/album/0qiZcsUddUIzpbaEf9nivP?si=ag4knukUTZaTATQLsg3V3A" TargetMode="External"/><Relationship Id="rId2682" Type="http://schemas.openxmlformats.org/officeDocument/2006/relationships/hyperlink" Target="https://open.spotify.com/album/4iada3hG7nWP6q1xe0lFk6?si=IqHgYroTTv6R8XYMUnfGIg" TargetMode="External"/><Relationship Id="rId763" Type="http://schemas.openxmlformats.org/officeDocument/2006/relationships/hyperlink" Target="https://open.spotify.com/album/4wS8IgsXNWrFyGxuzRf3dn?si=epJrsnusTveHICMKwiRrSA" TargetMode="External"/><Relationship Id="rId1352" Type="http://schemas.openxmlformats.org/officeDocument/2006/relationships/hyperlink" Target="https://bdrndhmni.bandcamp.com/album/ojash" TargetMode="External"/><Relationship Id="rId2683" Type="http://schemas.openxmlformats.org/officeDocument/2006/relationships/hyperlink" Target="https://dyingvictimsproductions.bandcamp.com/album/dawn-of-destruction" TargetMode="External"/><Relationship Id="rId762" Type="http://schemas.openxmlformats.org/officeDocument/2006/relationships/hyperlink" Target="https://cryptofthewizard.bandcamp.com/album/order-of-disgrace" TargetMode="External"/><Relationship Id="rId1353" Type="http://schemas.openxmlformats.org/officeDocument/2006/relationships/hyperlink" Target="https://pravitas.bandcamp.com/album/the-parasitic-divine" TargetMode="External"/><Relationship Id="rId2684" Type="http://schemas.openxmlformats.org/officeDocument/2006/relationships/hyperlink" Target="https://open.spotify.com/album/4LXzdF9Kw6o0XIWHfPYTuJ?si=Jay-RCKqTRqCdA6wUYcnSQ" TargetMode="External"/><Relationship Id="rId761" Type="http://schemas.openxmlformats.org/officeDocument/2006/relationships/hyperlink" Target="https://open.spotify.com/album/1jdsc7m6nxWeI9Lzq0QGUB?si=mcyKTdpFRd2-aurGqYiIqw" TargetMode="External"/><Relationship Id="rId1354" Type="http://schemas.openxmlformats.org/officeDocument/2006/relationships/hyperlink" Target="https://open.spotify.com/album/3PTmtJNOZRolrHFbGrn9Fl?si=pdQFk08URQ-IypGwTlebpw" TargetMode="External"/><Relationship Id="rId2685" Type="http://schemas.openxmlformats.org/officeDocument/2006/relationships/hyperlink" Target="https://archecho.bandcamp.com/album/3x3-catalyst" TargetMode="External"/><Relationship Id="rId760" Type="http://schemas.openxmlformats.org/officeDocument/2006/relationships/hyperlink" Target="https://cryptofthewizard.bandcamp.com/album/infernal-demise" TargetMode="External"/><Relationship Id="rId1355" Type="http://schemas.openxmlformats.org/officeDocument/2006/relationships/hyperlink" Target="https://greatdanerecords.bandcamp.com/album/paths-across-the-graves" TargetMode="External"/><Relationship Id="rId2686" Type="http://schemas.openxmlformats.org/officeDocument/2006/relationships/hyperlink" Target="https://open.spotify.com/album/4187BLKSMv8Xixgpno2rPG?si=dsK1Yf2FT9GAV9Bk3xyEEg" TargetMode="External"/><Relationship Id="rId1345" Type="http://schemas.openxmlformats.org/officeDocument/2006/relationships/hyperlink" Target="https://naha.bandcamp.com/album/voiding-into-the-scream" TargetMode="External"/><Relationship Id="rId2676" Type="http://schemas.openxmlformats.org/officeDocument/2006/relationships/hyperlink" Target="https://www.youtube.com/watch?v=Nc-ryTvNpOk" TargetMode="External"/><Relationship Id="rId1346" Type="http://schemas.openxmlformats.org/officeDocument/2006/relationships/hyperlink" Target="https://dismalfaterecs.bandcamp.com/album/sons-of-disgust" TargetMode="External"/><Relationship Id="rId2677" Type="http://schemas.openxmlformats.org/officeDocument/2006/relationships/hyperlink" Target="https://dyingvictimsproductions.bandcamp.com/album/ethereal-blasphemy" TargetMode="External"/><Relationship Id="rId1347" Type="http://schemas.openxmlformats.org/officeDocument/2006/relationships/hyperlink" Target="https://open.spotify.com/album/1Ni5rjDjZXienRDrWpyC1h?si=FjoIgCFgT92cKuWFGvIv0w" TargetMode="External"/><Relationship Id="rId2678" Type="http://schemas.openxmlformats.org/officeDocument/2006/relationships/hyperlink" Target="https://open.spotify.com/album/3MXigDe0ehHPpqwjNCCSRl?si=wbU7Kc7NStiFlhvUbDboMw" TargetMode="External"/><Relationship Id="rId1348" Type="http://schemas.openxmlformats.org/officeDocument/2006/relationships/hyperlink" Target="https://fugitofficial.bandcamp.com/album/cieli-di-porpora-2025" TargetMode="External"/><Relationship Id="rId2679" Type="http://schemas.openxmlformats.org/officeDocument/2006/relationships/hyperlink" Target="https://dyingvictimsproductions.bandcamp.com/album/under-the-spell" TargetMode="External"/><Relationship Id="rId1349" Type="http://schemas.openxmlformats.org/officeDocument/2006/relationships/hyperlink" Target="https://open.spotify.com/album/5AwN5zo5yqVFcn8qKWKayh?si=_vGTgkFmSAmoENaDP4v1NQ" TargetMode="External"/><Relationship Id="rId756" Type="http://schemas.openxmlformats.org/officeDocument/2006/relationships/hyperlink" Target="https://open.spotify.com/album/4bgNnGW4Ag1km39bRwePKo?si=tAEVjAYcT_K3EBhLCJXM6g" TargetMode="External"/><Relationship Id="rId755" Type="http://schemas.openxmlformats.org/officeDocument/2006/relationships/hyperlink" Target="https://cryptofthewizard.bandcamp.com/album/scimitarium-i" TargetMode="External"/><Relationship Id="rId754" Type="http://schemas.openxmlformats.org/officeDocument/2006/relationships/hyperlink" Target="https://www.youtube.com/watch?v=ozEjrPi53WA" TargetMode="External"/><Relationship Id="rId753" Type="http://schemas.openxmlformats.org/officeDocument/2006/relationships/hyperlink" Target="https://open.spotify.com/album/79LQnCGboFfLsx4sKiFXTK?si=_SBB_HUPTZawKgiNRfArBw" TargetMode="External"/><Relationship Id="rId759" Type="http://schemas.openxmlformats.org/officeDocument/2006/relationships/hyperlink" Target="https://www.youtube.com/watch?v=KwTOh5BvrDY" TargetMode="External"/><Relationship Id="rId758" Type="http://schemas.openxmlformats.org/officeDocument/2006/relationships/hyperlink" Target="https://open.spotify.com/album/5K1DEGaBSx7nnioaEIITMH?si=FrbK0T3UT9eBss88_Pp_yQ" TargetMode="External"/><Relationship Id="rId757" Type="http://schemas.openxmlformats.org/officeDocument/2006/relationships/hyperlink" Target="https://rylos.bandcamp.com/album/signs-of-life" TargetMode="External"/><Relationship Id="rId2670" Type="http://schemas.openxmlformats.org/officeDocument/2006/relationships/hyperlink" Target="https://open.spotify.com/album/18iPBDf8EDHfZWYZycxQ4I?si=0w9P7h0USeiHUqFsTxOhAg" TargetMode="External"/><Relationship Id="rId1340" Type="http://schemas.openxmlformats.org/officeDocument/2006/relationships/hyperlink" Target="https://open.spotify.com/album/3V8riKdJW9s1RhNurnlQVR?si=Lv8o5h3OR2iDiWtt6Q1fFg" TargetMode="External"/><Relationship Id="rId2671" Type="http://schemas.openxmlformats.org/officeDocument/2006/relationships/hyperlink" Target="https://www.youtube.com/watch?v=h9rpa_Hhedo" TargetMode="External"/><Relationship Id="rId752" Type="http://schemas.openxmlformats.org/officeDocument/2006/relationships/hyperlink" Target="https://handofthewicked.bandcamp.com/album/videam-dolorem" TargetMode="External"/><Relationship Id="rId1341" Type="http://schemas.openxmlformats.org/officeDocument/2006/relationships/hyperlink" Target="https://www.youtube.com/watch?v=STC2lsgU_48" TargetMode="External"/><Relationship Id="rId2672" Type="http://schemas.openxmlformats.org/officeDocument/2006/relationships/hyperlink" Target="https://lethalscissor.bandcamp.com/album/intense-digestive-release" TargetMode="External"/><Relationship Id="rId751" Type="http://schemas.openxmlformats.org/officeDocument/2006/relationships/hyperlink" Target="https://open.spotify.com/album/6Irap3opRR2pXINtFV4xo9?si=wq6LBSyfQ0Cb8PNleRdmOQ" TargetMode="External"/><Relationship Id="rId1342" Type="http://schemas.openxmlformats.org/officeDocument/2006/relationships/hyperlink" Target="https://heirbm.bandcamp.com/album/terra-triumphans-jubila" TargetMode="External"/><Relationship Id="rId2673" Type="http://schemas.openxmlformats.org/officeDocument/2006/relationships/hyperlink" Target="https://open.spotify.com/album/6dWugPCRXbAvlZvHKoGyFt?si=UmCZB1YAQ4-uNBB4TXPR-A" TargetMode="External"/><Relationship Id="rId750" Type="http://schemas.openxmlformats.org/officeDocument/2006/relationships/hyperlink" Target="https://maskedeadrecords.bandcamp.com/album/oculus-mortis" TargetMode="External"/><Relationship Id="rId1343" Type="http://schemas.openxmlformats.org/officeDocument/2006/relationships/hyperlink" Target="https://open.spotify.com/album/6YHmvRCHqeKbm2QNMK4hhR?si=_nJnGoosQ2yAVUYRx30e4Q" TargetMode="External"/><Relationship Id="rId2674" Type="http://schemas.openxmlformats.org/officeDocument/2006/relationships/hyperlink" Target="https://uboa.bandcamp.com/album/all-the-dead-melt-down-as-rain" TargetMode="External"/><Relationship Id="rId1344" Type="http://schemas.openxmlformats.org/officeDocument/2006/relationships/hyperlink" Target="https://atan2020.bandcamp.com/album/metamorphic-double-album" TargetMode="External"/><Relationship Id="rId2675" Type="http://schemas.openxmlformats.org/officeDocument/2006/relationships/hyperlink" Target="https://open.spotify.com/album/3SL7VrtmSFS63DMvgGbPnW?si=PZsbp_IoQ4SZXF7K2JdwfA" TargetMode="External"/><Relationship Id="rId2621" Type="http://schemas.openxmlformats.org/officeDocument/2006/relationships/hyperlink" Target="https://patristic.bandcamp.com/album/catechesis" TargetMode="External"/><Relationship Id="rId3953" Type="http://schemas.openxmlformats.org/officeDocument/2006/relationships/hyperlink" Target="https://postheaven.bandcamp.com/album/the-space-thats-in-between" TargetMode="External"/><Relationship Id="rId2622" Type="http://schemas.openxmlformats.org/officeDocument/2006/relationships/hyperlink" Target="https://open.spotify.com/album/5WIywyzgGBdSlHl2ItRzS0?si=l-jej4guT_yci5ET8C0xZQ" TargetMode="External"/><Relationship Id="rId3952" Type="http://schemas.openxmlformats.org/officeDocument/2006/relationships/hyperlink" Target="https://open.spotify.com/album/0r8yypLP5ZEfroKTxXFl4G?si=OSwRgVyXSKW1za4o40DHxg" TargetMode="External"/><Relationship Id="rId2623" Type="http://schemas.openxmlformats.org/officeDocument/2006/relationships/hyperlink" Target="https://www.youtube.com/watch?v=OPzCp3XZ0Uc" TargetMode="External"/><Relationship Id="rId3955" Type="http://schemas.openxmlformats.org/officeDocument/2006/relationships/hyperlink" Target="https://rippingremains.bandcamp.com/album/necrodestiny" TargetMode="External"/><Relationship Id="rId2624" Type="http://schemas.openxmlformats.org/officeDocument/2006/relationships/hyperlink" Target="https://cryptopsyofficial.bandcamp.com/album/an-insatiable-violence" TargetMode="External"/><Relationship Id="rId3954" Type="http://schemas.openxmlformats.org/officeDocument/2006/relationships/hyperlink" Target="https://open.spotify.com/album/1QeDZZoQDsGYrNVODc4xs9?si=WVXHEDj4Qzu4l4y7jWXwFQ" TargetMode="External"/><Relationship Id="rId2625" Type="http://schemas.openxmlformats.org/officeDocument/2006/relationships/hyperlink" Target="https://open.spotify.com/album/6ARvfauXC8fWRUnL1Ma8BJ?si=4qKDQTHVSpKTguX24v01mA" TargetMode="External"/><Relationship Id="rId3957" Type="http://schemas.openxmlformats.org/officeDocument/2006/relationships/hyperlink" Target="https://mriodom.bandcamp.com/album/vlies" TargetMode="External"/><Relationship Id="rId2626" Type="http://schemas.openxmlformats.org/officeDocument/2006/relationships/hyperlink" Target="https://www.youtube.com/watch?v=wFWOsXUM2JE" TargetMode="External"/><Relationship Id="rId3956" Type="http://schemas.openxmlformats.org/officeDocument/2006/relationships/hyperlink" Target="https://open.spotify.com/album/7mRSZUUPBCeNMNQC67eOey?si=Y858iFapRUadxlP1u7jF8Q" TargetMode="External"/><Relationship Id="rId2627" Type="http://schemas.openxmlformats.org/officeDocument/2006/relationships/hyperlink" Target="https://alestorm.bandcamp.com/album/the-thunderfist-chronicles" TargetMode="External"/><Relationship Id="rId3959" Type="http://schemas.openxmlformats.org/officeDocument/2006/relationships/hyperlink" Target="https://vimic.bandcamp.com/album/open-your-omen" TargetMode="External"/><Relationship Id="rId2628" Type="http://schemas.openxmlformats.org/officeDocument/2006/relationships/hyperlink" Target="https://open.spotify.com/album/6YaM548rN9XZXxSBipL4QE?si=Cp_Z8azJQD6229zYi4E1LA" TargetMode="External"/><Relationship Id="rId3958" Type="http://schemas.openxmlformats.org/officeDocument/2006/relationships/hyperlink" Target="https://open.spotify.com/album/55QsFFzaD3pHKxwvDFIvaO?si=owizSKwmTqqGZENswR6VPw" TargetMode="External"/><Relationship Id="rId709" Type="http://schemas.openxmlformats.org/officeDocument/2006/relationships/hyperlink" Target="https://crownofmadnessdm.bandcamp.com/album/memories-fragmented" TargetMode="External"/><Relationship Id="rId2629" Type="http://schemas.openxmlformats.org/officeDocument/2006/relationships/hyperlink" Target="https://malevolenceriff.bandcamp.com/album/where-only-the-truth-is-spoken" TargetMode="External"/><Relationship Id="rId708" Type="http://schemas.openxmlformats.org/officeDocument/2006/relationships/hyperlink" Target="https://open.spotify.com/album/7jPUELc2T48uLDG7mBiWlP?si=rwec0XwxSTyr5uKQeTT8OA" TargetMode="External"/><Relationship Id="rId707" Type="http://schemas.openxmlformats.org/officeDocument/2006/relationships/hyperlink" Target="https://redeyeofdoom.bandcamp.com/album/iii" TargetMode="External"/><Relationship Id="rId706" Type="http://schemas.openxmlformats.org/officeDocument/2006/relationships/hyperlink" Target="https://open.spotify.com/album/5O2FZkWQhyE5bI7HZooj2i?si=U0KJEQg0TKOABNtJMcnzvA" TargetMode="External"/><Relationship Id="rId701" Type="http://schemas.openxmlformats.org/officeDocument/2006/relationships/hyperlink" Target="https://havukruunu.bandcamp.com/album/tavastland" TargetMode="External"/><Relationship Id="rId700" Type="http://schemas.openxmlformats.org/officeDocument/2006/relationships/hyperlink" Target="https://open.spotify.com/album/6O6qrokAUZwdLGAYe5kjSr?si=DVMcax0DT-yIcI8pUKPJIw" TargetMode="External"/><Relationship Id="rId705" Type="http://schemas.openxmlformats.org/officeDocument/2006/relationships/hyperlink" Target="https://serenityinmurder.bandcamp.com/album/timeless-reverie" TargetMode="External"/><Relationship Id="rId704" Type="http://schemas.openxmlformats.org/officeDocument/2006/relationships/hyperlink" Target="https://www.youtube.com/watch?v=vf8eB0JOQkE" TargetMode="External"/><Relationship Id="rId703" Type="http://schemas.openxmlformats.org/officeDocument/2006/relationships/hyperlink" Target="https://darkdescentrecords.bandcamp.com/album/crimson-moon-evocations" TargetMode="External"/><Relationship Id="rId702" Type="http://schemas.openxmlformats.org/officeDocument/2006/relationships/hyperlink" Target="https://open.spotify.com/album/5eZepzGtcfe5C94lkdeiYz?si=Hd6HPB9iSxSRYtch5P6PFg" TargetMode="External"/><Relationship Id="rId3951" Type="http://schemas.openxmlformats.org/officeDocument/2006/relationships/hyperlink" Target="https://vanessafunke.bandcamp.com/album/requiem" TargetMode="External"/><Relationship Id="rId2620" Type="http://schemas.openxmlformats.org/officeDocument/2006/relationships/hyperlink" Target="https://open.spotify.com/album/3va243uWD2AbL1mZfdtnHM?si=1ku0QJfJRLmLxjlYXRlnSA" TargetMode="External"/><Relationship Id="rId3950" Type="http://schemas.openxmlformats.org/officeDocument/2006/relationships/hyperlink" Target="https://www.youtube.com/watch?v=uvuADKHZxZg" TargetMode="External"/><Relationship Id="rId2610" Type="http://schemas.openxmlformats.org/officeDocument/2006/relationships/hyperlink" Target="https://helheim.bandcamp.com/album/hrabnar-ad-vesa" TargetMode="External"/><Relationship Id="rId3942" Type="http://schemas.openxmlformats.org/officeDocument/2006/relationships/hyperlink" Target="https://pityfountain613.bandcamp.com/album/life-is-just" TargetMode="External"/><Relationship Id="rId2611" Type="http://schemas.openxmlformats.org/officeDocument/2006/relationships/hyperlink" Target="https://open.spotify.com/album/0Hd1hxPMbamDiBiIAeKIWo?si=c7m3AxRXTCyjCVBGEsbKRw" TargetMode="External"/><Relationship Id="rId3941" Type="http://schemas.openxmlformats.org/officeDocument/2006/relationships/hyperlink" Target="https://open.spotify.com/album/5Wc1QUBhc88qaXIyTgMkrB?si=fdTnIkv8Tvud-BiW4pBT5Q" TargetMode="External"/><Relationship Id="rId2612" Type="http://schemas.openxmlformats.org/officeDocument/2006/relationships/hyperlink" Target="https://skjolden.bandcamp.com/album/insouciant-metaphysical-grandeur" TargetMode="External"/><Relationship Id="rId3944" Type="http://schemas.openxmlformats.org/officeDocument/2006/relationships/hyperlink" Target="https://ghastza.bandcamp.com/album/fear-is-the-blessing" TargetMode="External"/><Relationship Id="rId2613" Type="http://schemas.openxmlformats.org/officeDocument/2006/relationships/hyperlink" Target="https://open.spotify.com/album/329zfNIn69reepIRN1NKNy?si=sBmTcJiZQKiZUQpBQXbW-Q" TargetMode="External"/><Relationship Id="rId3943" Type="http://schemas.openxmlformats.org/officeDocument/2006/relationships/hyperlink" Target="https://open.spotify.com/album/5n4WtNYj6pqdyjS87nb9LY?si=cgC0wk1MTIWqulPZCf5Hkw" TargetMode="External"/><Relationship Id="rId2614" Type="http://schemas.openxmlformats.org/officeDocument/2006/relationships/hyperlink" Target="https://varhara666.bandcamp.com/album/the-first-breath-after" TargetMode="External"/><Relationship Id="rId3946" Type="http://schemas.openxmlformats.org/officeDocument/2006/relationships/hyperlink" Target="https://constrictgrindcore.bandcamp.com/album/kadavergehorsam" TargetMode="External"/><Relationship Id="rId2615" Type="http://schemas.openxmlformats.org/officeDocument/2006/relationships/hyperlink" Target="https://open.spotify.com/album/0MfLcxJmrMTOm3FDemzYaf?si=YLGgFMS-SLK6ISVtNnIcmg" TargetMode="External"/><Relationship Id="rId3945" Type="http://schemas.openxmlformats.org/officeDocument/2006/relationships/hyperlink" Target="https://open.spotify.com/album/6BpTl0GVvEGHE99VTh8PDa?si=emHYQ-n5RXWuTezbvu-4Ew" TargetMode="External"/><Relationship Id="rId2616" Type="http://schemas.openxmlformats.org/officeDocument/2006/relationships/hyperlink" Target="https://www.youtube.com/watch?v=JrmvhSWqddk" TargetMode="External"/><Relationship Id="rId3948" Type="http://schemas.openxmlformats.org/officeDocument/2006/relationships/hyperlink" Target="https://carbonizedrecords.bandcamp.com/album/d-mocide" TargetMode="External"/><Relationship Id="rId2617" Type="http://schemas.openxmlformats.org/officeDocument/2006/relationships/hyperlink" Target="https://cocojoey.bandcamp.com/album/stars" TargetMode="External"/><Relationship Id="rId3947" Type="http://schemas.openxmlformats.org/officeDocument/2006/relationships/hyperlink" Target="https://open.spotify.com/album/3qr07jfhVCYnhML729z8Yy?si=Wce-7sDRRLCi7JYVyiZwxg" TargetMode="External"/><Relationship Id="rId2618" Type="http://schemas.openxmlformats.org/officeDocument/2006/relationships/hyperlink" Target="https://open.spotify.com/album/6HCmgyj4zFKvf8AgZN9VUS?si=mWLB8uokSZ2griY4baQ8fQ" TargetMode="External"/><Relationship Id="rId2619" Type="http://schemas.openxmlformats.org/officeDocument/2006/relationships/hyperlink" Target="https://joliette.bandcamp.com/album/p-rdidas-variables-2" TargetMode="External"/><Relationship Id="rId3949" Type="http://schemas.openxmlformats.org/officeDocument/2006/relationships/hyperlink" Target="https://open.spotify.com/album/066lBk5ecipARXz8xk5ZKi?si=jUkgLoVHSveCosTJjK7k1g" TargetMode="External"/><Relationship Id="rId3940" Type="http://schemas.openxmlformats.org/officeDocument/2006/relationships/hyperlink" Target="https://doloremrecords.bandcamp.com/album/soul-awakening-album" TargetMode="External"/><Relationship Id="rId1312" Type="http://schemas.openxmlformats.org/officeDocument/2006/relationships/hyperlink" Target="https://open.spotify.com/album/2yw7OeeX0xziJE0OMt6xme?si=M-nnZlt8RBeP_HLNnwgT3A" TargetMode="External"/><Relationship Id="rId2643" Type="http://schemas.openxmlformats.org/officeDocument/2006/relationships/hyperlink" Target="https://gylt.bandcamp.com/album/i-will-commit-a-holy-crime-tandem" TargetMode="External"/><Relationship Id="rId3975" Type="http://schemas.openxmlformats.org/officeDocument/2006/relationships/hyperlink" Target="https://open.spotify.com/album/7HR5fQPmPoBB4V8ymlTFe6?si=TyYiL50sQtK6xZqHlxAsWg" TargetMode="External"/><Relationship Id="rId1313" Type="http://schemas.openxmlformats.org/officeDocument/2006/relationships/hyperlink" Target="https://www.youtube.com/watch?v=7QePFClkwkc" TargetMode="External"/><Relationship Id="rId2644" Type="http://schemas.openxmlformats.org/officeDocument/2006/relationships/hyperlink" Target="https://open.spotify.com/album/3lchD9BzC5wAaMhCpdYsW6?si=OlkUmNrbSISEpDZmhyJAhg" TargetMode="External"/><Relationship Id="rId3974" Type="http://schemas.openxmlformats.org/officeDocument/2006/relationships/hyperlink" Target="https://sutratma.bandcamp.com/album/adrift" TargetMode="External"/><Relationship Id="rId1314" Type="http://schemas.openxmlformats.org/officeDocument/2006/relationships/hyperlink" Target="https://purenoise.bandcamp.com/album/burn-yourself-alive" TargetMode="External"/><Relationship Id="rId2645" Type="http://schemas.openxmlformats.org/officeDocument/2006/relationships/hyperlink" Target="https://ravinepdx.bandcamp.com/album/chaos-and-catastrophes" TargetMode="External"/><Relationship Id="rId3977" Type="http://schemas.openxmlformats.org/officeDocument/2006/relationships/hyperlink" Target="https://ludicraofficial.bandcamp.com/album/live-at-the-great-american-music-hall" TargetMode="External"/><Relationship Id="rId1315" Type="http://schemas.openxmlformats.org/officeDocument/2006/relationships/hyperlink" Target="https://open.spotify.com/album/2cblLN2ukSrH3Pt3aUZFuj?si=MqyQF5XATqWnAU-xa5V9Cg" TargetMode="External"/><Relationship Id="rId2646" Type="http://schemas.openxmlformats.org/officeDocument/2006/relationships/hyperlink" Target="https://open.spotify.com/album/0pnHxkyknaX0WjIHFPjnPz?si=OaDoibYHRTGq-d5W4XZtLA" TargetMode="External"/><Relationship Id="rId3976" Type="http://schemas.openxmlformats.org/officeDocument/2006/relationships/hyperlink" Target="https://nostalghia-ab.bandcamp.com/album/void-ecstasy" TargetMode="External"/><Relationship Id="rId1316" Type="http://schemas.openxmlformats.org/officeDocument/2006/relationships/hyperlink" Target="https://orbitalgate.bandcamp.com/album/demonstration-of-post-apocalyptic-warfare" TargetMode="External"/><Relationship Id="rId2647" Type="http://schemas.openxmlformats.org/officeDocument/2006/relationships/hyperlink" Target="https://maunah.bandcamp.com/album/heimaland-2" TargetMode="External"/><Relationship Id="rId3979" Type="http://schemas.openxmlformats.org/officeDocument/2006/relationships/hyperlink" Target="https://naufraage.bandcamp.com/album/les-d-ferlantes" TargetMode="External"/><Relationship Id="rId1317" Type="http://schemas.openxmlformats.org/officeDocument/2006/relationships/hyperlink" Target="https://noevdia.bandcamp.com/album/vortex-of-the-destroyer" TargetMode="External"/><Relationship Id="rId2648" Type="http://schemas.openxmlformats.org/officeDocument/2006/relationships/hyperlink" Target="https://open.spotify.com/album/63RHM5letb3eobiunoB5Ne?si=FyfEWhTXTdiR8zpITN8KHw" TargetMode="External"/><Relationship Id="rId3978" Type="http://schemas.openxmlformats.org/officeDocument/2006/relationships/hyperlink" Target="https://open.spotify.com/album/1YdjlYmZ17PoCUVjSqfqRZ?si=cSFOjihHSTSPh_g2295krQ" TargetMode="External"/><Relationship Id="rId1318" Type="http://schemas.openxmlformats.org/officeDocument/2006/relationships/hyperlink" Target="https://open.spotify.com/album/6F7ObfwlcYzc2QiKn8eG1p?si=eoZoDCrlQoSk0Uzr9XWBGw" TargetMode="External"/><Relationship Id="rId2649" Type="http://schemas.openxmlformats.org/officeDocument/2006/relationships/hyperlink" Target="https://nuee-ardente.bandcamp.com/album/le-carillion-des-eaux-sacr-es" TargetMode="External"/><Relationship Id="rId1319" Type="http://schemas.openxmlformats.org/officeDocument/2006/relationships/hyperlink" Target="https://www.youtube.com/watch?v=L0RtoWPwOXA" TargetMode="External"/><Relationship Id="rId729" Type="http://schemas.openxmlformats.org/officeDocument/2006/relationships/hyperlink" Target="https://open.spotify.com/album/5W3Uw0MWDnca1Ch87V52K7?si=N-kvSxjqQumV55CmeCIm_Q" TargetMode="External"/><Relationship Id="rId728" Type="http://schemas.openxmlformats.org/officeDocument/2006/relationships/hyperlink" Target="https://avantasia.bandcamp.com/album/here-be-dragons" TargetMode="External"/><Relationship Id="rId723" Type="http://schemas.openxmlformats.org/officeDocument/2006/relationships/hyperlink" Target="https://open.spotify.com/album/2tjfwRManUCHDFpJ8Tmhx4?si=4AkJPfoyQKujpde_8E-eTQ" TargetMode="External"/><Relationship Id="rId722" Type="http://schemas.openxmlformats.org/officeDocument/2006/relationships/hyperlink" Target="https://exhalus.bandcamp.com/album/inexorable-decay" TargetMode="External"/><Relationship Id="rId721" Type="http://schemas.openxmlformats.org/officeDocument/2006/relationships/hyperlink" Target="https://www.youtube.com/watch?v=TiXaUC1wrzg" TargetMode="External"/><Relationship Id="rId720" Type="http://schemas.openxmlformats.org/officeDocument/2006/relationships/hyperlink" Target="https://open.spotify.com/album/4y1tYRgsnllvoRMTzYV2CC?si=rKjwiNH-T3ixszFrMQ6frw" TargetMode="External"/><Relationship Id="rId727" Type="http://schemas.openxmlformats.org/officeDocument/2006/relationships/hyperlink" Target="https://www.youtube.com/watch?v=crH8Pf_g8C0" TargetMode="External"/><Relationship Id="rId726" Type="http://schemas.openxmlformats.org/officeDocument/2006/relationships/hyperlink" Target="https://open.spotify.com/album/0m76Ii3nENi6OWXrSeIQgr?si=ZD7apfTORW-DJAAkTdc0Tw" TargetMode="External"/><Relationship Id="rId725" Type="http://schemas.openxmlformats.org/officeDocument/2006/relationships/hyperlink" Target="https://everlastingspew.bandcamp.com/album/deranged-excruciations" TargetMode="External"/><Relationship Id="rId724" Type="http://schemas.openxmlformats.org/officeDocument/2006/relationships/hyperlink" Target="https://open.spotify.com/album/6o4g14eoR5pb5ogKfAdBCB?si=Ejdne2k9T-CWL7eyjAsE0A" TargetMode="External"/><Relationship Id="rId3971" Type="http://schemas.openxmlformats.org/officeDocument/2006/relationships/hyperlink" Target="https://www.youtube.com/watch?v=00ZLfsX5wIA" TargetMode="External"/><Relationship Id="rId2640" Type="http://schemas.openxmlformats.org/officeDocument/2006/relationships/hyperlink" Target="https://open.spotify.com/album/01VBjdP4OqldZuwg7elPQR?si=l6nBVJeFQ7CS8cBqu66qzg" TargetMode="External"/><Relationship Id="rId3970" Type="http://schemas.openxmlformats.org/officeDocument/2006/relationships/hyperlink" Target="https://open.spotify.com/album/4iSN9bof3gDFFcJ9aUKDcf?si=cP3CQjknRuuYTgluiDgnog" TargetMode="External"/><Relationship Id="rId1310" Type="http://schemas.openxmlformats.org/officeDocument/2006/relationships/hyperlink" Target="https://www.youtube.com/watch?v=rvc9_syUMS8" TargetMode="External"/><Relationship Id="rId2641" Type="http://schemas.openxmlformats.org/officeDocument/2006/relationships/hyperlink" Target="https://chaos-records.bandcamp.com/album/depulsus" TargetMode="External"/><Relationship Id="rId3973" Type="http://schemas.openxmlformats.org/officeDocument/2006/relationships/hyperlink" Target="https://open.spotify.com/album/5goQVtCuSkX5dBmxN0P5r7?si=B2teVX0bQu2Qe9EfNSlijg" TargetMode="External"/><Relationship Id="rId1311" Type="http://schemas.openxmlformats.org/officeDocument/2006/relationships/hyperlink" Target="https://decrepisy.bandcamp.com/album/deific-mourning" TargetMode="External"/><Relationship Id="rId2642" Type="http://schemas.openxmlformats.org/officeDocument/2006/relationships/hyperlink" Target="https://open.spotify.com/album/73Yp5ZFXQIXuBQ0tVKZKaT?si=EChXqt89QPWXyUaLtUY-bw" TargetMode="External"/><Relationship Id="rId3972" Type="http://schemas.openxmlformats.org/officeDocument/2006/relationships/hyperlink" Target="https://sapatamusic.bandcamp.com/album/veins" TargetMode="External"/><Relationship Id="rId1301" Type="http://schemas.openxmlformats.org/officeDocument/2006/relationships/hyperlink" Target="https://open.spotify.com/album/4VC2MlL0DWlcgVVCLC3sbt?si=5B4h7RQqTP-oIdZuOEaFGg" TargetMode="External"/><Relationship Id="rId2632" Type="http://schemas.openxmlformats.org/officeDocument/2006/relationships/hyperlink" Target="https://open.spotify.com/album/7lnhBms5ZBouaeLdAG3FPv?si=zoOksuXXTGykke1b8rtAnQ" TargetMode="External"/><Relationship Id="rId3964" Type="http://schemas.openxmlformats.org/officeDocument/2006/relationships/hyperlink" Target="https://open.spotify.com/album/3n7SqZX0Iuvw61aYcYDy1Y?si=sNODiKQlSRisz4ctoQFZ9Q" TargetMode="External"/><Relationship Id="rId1302" Type="http://schemas.openxmlformats.org/officeDocument/2006/relationships/hyperlink" Target="https://chambermage.bandcamp.com/album/by-light-of-emerald-gods" TargetMode="External"/><Relationship Id="rId2633" Type="http://schemas.openxmlformats.org/officeDocument/2006/relationships/hyperlink" Target="https://www.youtube.com/watch?v=CbyWTjtmdPY" TargetMode="External"/><Relationship Id="rId3963" Type="http://schemas.openxmlformats.org/officeDocument/2006/relationships/hyperlink" Target="https://timesforgotten.bandcamp.com/album/songs-of-awakening" TargetMode="External"/><Relationship Id="rId1303" Type="http://schemas.openxmlformats.org/officeDocument/2006/relationships/hyperlink" Target="https://open.spotify.com/album/3r3k5r7garE6diX36tqIMZ?si=loJPwE4fRBmEWw_o69ZzjQ" TargetMode="External"/><Relationship Id="rId2634" Type="http://schemas.openxmlformats.org/officeDocument/2006/relationships/hyperlink" Target="https://deathpillgrrrlz.bandcamp.com/album/sologamy" TargetMode="External"/><Relationship Id="rId3966" Type="http://schemas.openxmlformats.org/officeDocument/2006/relationships/hyperlink" Target="https://open.spotify.com/album/4igvu42AvZneONQBVIxnqJ?si=IfrrHpHbSLiZ_OP-pnKmdQ" TargetMode="External"/><Relationship Id="rId1304" Type="http://schemas.openxmlformats.org/officeDocument/2006/relationships/hyperlink" Target="https://serpentrider.bandcamp.com/album/the-ichor-of-chimaera" TargetMode="External"/><Relationship Id="rId2635" Type="http://schemas.openxmlformats.org/officeDocument/2006/relationships/hyperlink" Target="https://open.spotify.com/album/4r4F2iG08LmlUz81golbOn?si=DlTxYnWNRyW8sGmJ5XUvRw" TargetMode="External"/><Relationship Id="rId3965" Type="http://schemas.openxmlformats.org/officeDocument/2006/relationships/hyperlink" Target="https://scalding.bandcamp.com/album/nuclear-winter-spell" TargetMode="External"/><Relationship Id="rId1305" Type="http://schemas.openxmlformats.org/officeDocument/2006/relationships/hyperlink" Target="https://open.spotify.com/album/1Wd7EO9hLngSclCgJTQ8at?si=PtD6vwNRQAWpGXVVpk3jnw" TargetMode="External"/><Relationship Id="rId2636" Type="http://schemas.openxmlformats.org/officeDocument/2006/relationships/hyperlink" Target="https://helmsdeep666.bandcamp.com/album/chasing-the-dragon" TargetMode="External"/><Relationship Id="rId3968" Type="http://schemas.openxmlformats.org/officeDocument/2006/relationships/hyperlink" Target="https://open.spotify.com/album/1klCtIjK7jyuBE6Tu2XTrT?si=GXo6W7hpQg2qEOANqskJ9g" TargetMode="External"/><Relationship Id="rId1306" Type="http://schemas.openxmlformats.org/officeDocument/2006/relationships/hyperlink" Target="https://doomsdaycahc.bandcamp.com/album/never-known-peace" TargetMode="External"/><Relationship Id="rId2637" Type="http://schemas.openxmlformats.org/officeDocument/2006/relationships/hyperlink" Target="https://purenoise.bandcamp.com/album/all-the-devils-are-here" TargetMode="External"/><Relationship Id="rId3967" Type="http://schemas.openxmlformats.org/officeDocument/2006/relationships/hyperlink" Target="https://lordalienoire.bandcamp.com/album/enfe" TargetMode="External"/><Relationship Id="rId1307" Type="http://schemas.openxmlformats.org/officeDocument/2006/relationships/hyperlink" Target="https://open.spotify.com/album/7o09laRAatmSqCAqXRfFcR?si=jDsp-DCSSsmDN8VafY84bA" TargetMode="External"/><Relationship Id="rId2638" Type="http://schemas.openxmlformats.org/officeDocument/2006/relationships/hyperlink" Target="https://open.spotify.com/album/6EaGIImIE0Nt9jBo4KOQQE?si=ffEmZ5EyTAWihCwI4Iyv5g" TargetMode="External"/><Relationship Id="rId1308" Type="http://schemas.openxmlformats.org/officeDocument/2006/relationships/hyperlink" Target="https://sammale.bandcamp.com/album/ikiharmaja" TargetMode="External"/><Relationship Id="rId2639" Type="http://schemas.openxmlformats.org/officeDocument/2006/relationships/hyperlink" Target="https://cherrri.bandcamp.com/album/eye-teeth" TargetMode="External"/><Relationship Id="rId3969" Type="http://schemas.openxmlformats.org/officeDocument/2006/relationships/hyperlink" Target="https://inritvm.bandcamp.com/album/ex-nihilo-ad-nihilum" TargetMode="External"/><Relationship Id="rId1309" Type="http://schemas.openxmlformats.org/officeDocument/2006/relationships/hyperlink" Target="https://open.spotify.com/album/0gAQTVhYbLKLhxtXgIdRjR?si=rlUy_gh_QXSh5wpOKuOjEA" TargetMode="External"/><Relationship Id="rId719" Type="http://schemas.openxmlformats.org/officeDocument/2006/relationships/hyperlink" Target="https://broncodoom.bandcamp.com/album/bronco" TargetMode="External"/><Relationship Id="rId718" Type="http://schemas.openxmlformats.org/officeDocument/2006/relationships/hyperlink" Target="https://www.youtube.com/watch?v=z-LjdLE-Tcg" TargetMode="External"/><Relationship Id="rId717" Type="http://schemas.openxmlformats.org/officeDocument/2006/relationships/hyperlink" Target="https://open.spotify.com/album/2G5rWXF5MnQHOLZ6Mh2Ff1?si=4_bT3P-4TWCJUdDb35LB5g" TargetMode="External"/><Relationship Id="rId712" Type="http://schemas.openxmlformats.org/officeDocument/2006/relationships/hyperlink" Target="https://terzieledoom.bandcamp.com/album/embodiment-of-death" TargetMode="External"/><Relationship Id="rId711" Type="http://schemas.openxmlformats.org/officeDocument/2006/relationships/hyperlink" Target="https://www.youtube.com/watch?v=5pH0qMPkFnk" TargetMode="External"/><Relationship Id="rId710" Type="http://schemas.openxmlformats.org/officeDocument/2006/relationships/hyperlink" Target="https://open.spotify.com/album/05JZpNtEGteQpQLu4lESAv?si=6Lzn5JcfToSsw4Nmif0ytg" TargetMode="External"/><Relationship Id="rId716" Type="http://schemas.openxmlformats.org/officeDocument/2006/relationships/hyperlink" Target="https://yearofthecobra.bandcamp.com/album/year-of-the-cobra" TargetMode="External"/><Relationship Id="rId715" Type="http://schemas.openxmlformats.org/officeDocument/2006/relationships/hyperlink" Target="https://open.spotify.com/album/346zJAybtngzxs4nlY5hi9?si=Y4wxTJAyQjK2TMa0HuRTAA" TargetMode="External"/><Relationship Id="rId714" Type="http://schemas.openxmlformats.org/officeDocument/2006/relationships/hyperlink" Target="https://grima.bandcamp.com/album/nightside" TargetMode="External"/><Relationship Id="rId713" Type="http://schemas.openxmlformats.org/officeDocument/2006/relationships/hyperlink" Target="https://open.spotify.com/album/6G5BNY3lg9uuKnngayPB3W?si=pvRTsT8mT3mDtQ9afXZWYg" TargetMode="External"/><Relationship Id="rId3960" Type="http://schemas.openxmlformats.org/officeDocument/2006/relationships/hyperlink" Target="https://open.spotify.com/album/0g4hAfq0E9ggfL6AEOXSK3?si=BUQMf4z3TCm7W3ZHVSiWrQ" TargetMode="External"/><Relationship Id="rId2630" Type="http://schemas.openxmlformats.org/officeDocument/2006/relationships/hyperlink" Target="https://open.spotify.com/album/1qs6bVTbcreJUBB3yuspkq?si=vJye5yeZSLSJzrxBeLxRaQ" TargetMode="External"/><Relationship Id="rId3962" Type="http://schemas.openxmlformats.org/officeDocument/2006/relationships/hyperlink" Target="https://open.spotify.com/album/4ZnmSHI0NwXHyh7FV5VkuR?si=hbyHqBmKSk6suidFipOsJg" TargetMode="External"/><Relationship Id="rId1300" Type="http://schemas.openxmlformats.org/officeDocument/2006/relationships/hyperlink" Target="https://weareallforlorn.bandcamp.com/album/aether" TargetMode="External"/><Relationship Id="rId2631" Type="http://schemas.openxmlformats.org/officeDocument/2006/relationships/hyperlink" Target="https://imhatarikat.bandcamp.com/album/confessing-darkness" TargetMode="External"/><Relationship Id="rId3961" Type="http://schemas.openxmlformats.org/officeDocument/2006/relationships/hyperlink" Target="https://agartha4.bandcamp.com/album/the-hidden" TargetMode="External"/><Relationship Id="rId3117" Type="http://schemas.openxmlformats.org/officeDocument/2006/relationships/hyperlink" Target="https://open.spotify.com/album/0EcaDgOPIz0r0QIjlTZso4?si=Vo4OvRkeR-qVSucO1Th47A" TargetMode="External"/><Relationship Id="rId4448" Type="http://schemas.openxmlformats.org/officeDocument/2006/relationships/hyperlink" Target="https://buzzarddoomfolk.bandcamp.com/album/everything-is-not-going-to-be-alright" TargetMode="External"/><Relationship Id="rId3116" Type="http://schemas.openxmlformats.org/officeDocument/2006/relationships/hyperlink" Target="https://monoptera.bandcamp.com/album/boundless-voyager" TargetMode="External"/><Relationship Id="rId4447" Type="http://schemas.openxmlformats.org/officeDocument/2006/relationships/hyperlink" Target="https://217pescarahardcore.bandcamp.com/album/in-your-gaze" TargetMode="External"/><Relationship Id="rId3119" Type="http://schemas.openxmlformats.org/officeDocument/2006/relationships/hyperlink" Target="https://open.spotify.com/album/1NbsQkDCOlQYvsqDL1ihCf?si=XMw-R31TTiiECtKm3j7aEA" TargetMode="External"/><Relationship Id="rId3118" Type="http://schemas.openxmlformats.org/officeDocument/2006/relationships/hyperlink" Target="https://asunojokei.bandcamp.com/album/think-of-you" TargetMode="External"/><Relationship Id="rId4449" Type="http://schemas.openxmlformats.org/officeDocument/2006/relationships/hyperlink" Target="https://mourniaty.bandcamp.com/album/musta-maa" TargetMode="External"/><Relationship Id="rId4440" Type="http://schemas.openxmlformats.org/officeDocument/2006/relationships/hyperlink" Target="https://coldinberlin.bandcamp.com/album/wounds" TargetMode="External"/><Relationship Id="rId3111" Type="http://schemas.openxmlformats.org/officeDocument/2006/relationships/hyperlink" Target="https://open.spotify.com/album/1BjjPKRR72Q6CngxJ8eP4C?si=M59AxOyiRTSJEMtr2m2-Tg" TargetMode="External"/><Relationship Id="rId4442" Type="http://schemas.openxmlformats.org/officeDocument/2006/relationships/hyperlink" Target="https://espritdair.bandcamp.com/album/aeons" TargetMode="External"/><Relationship Id="rId3110" Type="http://schemas.openxmlformats.org/officeDocument/2006/relationships/hyperlink" Target="https://technologist.bandcamp.com/album/reborn" TargetMode="External"/><Relationship Id="rId4441" Type="http://schemas.openxmlformats.org/officeDocument/2006/relationships/hyperlink" Target="https://comatosemusic.bandcamp.com/album/dejection-chrysalis" TargetMode="External"/><Relationship Id="rId3113" Type="http://schemas.openxmlformats.org/officeDocument/2006/relationships/hyperlink" Target="https://open.spotify.com/album/1LnxuiE9xcRJJbBhCGQJTB?si=DULaEIOkTWOn4n65Hbc_0A" TargetMode="External"/><Relationship Id="rId4444" Type="http://schemas.openxmlformats.org/officeDocument/2006/relationships/hyperlink" Target="https://barrenheir.bandcamp.com/album/far-from" TargetMode="External"/><Relationship Id="rId3112" Type="http://schemas.openxmlformats.org/officeDocument/2006/relationships/hyperlink" Target="https://gridlink.bandcamp.com/album/perfect-amber" TargetMode="External"/><Relationship Id="rId4443" Type="http://schemas.openxmlformats.org/officeDocument/2006/relationships/hyperlink" Target="https://madvantage.bandcamp.com/album/minutiae" TargetMode="External"/><Relationship Id="rId3115" Type="http://schemas.openxmlformats.org/officeDocument/2006/relationships/hyperlink" Target="https://open.spotify.com/album/2bYk8l2JktDtf2kY4TEHzX?si=S33CBn8mRnCtE_AO3rfwgA" TargetMode="External"/><Relationship Id="rId4446" Type="http://schemas.openxmlformats.org/officeDocument/2006/relationships/hyperlink" Target="https://zakaz.bandcamp.com/album/merki-s-lar-2" TargetMode="External"/><Relationship Id="rId3114" Type="http://schemas.openxmlformats.org/officeDocument/2006/relationships/hyperlink" Target="https://chemirocha.bandcamp.com/album/short-lived-fantasies-of-a-two-winged-dream" TargetMode="External"/><Relationship Id="rId4445" Type="http://schemas.openxmlformats.org/officeDocument/2006/relationships/hyperlink" Target="https://mauditsofficiel.bandcamp.com/album/in-situ" TargetMode="External"/><Relationship Id="rId3106" Type="http://schemas.openxmlformats.org/officeDocument/2006/relationships/hyperlink" Target="https://deha.bandcamp.com/album/ashes-as-rain" TargetMode="External"/><Relationship Id="rId4437" Type="http://schemas.openxmlformats.org/officeDocument/2006/relationships/hyperlink" Target="https://beastwars.bandcamp.com/album/the-ship-the-sea" TargetMode="External"/><Relationship Id="rId3105" Type="http://schemas.openxmlformats.org/officeDocument/2006/relationships/hyperlink" Target="https://celestialsovereignty.bandcamp.com/album/progeny-of-fulgor" TargetMode="External"/><Relationship Id="rId4436" Type="http://schemas.openxmlformats.org/officeDocument/2006/relationships/hyperlink" Target="https://signsofextinction.bandcamp.com/album/the-post-human-manifesto" TargetMode="External"/><Relationship Id="rId3108" Type="http://schemas.openxmlformats.org/officeDocument/2006/relationships/hyperlink" Target="https://protagonistmusic.bandcamp.com/album/four-color-black" TargetMode="External"/><Relationship Id="rId4439" Type="http://schemas.openxmlformats.org/officeDocument/2006/relationships/hyperlink" Target="https://gloriousdepravity-label.bandcamp.com/album/death-never-sleeps" TargetMode="External"/><Relationship Id="rId3107" Type="http://schemas.openxmlformats.org/officeDocument/2006/relationships/hyperlink" Target="https://leatherhearsesl.bandcamp.com/album/burn-in-heaven-ii" TargetMode="External"/><Relationship Id="rId4438" Type="http://schemas.openxmlformats.org/officeDocument/2006/relationships/hyperlink" Target="https://ripplemusic.bandcamp.com/album/unrest-in-the-west" TargetMode="External"/><Relationship Id="rId3109" Type="http://schemas.openxmlformats.org/officeDocument/2006/relationships/hyperlink" Target="https://open.spotify.com/album/3z664U9l4sXrFjdY38jEUl?si=aCnDI02GS5yKayYrcZC86w" TargetMode="External"/><Relationship Id="rId3100" Type="http://schemas.openxmlformats.org/officeDocument/2006/relationships/hyperlink" Target="https://lommi.bandcamp.com/album/667788" TargetMode="External"/><Relationship Id="rId4431" Type="http://schemas.openxmlformats.org/officeDocument/2006/relationships/hyperlink" Target="https://pallbearer.bandcamp.com/album/foundations-of-burden-2025-redux" TargetMode="External"/><Relationship Id="rId4430" Type="http://schemas.openxmlformats.org/officeDocument/2006/relationships/hyperlink" Target="https://heavypsychsoundsrecords.bandcamp.com/album/softsun-eternal-sunrise" TargetMode="External"/><Relationship Id="rId3102" Type="http://schemas.openxmlformats.org/officeDocument/2006/relationships/hyperlink" Target="https://harvested.bandcamp.com/album/dysthymia" TargetMode="External"/><Relationship Id="rId4433" Type="http://schemas.openxmlformats.org/officeDocument/2006/relationships/hyperlink" Target="https://www.youtube.com/watch?v=CMyK4SwCwhw" TargetMode="External"/><Relationship Id="rId3101" Type="http://schemas.openxmlformats.org/officeDocument/2006/relationships/hyperlink" Target="https://sinseermusic.bandcamp.com/album/arrival" TargetMode="External"/><Relationship Id="rId4432" Type="http://schemas.openxmlformats.org/officeDocument/2006/relationships/hyperlink" Target="https://blackmetalwaldgefluester.bandcamp.com/album/knochenges-nge" TargetMode="External"/><Relationship Id="rId3104" Type="http://schemas.openxmlformats.org/officeDocument/2006/relationships/hyperlink" Target="https://victimoffire.bandcamp.com/album/the-old-lie" TargetMode="External"/><Relationship Id="rId4435" Type="http://schemas.openxmlformats.org/officeDocument/2006/relationships/hyperlink" Target="https://www.youtube.com/watch?v=SOGBL4kVjlA" TargetMode="External"/><Relationship Id="rId3103" Type="http://schemas.openxmlformats.org/officeDocument/2006/relationships/hyperlink" Target="https://tarpitdoom.bandcamp.com/album/scrying-the-angel-gate" TargetMode="External"/><Relationship Id="rId4434" Type="http://schemas.openxmlformats.org/officeDocument/2006/relationships/hyperlink" Target="https://blackmetalwaldgefluester.bandcamp.com/album/knochenges-nge-ii" TargetMode="External"/><Relationship Id="rId3139" Type="http://schemas.openxmlformats.org/officeDocument/2006/relationships/hyperlink" Target="https://centurymedia.bandcamp.com/album/crimson-ii-remix-2025-24-bit-hd-audio" TargetMode="External"/><Relationship Id="rId3138" Type="http://schemas.openxmlformats.org/officeDocument/2006/relationships/hyperlink" Target="https://open.spotify.com/album/2gOH4r3e8WiMjuShCXqGxY?si=Qp2nd5gVSTa_rnGWFi221Q" TargetMode="External"/><Relationship Id="rId4469" Type="http://schemas.openxmlformats.org/officeDocument/2006/relationships/hyperlink" Target="https://i-voidhangerrecords.bandcamp.com/album/the-hermetic-way" TargetMode="External"/><Relationship Id="rId4460" Type="http://schemas.openxmlformats.org/officeDocument/2006/relationships/hyperlink" Target="https://nucleardudes.bandcamp.com/album/skeletal-blasphemy" TargetMode="External"/><Relationship Id="rId3131" Type="http://schemas.openxmlformats.org/officeDocument/2006/relationships/hyperlink" Target="https://firstborne.bandcamp.com/album/lucky" TargetMode="External"/><Relationship Id="rId4462" Type="http://schemas.openxmlformats.org/officeDocument/2006/relationships/hyperlink" Target="https://olympmetal.bandcamp.com/album/rising" TargetMode="External"/><Relationship Id="rId3130" Type="http://schemas.openxmlformats.org/officeDocument/2006/relationships/hyperlink" Target="https://www.youtube.com/watch?v=kRbmgOoPcC8" TargetMode="External"/><Relationship Id="rId4461" Type="http://schemas.openxmlformats.org/officeDocument/2006/relationships/hyperlink" Target="https://haimad-northernsilence.bandcamp.com/album/when-night-rode-across-the-north" TargetMode="External"/><Relationship Id="rId3133" Type="http://schemas.openxmlformats.org/officeDocument/2006/relationships/hyperlink" Target="https://profoundlorerecords.bandcamp.com/album/all-under-heaven" TargetMode="External"/><Relationship Id="rId4464" Type="http://schemas.openxmlformats.org/officeDocument/2006/relationships/hyperlink" Target="https://brainblastofficial.bandcamp.com/album/colossus-suprema" TargetMode="External"/><Relationship Id="rId3132" Type="http://schemas.openxmlformats.org/officeDocument/2006/relationships/hyperlink" Target="https://open.spotify.com/album/1FAWNzTu4Psv2ALF6Yzuua?si=8CPeulNaRP2nuIM57-82yg" TargetMode="External"/><Relationship Id="rId4463" Type="http://schemas.openxmlformats.org/officeDocument/2006/relationships/hyperlink" Target="https://zegemabeachrecords.bandcamp.com/album/a-os" TargetMode="External"/><Relationship Id="rId3135" Type="http://schemas.openxmlformats.org/officeDocument/2006/relationships/hyperlink" Target="https://www.youtube.com/watch?v=umOyhF_Lszs" TargetMode="External"/><Relationship Id="rId4466" Type="http://schemas.openxmlformats.org/officeDocument/2006/relationships/hyperlink" Target="https://solautumn.bandcamp.com/album/path-to-the-stars" TargetMode="External"/><Relationship Id="rId3134" Type="http://schemas.openxmlformats.org/officeDocument/2006/relationships/hyperlink" Target="https://open.spotify.com/album/6QZiYyrlYJhTBdxSMqBtwb?si=r0M-GkvCQtuBo48xjQlF4A" TargetMode="External"/><Relationship Id="rId4465" Type="http://schemas.openxmlformats.org/officeDocument/2006/relationships/hyperlink" Target="https://xtreemmusic.bandcamp.com/album/unending-rotting-cycle" TargetMode="External"/><Relationship Id="rId3137" Type="http://schemas.openxmlformats.org/officeDocument/2006/relationships/hyperlink" Target="https://darkdescentrecords.bandcamp.com/album/saturnian-appendices" TargetMode="External"/><Relationship Id="rId4468" Type="http://schemas.openxmlformats.org/officeDocument/2006/relationships/hyperlink" Target="https://arcanemarrow.bandcamp.com/album/rising-in-the-early-dawn" TargetMode="External"/><Relationship Id="rId3136" Type="http://schemas.openxmlformats.org/officeDocument/2006/relationships/hyperlink" Target="https://open.spotify.com/album/4laT3ZAxFr87LQjMKlynm6?si=7Rdb-xv2RNyVN1cq1ZMOKg" TargetMode="External"/><Relationship Id="rId4467" Type="http://schemas.openxmlformats.org/officeDocument/2006/relationships/hyperlink" Target="https://fimbulwinterswe.bandcamp.com/album/what-once-was" TargetMode="External"/><Relationship Id="rId3128" Type="http://schemas.openxmlformats.org/officeDocument/2006/relationships/hyperlink" Target="https://thorndm.bandcamp.com/album/nebulous-womb-of-eternity" TargetMode="External"/><Relationship Id="rId4459" Type="http://schemas.openxmlformats.org/officeDocument/2006/relationships/hyperlink" Target="https://dusktone.bandcamp.com/album/as-the-stars-shatter-in-agony" TargetMode="External"/><Relationship Id="rId3127" Type="http://schemas.openxmlformats.org/officeDocument/2006/relationships/hyperlink" Target="https://open.spotify.com/album/0Ww0kFl94mQfz95nq9SYBW?si=EEIGEvgQSSGDeqbQclFuUw" TargetMode="External"/><Relationship Id="rId4458" Type="http://schemas.openxmlformats.org/officeDocument/2006/relationships/hyperlink" Target="https://wearewarclub.bandcamp.com/album/monoplanet" TargetMode="External"/><Relationship Id="rId3129" Type="http://schemas.openxmlformats.org/officeDocument/2006/relationships/hyperlink" Target="https://open.spotify.com/album/2Qk9vwK6xVVsLMKf9p2vGo?si=RtDBbbvqT4GowIda0vtHPA" TargetMode="External"/><Relationship Id="rId3120" Type="http://schemas.openxmlformats.org/officeDocument/2006/relationships/hyperlink" Target="https://www.youtube.com/watch?v=leXmGdcY22o" TargetMode="External"/><Relationship Id="rId4451" Type="http://schemas.openxmlformats.org/officeDocument/2006/relationships/hyperlink" Target="https://almamater.bandcamp.com/album/glori" TargetMode="External"/><Relationship Id="rId4450" Type="http://schemas.openxmlformats.org/officeDocument/2006/relationships/hyperlink" Target="https://cepheidaevariable.bandcamp.com/album/primordial-reverie" TargetMode="External"/><Relationship Id="rId3122" Type="http://schemas.openxmlformats.org/officeDocument/2006/relationships/hyperlink" Target="https://rudenya.bandcamp.com/album/a-spark-of-light" TargetMode="External"/><Relationship Id="rId4453" Type="http://schemas.openxmlformats.org/officeDocument/2006/relationships/hyperlink" Target="https://adornmusic.bandcamp.com/album/adorn" TargetMode="External"/><Relationship Id="rId3121" Type="http://schemas.openxmlformats.org/officeDocument/2006/relationships/hyperlink" Target="https://bloodstonemtl.bandcamp.com/album/ecstasy-of-battle" TargetMode="External"/><Relationship Id="rId4452" Type="http://schemas.openxmlformats.org/officeDocument/2006/relationships/hyperlink" Target="https://almamater.bandcamp.com/album/the-dark-side-of-the-soul" TargetMode="External"/><Relationship Id="rId3124" Type="http://schemas.openxmlformats.org/officeDocument/2006/relationships/hyperlink" Target="https://open.spotify.com/album/1OTGoDCrYf81MP4AognNnt?si=CiYvT-YjR7Gi3wK2Z6VMpQ" TargetMode="External"/><Relationship Id="rId4455" Type="http://schemas.openxmlformats.org/officeDocument/2006/relationships/hyperlink" Target="https://theburdenremains.bandcamp.com/album/trotz-d-m-n-t" TargetMode="External"/><Relationship Id="rId3123" Type="http://schemas.openxmlformats.org/officeDocument/2006/relationships/hyperlink" Target="https://circlingover.bandcamp.com/album/amends-pre-order" TargetMode="External"/><Relationship Id="rId4454" Type="http://schemas.openxmlformats.org/officeDocument/2006/relationships/hyperlink" Target="https://zebulondoom.bandcamp.com/album/come-day-of-reckoning-2" TargetMode="External"/><Relationship Id="rId3126" Type="http://schemas.openxmlformats.org/officeDocument/2006/relationships/hyperlink" Target="https://cemeterydeathmetal.bandcamp.com/album/thoughts-on-life-and-death" TargetMode="External"/><Relationship Id="rId4457" Type="http://schemas.openxmlformats.org/officeDocument/2006/relationships/hyperlink" Target="https://sentientruin.bandcamp.com/album/corrosion-of-existence" TargetMode="External"/><Relationship Id="rId3125" Type="http://schemas.openxmlformats.org/officeDocument/2006/relationships/hyperlink" Target="https://open.spotify.com/album/7JAioi7aQOS0VenAg3xfrp?si=gor3GB2UQX2eG-1763klaQ" TargetMode="External"/><Relationship Id="rId4456" Type="http://schemas.openxmlformats.org/officeDocument/2006/relationships/hyperlink" Target="https://norilskdoom.bandcamp.com/album/gigantes-mortui-mmxiv-mmxxiv" TargetMode="External"/><Relationship Id="rId1378" Type="http://schemas.openxmlformats.org/officeDocument/2006/relationships/hyperlink" Target="https://www.youtube.com/watch?v=WrAXLGNgDk4" TargetMode="External"/><Relationship Id="rId4404" Type="http://schemas.openxmlformats.org/officeDocument/2006/relationships/hyperlink" Target="https://thr0sk.bandcamp.com/album/signal-failure" TargetMode="External"/><Relationship Id="rId1379" Type="http://schemas.openxmlformats.org/officeDocument/2006/relationships/hyperlink" Target="https://appleofbasilisk.bandcamp.com/album/his-crowned-skull-raised-to-the-sun" TargetMode="External"/><Relationship Id="rId4403" Type="http://schemas.openxmlformats.org/officeDocument/2006/relationships/hyperlink" Target="https://ironbloodanddeath.bandcamp.com/album/dreaming-the-otherwhere" TargetMode="External"/><Relationship Id="rId4406" Type="http://schemas.openxmlformats.org/officeDocument/2006/relationships/hyperlink" Target="https://witcherband.bandcamp.com/album/r-kl-t" TargetMode="External"/><Relationship Id="rId4405" Type="http://schemas.openxmlformats.org/officeDocument/2006/relationships/hyperlink" Target="https://callo.bandcamp.com/album/ludzie-b-dz-cy-w-nocy" TargetMode="External"/><Relationship Id="rId4408" Type="http://schemas.openxmlformats.org/officeDocument/2006/relationships/hyperlink" Target="https://hivemetal.bandcamp.com/album/conduct-of-flies" TargetMode="External"/><Relationship Id="rId4407" Type="http://schemas.openxmlformats.org/officeDocument/2006/relationships/hyperlink" Target="https://gusoh.bandcamp.com/album/--2" TargetMode="External"/><Relationship Id="rId4409" Type="http://schemas.openxmlformats.org/officeDocument/2006/relationships/hyperlink" Target="https://ashenheartband.bandcamp.com/album/dragons-of-death" TargetMode="External"/><Relationship Id="rId789" Type="http://schemas.openxmlformats.org/officeDocument/2006/relationships/hyperlink" Target="https://unclewoe.bandcamp.com/album/folded-in-smoke-soaked-and-bound" TargetMode="External"/><Relationship Id="rId788" Type="http://schemas.openxmlformats.org/officeDocument/2006/relationships/hyperlink" Target="https://open.spotify.com/album/3sxAzDdngYT8YXbXM4G2AE?si=4Y29RrzCQVCsWn_ojChJCw" TargetMode="External"/><Relationship Id="rId787" Type="http://schemas.openxmlformats.org/officeDocument/2006/relationships/hyperlink" Target="https://telma.bandcamp.com/album/awakening" TargetMode="External"/><Relationship Id="rId786" Type="http://schemas.openxmlformats.org/officeDocument/2006/relationships/hyperlink" Target="https://hallucivore.bandcamp.com/album/shrouded-in-exogaian-petrichor" TargetMode="External"/><Relationship Id="rId781" Type="http://schemas.openxmlformats.org/officeDocument/2006/relationships/hyperlink" Target="https://fetznerdeathrecords.bandcamp.com/album/emissary-eldritch" TargetMode="External"/><Relationship Id="rId1370" Type="http://schemas.openxmlformats.org/officeDocument/2006/relationships/hyperlink" Target="https://open.spotify.com/album/6yKE89G09jlNCOwctl3Ll9?si=ud_Ls1uZRcuXT7T1FwqGzA" TargetMode="External"/><Relationship Id="rId780" Type="http://schemas.openxmlformats.org/officeDocument/2006/relationships/hyperlink" Target="https://www.youtube.com/watch?v=pfftkPswiMk" TargetMode="External"/><Relationship Id="rId1371" Type="http://schemas.openxmlformats.org/officeDocument/2006/relationships/hyperlink" Target="https://greystag.bandcamp.com/album/mountain-breaker" TargetMode="External"/><Relationship Id="rId1372" Type="http://schemas.openxmlformats.org/officeDocument/2006/relationships/hyperlink" Target="https://open.spotify.com/album/1leR1M4x2yojTV5BKEMNb9?si=FPD47nywQMavJD_quuqpWg" TargetMode="External"/><Relationship Id="rId1373" Type="http://schemas.openxmlformats.org/officeDocument/2006/relationships/hyperlink" Target="https://turpitude.bandcamp.com/album/subalterne" TargetMode="External"/><Relationship Id="rId785" Type="http://schemas.openxmlformats.org/officeDocument/2006/relationships/hyperlink" Target="https://cenozoa.bandcamp.com/album/in-bloom" TargetMode="External"/><Relationship Id="rId1374" Type="http://schemas.openxmlformats.org/officeDocument/2006/relationships/hyperlink" Target="https://soulvapor-project.bandcamp.com/album/soulvapor-ii" TargetMode="External"/><Relationship Id="rId4400" Type="http://schemas.openxmlformats.org/officeDocument/2006/relationships/hyperlink" Target="https://open.spotify.com/album/6W1eGD2uYx6GC3sfm8utFz?si=rgnhdxhDTliVzPAxn7TP2Q" TargetMode="External"/><Relationship Id="rId784" Type="http://schemas.openxmlformats.org/officeDocument/2006/relationships/hyperlink" Target="https://open.spotify.com/album/40NXbeibh21FS21MvVr382?si=LJm2xWqfR0uufMp1yAHfnA" TargetMode="External"/><Relationship Id="rId1375" Type="http://schemas.openxmlformats.org/officeDocument/2006/relationships/hyperlink" Target="https://open.spotify.com/album/3aAZvZo4OKKuht7yszKNOK?si=U6fbjj7UR7KRHzxNYJU1Zw" TargetMode="External"/><Relationship Id="rId783" Type="http://schemas.openxmlformats.org/officeDocument/2006/relationships/hyperlink" Target="https://kuenring.bandcamp.com/album/in-search-of-paradise" TargetMode="External"/><Relationship Id="rId1376" Type="http://schemas.openxmlformats.org/officeDocument/2006/relationships/hyperlink" Target="https://ashtwinproject.bandcamp.com/album/tales-of-a-dying-sun" TargetMode="External"/><Relationship Id="rId4402" Type="http://schemas.openxmlformats.org/officeDocument/2006/relationships/hyperlink" Target="https://erebus3.bandcamp.com/album/chaos" TargetMode="External"/><Relationship Id="rId782" Type="http://schemas.openxmlformats.org/officeDocument/2006/relationships/hyperlink" Target="https://open.spotify.com/album/5KYiPAM9Lsf92j1Dey21Ws?si=H2K7IU_RQJaY6NFyWLwsgA" TargetMode="External"/><Relationship Id="rId1377" Type="http://schemas.openxmlformats.org/officeDocument/2006/relationships/hyperlink" Target="https://open.spotify.com/album/4BZpDMGYE46PNLhps2wWp6?si=QwZ1ygP-QBmoaE-eNYPawg" TargetMode="External"/><Relationship Id="rId4401" Type="http://schemas.openxmlformats.org/officeDocument/2006/relationships/hyperlink" Target="https://endtransmissionmusic.bandcamp.com/album/end-transmission-2" TargetMode="External"/><Relationship Id="rId1367" Type="http://schemas.openxmlformats.org/officeDocument/2006/relationships/hyperlink" Target="https://open.spotify.com/album/0JoWaUqv8bugBwK2IguDK0?si=sxYqjS8fRvaLZbHsiDrxaQ" TargetMode="External"/><Relationship Id="rId2698" Type="http://schemas.openxmlformats.org/officeDocument/2006/relationships/hyperlink" Target="https://open.spotify.com/album/73dNfnRABJZt3zIhEifUgv?si=wuTBKemARRWK0WcSQ1lf3A" TargetMode="External"/><Relationship Id="rId1368" Type="http://schemas.openxmlformats.org/officeDocument/2006/relationships/hyperlink" Target="https://tegara.bandcamp.com/album/threnodist" TargetMode="External"/><Relationship Id="rId2699" Type="http://schemas.openxmlformats.org/officeDocument/2006/relationships/hyperlink" Target="https://gracehrst.bandcamp.com/album/the-world-is-dying-2" TargetMode="External"/><Relationship Id="rId1369" Type="http://schemas.openxmlformats.org/officeDocument/2006/relationships/hyperlink" Target="https://livingtales.bandcamp.com/album/hades" TargetMode="External"/><Relationship Id="rId778" Type="http://schemas.openxmlformats.org/officeDocument/2006/relationships/hyperlink" Target="https://awakenessofficial.bandcamp.com/album/low-spirits" TargetMode="External"/><Relationship Id="rId777" Type="http://schemas.openxmlformats.org/officeDocument/2006/relationships/hyperlink" Target="https://open.spotify.com/album/0JuWVI93xCQYjPTeFzQsgA?si=Sdm5cPkKS2aoFevEbQnKdg" TargetMode="External"/><Relationship Id="rId776" Type="http://schemas.openxmlformats.org/officeDocument/2006/relationships/hyperlink" Target="https://lostsanctuary.bandcamp.com/album/harbinger-of-chaos" TargetMode="External"/><Relationship Id="rId775" Type="http://schemas.openxmlformats.org/officeDocument/2006/relationships/hyperlink" Target="https://open.spotify.com/album/5WY9gUpc5bnImgCjfojjvB?si=ecifzK1VQ9yHYFg6gpQ4jw" TargetMode="External"/><Relationship Id="rId779" Type="http://schemas.openxmlformats.org/officeDocument/2006/relationships/hyperlink" Target="https://open.spotify.com/album/2xLF1azcNSTjuDYRJU8j8X?si=irQg_9ZuQk2pKjDb3LF1dg" TargetMode="External"/><Relationship Id="rId770" Type="http://schemas.openxmlformats.org/officeDocument/2006/relationships/hyperlink" Target="https://buriedfaithmetal.bandcamp.com/album/blackened-skies-open-graves" TargetMode="External"/><Relationship Id="rId2690" Type="http://schemas.openxmlformats.org/officeDocument/2006/relationships/hyperlink" Target="https://open.spotify.com/album/0eLzhZ0Q3lWK1FjGtkyane?si=mJzA1Wv1RTePKSKvScbE9w" TargetMode="External"/><Relationship Id="rId1360" Type="http://schemas.openxmlformats.org/officeDocument/2006/relationships/hyperlink" Target="https://www.youtube.com/watch?v=kzGRk0fUk3Q" TargetMode="External"/><Relationship Id="rId2691" Type="http://schemas.openxmlformats.org/officeDocument/2006/relationships/hyperlink" Target="https://ferdelancemetal.bandcamp.com/album/fires-on-the-mountainside-2" TargetMode="External"/><Relationship Id="rId1361" Type="http://schemas.openxmlformats.org/officeDocument/2006/relationships/hyperlink" Target="https://lowasted.bandcamp.com/album/burning-the-cradle" TargetMode="External"/><Relationship Id="rId2692" Type="http://schemas.openxmlformats.org/officeDocument/2006/relationships/hyperlink" Target="https://mizmor.bandcamp.com/album/mnemonic-ambient-mosaic-2" TargetMode="External"/><Relationship Id="rId1362" Type="http://schemas.openxmlformats.org/officeDocument/2006/relationships/hyperlink" Target="https://huntersdream.bandcamp.com/album/verdant" TargetMode="External"/><Relationship Id="rId2693" Type="http://schemas.openxmlformats.org/officeDocument/2006/relationships/hyperlink" Target="https://open.spotify.com/album/3erQX4ZjWNnGFCU6dVtAQP?si=U4Oh70j4QSWCi_gpjK5WDg" TargetMode="External"/><Relationship Id="rId774" Type="http://schemas.openxmlformats.org/officeDocument/2006/relationships/hyperlink" Target="https://myproudmountain.bandcamp.com/album/sperrwerk" TargetMode="External"/><Relationship Id="rId1363" Type="http://schemas.openxmlformats.org/officeDocument/2006/relationships/hyperlink" Target="https://open.spotify.com/album/05JAEVP3Pm4XYGBPxBAOZA?si=pfMaiSNwRiCJJtE6xyCPcQ" TargetMode="External"/><Relationship Id="rId2694" Type="http://schemas.openxmlformats.org/officeDocument/2006/relationships/hyperlink" Target="https://www.youtube.com/watch?v=l0ecYv6OjqI" TargetMode="External"/><Relationship Id="rId773" Type="http://schemas.openxmlformats.org/officeDocument/2006/relationships/hyperlink" Target="https://open.spotify.com/album/20h7lTfCyZDQrqla9mqF0q?si=NBmRRR6wQ5yteTOLp79q2A" TargetMode="External"/><Relationship Id="rId1364" Type="http://schemas.openxmlformats.org/officeDocument/2006/relationships/hyperlink" Target="https://tyrannosatan.bandcamp.com/album/babylons-skr-ck" TargetMode="External"/><Relationship Id="rId2695" Type="http://schemas.openxmlformats.org/officeDocument/2006/relationships/hyperlink" Target="https://noisetrailimmersion.bandcamp.com/album/tutta-la-morte-in-un-solo-punto" TargetMode="External"/><Relationship Id="rId772" Type="http://schemas.openxmlformats.org/officeDocument/2006/relationships/hyperlink" Target="https://thegrey2.bandcamp.com/album/kodok" TargetMode="External"/><Relationship Id="rId1365" Type="http://schemas.openxmlformats.org/officeDocument/2006/relationships/hyperlink" Target="https://open.spotify.com/album/6w3RfhMfxopClQFxXC54eK?si=8hSFNbM3T9yT4fUbYTZ8yw" TargetMode="External"/><Relationship Id="rId2696" Type="http://schemas.openxmlformats.org/officeDocument/2006/relationships/hyperlink" Target="https://thanatorean.bandcamp.com/album/ekstasis-of-subterranean-currents" TargetMode="External"/><Relationship Id="rId771" Type="http://schemas.openxmlformats.org/officeDocument/2006/relationships/hyperlink" Target="https://open.spotify.com/album/1xfRfV1kW6YSvHpyevQd6J?si=5QXLONDoStOKTIJjble8kA" TargetMode="External"/><Relationship Id="rId1366" Type="http://schemas.openxmlformats.org/officeDocument/2006/relationships/hyperlink" Target="https://zeolite.bandcamp.com/album/lappel-du-vide" TargetMode="External"/><Relationship Id="rId2697" Type="http://schemas.openxmlformats.org/officeDocument/2006/relationships/hyperlink" Target="https://shadowofintent7.bandcamp.com/album/imperium-delirium" TargetMode="External"/><Relationship Id="rId4426" Type="http://schemas.openxmlformats.org/officeDocument/2006/relationships/hyperlink" Target="https://omniumgatherum.bandcamp.com/album/may-the-bridges-we-burn-light-the-way-24-bit-hd-audio" TargetMode="External"/><Relationship Id="rId4425" Type="http://schemas.openxmlformats.org/officeDocument/2006/relationships/hyperlink" Target="https://drain831.bandcamp.com/album/is-your-friend" TargetMode="External"/><Relationship Id="rId4428" Type="http://schemas.openxmlformats.org/officeDocument/2006/relationships/hyperlink" Target="https://insidiusblacklion.bandcamp.com/album/vulgus-illustrata" TargetMode="External"/><Relationship Id="rId4427" Type="http://schemas.openxmlformats.org/officeDocument/2006/relationships/hyperlink" Target="https://deconstructingthesequenceblacklion.bandcamp.com/album/tenebris-cosmicis-tempora" TargetMode="External"/><Relationship Id="rId4429" Type="http://schemas.openxmlformats.org/officeDocument/2006/relationships/hyperlink" Target="https://ildaruniblacklion.bandcamp.com/album/divinum-sanguinem" TargetMode="External"/><Relationship Id="rId1390" Type="http://schemas.openxmlformats.org/officeDocument/2006/relationships/hyperlink" Target="https://illyria.bandcamp.com/album/the-walk-of-atonement" TargetMode="External"/><Relationship Id="rId1391" Type="http://schemas.openxmlformats.org/officeDocument/2006/relationships/hyperlink" Target="https://open.spotify.com/album/6lT6jfgLGFMxVuHMY7BtK2?si=b8LYyyw5Tp2C-DQ_fOOEyg" TargetMode="External"/><Relationship Id="rId1392" Type="http://schemas.openxmlformats.org/officeDocument/2006/relationships/hyperlink" Target="https://allegaeon.bandcamp.com/album/the-ossuary-lens" TargetMode="External"/><Relationship Id="rId1393" Type="http://schemas.openxmlformats.org/officeDocument/2006/relationships/hyperlink" Target="https://open.spotify.com/album/73w3LY03x1p8GZYEecnuGd?si=Rz4rbnXaT3iXvnEsslxXfA" TargetMode="External"/><Relationship Id="rId1394" Type="http://schemas.openxmlformats.org/officeDocument/2006/relationships/hyperlink" Target="https://www.youtube.com/watch?v=KbaOstpk7Us" TargetMode="External"/><Relationship Id="rId4420" Type="http://schemas.openxmlformats.org/officeDocument/2006/relationships/hyperlink" Target="https://peaceville.bandcamp.com/album/words-of-indigo" TargetMode="External"/><Relationship Id="rId1395" Type="http://schemas.openxmlformats.org/officeDocument/2006/relationships/hyperlink" Target="https://tomarum.bandcamp.com/album/beyond-obsidian-euphoria" TargetMode="External"/><Relationship Id="rId1396" Type="http://schemas.openxmlformats.org/officeDocument/2006/relationships/hyperlink" Target="https://open.spotify.com/album/2PoczEqH999hvznpNC5TMs?si=OYdAoIZJSXm4cnITvhPbXA" TargetMode="External"/><Relationship Id="rId4422" Type="http://schemas.openxmlformats.org/officeDocument/2006/relationships/hyperlink" Target="https://kostnateni.bandcamp.com/album/p-li-nost-excess" TargetMode="External"/><Relationship Id="rId1397" Type="http://schemas.openxmlformats.org/officeDocument/2006/relationships/hyperlink" Target="https://www.youtube.com/watch?v=xFwKCVPnPhw" TargetMode="External"/><Relationship Id="rId4421" Type="http://schemas.openxmlformats.org/officeDocument/2006/relationships/hyperlink" Target="https://townportal.bandcamp.com/album/grindwork" TargetMode="External"/><Relationship Id="rId1398" Type="http://schemas.openxmlformats.org/officeDocument/2006/relationships/hyperlink" Target="https://gileadmedia.bandcamp.com/album/alluvion" TargetMode="External"/><Relationship Id="rId4424" Type="http://schemas.openxmlformats.org/officeDocument/2006/relationships/hyperlink" Target="https://kauan.bandcamp.com/album/wayhome" TargetMode="External"/><Relationship Id="rId1399" Type="http://schemas.openxmlformats.org/officeDocument/2006/relationships/hyperlink" Target="https://open.spotify.com/album/1pqrXa0HNnRMgDMPWSLk0W?si=96FlpV1JSa-kwLJIwBYGaQ" TargetMode="External"/><Relationship Id="rId4423" Type="http://schemas.openxmlformats.org/officeDocument/2006/relationships/hyperlink" Target="https://pupilslicer.bandcamp.com/album/fleshwork" TargetMode="External"/><Relationship Id="rId1389" Type="http://schemas.openxmlformats.org/officeDocument/2006/relationships/hyperlink" Target="https://open.spotify.com/album/3FUw9u2ULUB4ZGV9PIA8zv?si=SEtlNOMhRPi8OXFCcg-tKw" TargetMode="External"/><Relationship Id="rId4415" Type="http://schemas.openxmlformats.org/officeDocument/2006/relationships/hyperlink" Target="https://hypaethralrecords.bandcamp.com/album/the-sinking-isle" TargetMode="External"/><Relationship Id="rId4414" Type="http://schemas.openxmlformats.org/officeDocument/2006/relationships/hyperlink" Target="https://faustblacklion.bandcamp.com/album/crypts-of-eternity" TargetMode="External"/><Relationship Id="rId4417" Type="http://schemas.openxmlformats.org/officeDocument/2006/relationships/hyperlink" Target="https://northlane.bandcamp.com/album/node-reloaded" TargetMode="External"/><Relationship Id="rId4416" Type="http://schemas.openxmlformats.org/officeDocument/2006/relationships/hyperlink" Target="https://insideoutmusic.bandcamp.com/album/bloom-10th-anniversary-edition" TargetMode="External"/><Relationship Id="rId4419" Type="http://schemas.openxmlformats.org/officeDocument/2006/relationships/hyperlink" Target="https://silentpendulumrecords.bandcamp.com/album/feral" TargetMode="External"/><Relationship Id="rId4418" Type="http://schemas.openxmlformats.org/officeDocument/2006/relationships/hyperlink" Target="https://deadneanderthals.bandcamp.com/album/incantations" TargetMode="External"/><Relationship Id="rId799" Type="http://schemas.openxmlformats.org/officeDocument/2006/relationships/hyperlink" Target="https://open.spotify.com/album/3AXXMTN2wZfHJr7KwplDNV?si=iiQd8PgrSYK3TBvJzIUayA" TargetMode="External"/><Relationship Id="rId798" Type="http://schemas.openxmlformats.org/officeDocument/2006/relationships/hyperlink" Target="https://hoplites.bandcamp.com/album/r-ya-dz-e" TargetMode="External"/><Relationship Id="rId797" Type="http://schemas.openxmlformats.org/officeDocument/2006/relationships/hyperlink" Target="https://latorturedestenebres.bandcamp.com/album/episode-vii-revenge-of-unfailing-valor" TargetMode="External"/><Relationship Id="rId1380" Type="http://schemas.openxmlformats.org/officeDocument/2006/relationships/hyperlink" Target="https://open.spotify.com/album/5Ao3n7WRCWRgmNqzlJFEIo?si=SrHT14fWSjSXPsz0CtImJg" TargetMode="External"/><Relationship Id="rId792" Type="http://schemas.openxmlformats.org/officeDocument/2006/relationships/hyperlink" Target="https://phantomdruid.bandcamp.com/album/the-edge-of-oblivion" TargetMode="External"/><Relationship Id="rId1381" Type="http://schemas.openxmlformats.org/officeDocument/2006/relationships/hyperlink" Target="https://leave.bandcamp.com/album/the-cost-of-compromise" TargetMode="External"/><Relationship Id="rId791" Type="http://schemas.openxmlformats.org/officeDocument/2006/relationships/hyperlink" Target="https://xtreemmusic.bandcamp.com/album/phoenix-cryptobiosis" TargetMode="External"/><Relationship Id="rId1382" Type="http://schemas.openxmlformats.org/officeDocument/2006/relationships/hyperlink" Target="https://open.spotify.com/album/4vK1RSLYXmd39BNL9eTOv6?si=g2OLTWOSRVeLZnr7mRF3Ww" TargetMode="External"/><Relationship Id="rId790" Type="http://schemas.openxmlformats.org/officeDocument/2006/relationships/hyperlink" Target="https://open.spotify.com/album/1iKXuvKcCCKgWTGn0hQwmW?si=QO7NDTFMR0iuZWDc7il6Yg" TargetMode="External"/><Relationship Id="rId1383" Type="http://schemas.openxmlformats.org/officeDocument/2006/relationships/hyperlink" Target="https://fluisteraars.bandcamp.com/album/kronieken-van-het-verdwenen-kasteel-iii-grunsfoort" TargetMode="External"/><Relationship Id="rId1384" Type="http://schemas.openxmlformats.org/officeDocument/2006/relationships/hyperlink" Target="https://open.spotify.com/album/1P4qoDz3XlY48mst921iUL?si=uKmdmO4qRlWGCweiMlrLXA" TargetMode="External"/><Relationship Id="rId796" Type="http://schemas.openxmlformats.org/officeDocument/2006/relationships/hyperlink" Target="https://open.spotify.com/album/1gdwZGH5whfNsvatkdfKt8?si=tF52ZZRLR4OTOmFaPNnQWA" TargetMode="External"/><Relationship Id="rId1385" Type="http://schemas.openxmlformats.org/officeDocument/2006/relationships/hyperlink" Target="https://www.youtube.com/watch?v=oWizMSiJyks" TargetMode="External"/><Relationship Id="rId4411" Type="http://schemas.openxmlformats.org/officeDocument/2006/relationships/hyperlink" Target="https://abyssicgrave.bandcamp.com/album/born-of-the-wilderness" TargetMode="External"/><Relationship Id="rId795" Type="http://schemas.openxmlformats.org/officeDocument/2006/relationships/hyperlink" Target="https://btshf.bandcamp.com/album/look-with-pity-upon-the-sallow-face-of-god-for-we-have-built-hells-beyond-his-imagining" TargetMode="External"/><Relationship Id="rId1386" Type="http://schemas.openxmlformats.org/officeDocument/2006/relationships/hyperlink" Target="https://seventhsounds.bandcamp.com/album/interdimensional-act-iii-shadows-in-the-sky" TargetMode="External"/><Relationship Id="rId4410" Type="http://schemas.openxmlformats.org/officeDocument/2006/relationships/hyperlink" Target="https://feversuncurse.bandcamp.com/album/index" TargetMode="External"/><Relationship Id="rId794" Type="http://schemas.openxmlformats.org/officeDocument/2006/relationships/hyperlink" Target="https://open.spotify.com/album/6MxwAYoKgvIz2BYMuQbG4q?si=CKw9DRPnT96xVz8qkLi_Nw" TargetMode="External"/><Relationship Id="rId1387" Type="http://schemas.openxmlformats.org/officeDocument/2006/relationships/hyperlink" Target="https://open.spotify.com/album/7nbsCR6N8QPV3ET4xpa0qg?si=VQi3oUIETC2U1SEHDyPvig" TargetMode="External"/><Relationship Id="rId4413" Type="http://schemas.openxmlformats.org/officeDocument/2006/relationships/hyperlink" Target="https://cenitnexblacklion.bandcamp.com/album/with-guts-and-glory" TargetMode="External"/><Relationship Id="rId793" Type="http://schemas.openxmlformats.org/officeDocument/2006/relationships/hyperlink" Target="https://istappofficial.bandcamp.com/album/s-l-t-r-sortna" TargetMode="External"/><Relationship Id="rId1388" Type="http://schemas.openxmlformats.org/officeDocument/2006/relationships/hyperlink" Target="https://habak.bandcamp.com/album/mil-orqui-deas-en-medio-del-desierto" TargetMode="External"/><Relationship Id="rId4412" Type="http://schemas.openxmlformats.org/officeDocument/2006/relationships/hyperlink" Target="https://bogwife.bandcamp.com/album/from-ashes" TargetMode="External"/><Relationship Id="rId3191" Type="http://schemas.openxmlformats.org/officeDocument/2006/relationships/hyperlink" Target="https://open.spotify.com/album/7fHVpc57pV3ZwYyBygDVfS?si=ZToy8o3FQTmzCro0-U3s5g" TargetMode="External"/><Relationship Id="rId3190" Type="http://schemas.openxmlformats.org/officeDocument/2006/relationships/hyperlink" Target="https://thetruepanopticon.bandcamp.com/album/songs-of-hiraeth" TargetMode="External"/><Relationship Id="rId3193" Type="http://schemas.openxmlformats.org/officeDocument/2006/relationships/hyperlink" Target="https://baestband.bandcamp.com/album/colossal-24-bit-hd-audio" TargetMode="External"/><Relationship Id="rId3192" Type="http://schemas.openxmlformats.org/officeDocument/2006/relationships/hyperlink" Target="https://www.youtube.com/watch?v=JNll-1VrvWg" TargetMode="External"/><Relationship Id="rId3195" Type="http://schemas.openxmlformats.org/officeDocument/2006/relationships/hyperlink" Target="https://unleashed.bandcamp.com/album/fire-upon-your-lands" TargetMode="External"/><Relationship Id="rId3194" Type="http://schemas.openxmlformats.org/officeDocument/2006/relationships/hyperlink" Target="https://open.spotify.com/album/0buUFRorLnLhZO4W5jHqsL?si=Xjw_OTFZR7y9BNHI5WFVEg" TargetMode="External"/><Relationship Id="rId3197" Type="http://schemas.openxmlformats.org/officeDocument/2006/relationships/hyperlink" Target="https://grandcadaver.bandcamp.com/album/the-rot-beneath" TargetMode="External"/><Relationship Id="rId3196" Type="http://schemas.openxmlformats.org/officeDocument/2006/relationships/hyperlink" Target="https://open.spotify.com/album/1GmYtXKiZo7aeVnj8TkHkC?si=Id26_6udRqO4A6txFn0HGg" TargetMode="External"/><Relationship Id="rId3199" Type="http://schemas.openxmlformats.org/officeDocument/2006/relationships/hyperlink" Target="https://open.spotify.com/album/4UfWCai5kezrUuom68hwHt?si=SReEAIPaQHupzTi9IfevLA" TargetMode="External"/><Relationship Id="rId3198" Type="http://schemas.openxmlformats.org/officeDocument/2006/relationships/hyperlink" Target="https://open.spotify.com/album/0TRww07uzdNPbF85KV7409?si=DlImYhImTJmr9AHyUuWndg" TargetMode="External"/><Relationship Id="rId3180" Type="http://schemas.openxmlformats.org/officeDocument/2006/relationships/hyperlink" Target="https://plagueofcarcosa.bandcamp.com/album/in-the-dreamless-deep" TargetMode="External"/><Relationship Id="rId3182" Type="http://schemas.openxmlformats.org/officeDocument/2006/relationships/hyperlink" Target="https://hauntthenation.bandcamp.com/album/ignite" TargetMode="External"/><Relationship Id="rId3181" Type="http://schemas.openxmlformats.org/officeDocument/2006/relationships/hyperlink" Target="https://open.spotify.com/album/3FuuM6r3HoY4yOlbk1hMji?si=nEi5_6NBSECExp6K_y9B-A" TargetMode="External"/><Relationship Id="rId3184" Type="http://schemas.openxmlformats.org/officeDocument/2006/relationships/hyperlink" Target="https://centipedeabyss.bandcamp.com/album/bequeathed" TargetMode="External"/><Relationship Id="rId3183" Type="http://schemas.openxmlformats.org/officeDocument/2006/relationships/hyperlink" Target="https://open.spotify.com/album/5U7mZYm2enYO1Ri0nlvj8B?si=VLBswSB1Qja7bPNXodQ7dQ" TargetMode="External"/><Relationship Id="rId3186" Type="http://schemas.openxmlformats.org/officeDocument/2006/relationships/hyperlink" Target="https://open.spotify.com/album/2HdEwJycbBxBGToSbj7IPA?si=i2O3fXEDQGeA-IkHZ2uhvQ" TargetMode="External"/><Relationship Id="rId3185" Type="http://schemas.openxmlformats.org/officeDocument/2006/relationships/hyperlink" Target="https://kalliasofficial.bandcamp.com/album/digital-plague" TargetMode="External"/><Relationship Id="rId3188" Type="http://schemas.openxmlformats.org/officeDocument/2006/relationships/hyperlink" Target="https://open.spotify.com/album/3FkgtZI2A6FJfH8wBDDnOI?si=Ed-hyFnsQX-A4TjdV0ngNQ" TargetMode="External"/><Relationship Id="rId3187" Type="http://schemas.openxmlformats.org/officeDocument/2006/relationships/hyperlink" Target="https://thetruepanopticon.bandcamp.com/album/laurentian-blue" TargetMode="External"/><Relationship Id="rId3189" Type="http://schemas.openxmlformats.org/officeDocument/2006/relationships/hyperlink" Target="https://www.youtube.com/watch?v=U1WgJKpYP5I" TargetMode="External"/><Relationship Id="rId4480" Type="http://schemas.openxmlformats.org/officeDocument/2006/relationships/hyperlink" Target="https://stellarcircuits.bandcamp.com/album/phantom-phoenix" TargetMode="External"/><Relationship Id="rId3151" Type="http://schemas.openxmlformats.org/officeDocument/2006/relationships/hyperlink" Target="https://open.spotify.com/album/30g6j2xuqynpAiohatDOW6?si=VLkNJvxcSp2TwBJh1_yKlg" TargetMode="External"/><Relationship Id="rId4482" Type="http://schemas.openxmlformats.org/officeDocument/2006/relationships/hyperlink" Target="https://asira.bandcamp.com/album/as-ink-in-water" TargetMode="External"/><Relationship Id="rId3150" Type="http://schemas.openxmlformats.org/officeDocument/2006/relationships/hyperlink" Target="https://lordofthelost.bandcamp.com/album/opvs-noir-vol-1" TargetMode="External"/><Relationship Id="rId4481" Type="http://schemas.openxmlformats.org/officeDocument/2006/relationships/hyperlink" Target="https://x1914x.bandcamp.com/album/viribus-unitis" TargetMode="External"/><Relationship Id="rId3153" Type="http://schemas.openxmlformats.org/officeDocument/2006/relationships/hyperlink" Target="https://open.spotify.com/album/05xIwxHSKPoD48pbTNLWrj?si=f6yMe9XjRv6QltP1CwHaNw" TargetMode="External"/><Relationship Id="rId4484" Type="http://schemas.openxmlformats.org/officeDocument/2006/relationships/hyperlink" Target="https://demonking.bandcamp.com/album/death-knell" TargetMode="External"/><Relationship Id="rId3152" Type="http://schemas.openxmlformats.org/officeDocument/2006/relationships/hyperlink" Target="https://comatosemusic.bandcamp.com/album/surge-of-cruelty" TargetMode="External"/><Relationship Id="rId4483" Type="http://schemas.openxmlformats.org/officeDocument/2006/relationships/hyperlink" Target="https://centurymedia.bandcamp.com/album/another-miracle-24-bit-hd-audio" TargetMode="External"/><Relationship Id="rId3155" Type="http://schemas.openxmlformats.org/officeDocument/2006/relationships/hyperlink" Target="https://malthusian.bandcamp.com/album/the-summoning-bell-2" TargetMode="External"/><Relationship Id="rId4486" Type="http://schemas.openxmlformats.org/officeDocument/2006/relationships/hyperlink" Target="https://eldvarg.bandcamp.com/album/destroyer" TargetMode="External"/><Relationship Id="rId3154" Type="http://schemas.openxmlformats.org/officeDocument/2006/relationships/hyperlink" Target="https://www.youtube.com/watch?v=h3ziPPFM3Lw" TargetMode="External"/><Relationship Id="rId4485" Type="http://schemas.openxmlformats.org/officeDocument/2006/relationships/hyperlink" Target="https://falserealityhc.bandcamp.com/album/faded-intentions" TargetMode="External"/><Relationship Id="rId3157" Type="http://schemas.openxmlformats.org/officeDocument/2006/relationships/hyperlink" Target="https://uzlaga.bandcamp.com/album/the-coral-crown" TargetMode="External"/><Relationship Id="rId4488" Type="http://schemas.openxmlformats.org/officeDocument/2006/relationships/hyperlink" Target="https://flamesofheaven.bandcamp.com/album/symphony-of-the-universe" TargetMode="External"/><Relationship Id="rId3156" Type="http://schemas.openxmlformats.org/officeDocument/2006/relationships/hyperlink" Target="https://open.spotify.com/album/6wAFed0WJEMg2smvXrFYOf?si=5QKSCljQSyCbL7PnE8GNJQ" TargetMode="External"/><Relationship Id="rId4487" Type="http://schemas.openxmlformats.org/officeDocument/2006/relationships/hyperlink" Target="https://valontuoja.bandcamp.com/album/tulesta-syntynyt" TargetMode="External"/><Relationship Id="rId3159" Type="http://schemas.openxmlformats.org/officeDocument/2006/relationships/hyperlink" Target="https://melpomeneband.bandcamp.com/album/a-body-is-a-suggestion-2" TargetMode="External"/><Relationship Id="rId3158" Type="http://schemas.openxmlformats.org/officeDocument/2006/relationships/hyperlink" Target="https://open.spotify.com/album/1KCXNHEGNect2uLgLGMEZR?si=BoReYUO0TP-RPDusr_Xmpw" TargetMode="External"/><Relationship Id="rId4489" Type="http://schemas.openxmlformats.org/officeDocument/2006/relationships/hyperlink" Target="https://thehyenakill.bandcamp.com/album/collapse" TargetMode="External"/><Relationship Id="rId3149" Type="http://schemas.openxmlformats.org/officeDocument/2006/relationships/hyperlink" Target="https://www.youtube.com/watch?v=UUItMfohtRU" TargetMode="External"/><Relationship Id="rId3140" Type="http://schemas.openxmlformats.org/officeDocument/2006/relationships/hyperlink" Target="https://open.spotify.com/album/6uy38sCNU1QJErDUrncJl2?si=2dLhGiiyT9umsxWXX0gXIQ" TargetMode="External"/><Relationship Id="rId4471" Type="http://schemas.openxmlformats.org/officeDocument/2006/relationships/hyperlink" Target="https://i-voidhangerrecords.bandcamp.com/album/the-descent-of-mortals-past" TargetMode="External"/><Relationship Id="rId4470" Type="http://schemas.openxmlformats.org/officeDocument/2006/relationships/hyperlink" Target="https://i-voidhangerrecords.bandcamp.com/album/aconite" TargetMode="External"/><Relationship Id="rId3142" Type="http://schemas.openxmlformats.org/officeDocument/2006/relationships/hyperlink" Target="https://open.spotify.com/album/4BXzJiioIewC6siTIbYWoR?si=abdoaHLIRxiNUlzvhNoMYA" TargetMode="External"/><Relationship Id="rId4473" Type="http://schemas.openxmlformats.org/officeDocument/2006/relationships/hyperlink" Target="https://ghold.bandcamp.com/album/bludgeoning-simulations" TargetMode="External"/><Relationship Id="rId3141" Type="http://schemas.openxmlformats.org/officeDocument/2006/relationships/hyperlink" Target="https://blackbraid.bandcamp.com/album/blackbraid-iii" TargetMode="External"/><Relationship Id="rId4472" Type="http://schemas.openxmlformats.org/officeDocument/2006/relationships/hyperlink" Target="https://bellwitch.bandcamp.com/album/stygian-bough-volume-ii" TargetMode="External"/><Relationship Id="rId3144" Type="http://schemas.openxmlformats.org/officeDocument/2006/relationships/hyperlink" Target="https://open.spotify.com/album/3hs705IMv04eej8w4HD26W?si=Rdo77ajBRb2yfQs-02n7-A" TargetMode="External"/><Relationship Id="rId4475" Type="http://schemas.openxmlformats.org/officeDocument/2006/relationships/hyperlink" Target="https://20buckspin.bandcamp.com/album/abditum" TargetMode="External"/><Relationship Id="rId3143" Type="http://schemas.openxmlformats.org/officeDocument/2006/relationships/hyperlink" Target="https://www.youtube.com/watch?v=Sqb2ls7j6Io" TargetMode="External"/><Relationship Id="rId4474" Type="http://schemas.openxmlformats.org/officeDocument/2006/relationships/hyperlink" Target="https://mesacounojo.bandcamp.com/album/spectral-realm-of-ruin" TargetMode="External"/><Relationship Id="rId3146" Type="http://schemas.openxmlformats.org/officeDocument/2006/relationships/hyperlink" Target="https://open.spotify.com/album/0uYtbDUigzWVDWs5iJqWUF?si=TSJJq-8LR3mtPtOqwM8Fng" TargetMode="External"/><Relationship Id="rId4477" Type="http://schemas.openxmlformats.org/officeDocument/2006/relationships/hyperlink" Target="https://yourinlandempire.bandcamp.com/album/your-inland-empire" TargetMode="External"/><Relationship Id="rId3145" Type="http://schemas.openxmlformats.org/officeDocument/2006/relationships/hyperlink" Target="https://borracho.bandcamp.com/album/ouroboros" TargetMode="External"/><Relationship Id="rId4476" Type="http://schemas.openxmlformats.org/officeDocument/2006/relationships/hyperlink" Target="https://vowerofficial.bandcamp.com/album/a-storm-lined-with-silver" TargetMode="External"/><Relationship Id="rId3148" Type="http://schemas.openxmlformats.org/officeDocument/2006/relationships/hyperlink" Target="https://open.spotify.com/album/0pvpL0NQyLdkGIeeJ3f4zn?si=Iw3MF-hOQiOvcdEJ_T5njQ" TargetMode="External"/><Relationship Id="rId4479" Type="http://schemas.openxmlformats.org/officeDocument/2006/relationships/hyperlink" Target="https://ragana.bandcamp.com/album/ash-souvenir" TargetMode="External"/><Relationship Id="rId3147" Type="http://schemas.openxmlformats.org/officeDocument/2006/relationships/hyperlink" Target="https://edgedcircleproductions.bandcamp.com/album/phantom-fire" TargetMode="External"/><Relationship Id="rId4478" Type="http://schemas.openxmlformats.org/officeDocument/2006/relationships/hyperlink" Target="https://veilburnerband.bandcamp.com/album/longing-for-triumph-reeking-of-tragedy" TargetMode="External"/><Relationship Id="rId3171" Type="http://schemas.openxmlformats.org/officeDocument/2006/relationships/hyperlink" Target="https://vvarp.bandcamp.com/album/power-held-in-stone" TargetMode="External"/><Relationship Id="rId3170" Type="http://schemas.openxmlformats.org/officeDocument/2006/relationships/hyperlink" Target="https://open.spotify.com/album/0gQdPhvwnF174SI7AIsZiN?si=AwbBKXSfTwGIVM-HTFaCGA" TargetMode="External"/><Relationship Id="rId3173" Type="http://schemas.openxmlformats.org/officeDocument/2006/relationships/hyperlink" Target="https://open.spotify.com/album/0N9sOkexHX79r7XqpFiP5H?si=hLLPxosfRnO5kJMei_ni-w" TargetMode="External"/><Relationship Id="rId3172" Type="http://schemas.openxmlformats.org/officeDocument/2006/relationships/hyperlink" Target="https://thehereticmusic.bandcamp.com/album/follow-you-part-i-transition" TargetMode="External"/><Relationship Id="rId3175" Type="http://schemas.openxmlformats.org/officeDocument/2006/relationships/hyperlink" Target="https://open.spotify.com/album/0WAHzbaO4h76PDVtRZbbt6?si=Ye58lWNwRHKeI3iWwfObpA" TargetMode="External"/><Relationship Id="rId3174" Type="http://schemas.openxmlformats.org/officeDocument/2006/relationships/hyperlink" Target="https://obvurt.bandcamp.com/album/an-alternate-dimension" TargetMode="External"/><Relationship Id="rId3177" Type="http://schemas.openxmlformats.org/officeDocument/2006/relationships/hyperlink" Target="https://open.spotify.com/album/4OTpHC50PvrNOSjMIr2OlY?si=eH-eY68YReyeYd7RMTkvYQ" TargetMode="External"/><Relationship Id="rId3176" Type="http://schemas.openxmlformats.org/officeDocument/2006/relationships/hyperlink" Target="https://arktheos.bandcamp.com/album/cosmolith" TargetMode="External"/><Relationship Id="rId3179" Type="http://schemas.openxmlformats.org/officeDocument/2006/relationships/hyperlink" Target="https://www.youtube.com/watch?v=PIjwf1Dyvjo" TargetMode="External"/><Relationship Id="rId3178" Type="http://schemas.openxmlformats.org/officeDocument/2006/relationships/hyperlink" Target="https://visionsunseen.bandcamp.com/album/echoes-through-time" TargetMode="External"/><Relationship Id="rId3160" Type="http://schemas.openxmlformats.org/officeDocument/2006/relationships/hyperlink" Target="https://open.spotify.com/album/4hX4cCiP0fYUDZaWjHUQLP?si=5rYhdZslRRW63v6djtm8cw" TargetMode="External"/><Relationship Id="rId4491" Type="http://schemas.openxmlformats.org/officeDocument/2006/relationships/hyperlink" Target="https://anterbila.bandcamp.com/album/avart" TargetMode="External"/><Relationship Id="rId4490" Type="http://schemas.openxmlformats.org/officeDocument/2006/relationships/hyperlink" Target="https://witheringsoul.bandcamp.com/album/passage-of-the-arcane" TargetMode="External"/><Relationship Id="rId3162" Type="http://schemas.openxmlformats.org/officeDocument/2006/relationships/hyperlink" Target="https://open.spotify.com/album/5M0tFO2k2JHqj09khiXj2Z?si=uGmj1X7wReSNYdq1gAS4uA" TargetMode="External"/><Relationship Id="rId4493" Type="http://schemas.openxmlformats.org/officeDocument/2006/relationships/hyperlink" Target="https://thegrasshopperliesheavy.bandcamp.com/album/heavy-2" TargetMode="External"/><Relationship Id="rId3161" Type="http://schemas.openxmlformats.org/officeDocument/2006/relationships/hyperlink" Target="https://dropoutkings.bandcamp.com/album/yokai" TargetMode="External"/><Relationship Id="rId4492" Type="http://schemas.openxmlformats.org/officeDocument/2006/relationships/hyperlink" Target="https://lampofmurmuur.bandcamp.com/album/the-dreaming-prince-in-ecstasy" TargetMode="External"/><Relationship Id="rId3164" Type="http://schemas.openxmlformats.org/officeDocument/2006/relationships/hyperlink" Target="https://open.spotify.com/album/6m1b913UM9HXBOksBtA61I?si=mhYyhva4QJGyVjTS1wNBoA" TargetMode="External"/><Relationship Id="rId4495" Type="http://schemas.openxmlformats.org/officeDocument/2006/relationships/hyperlink" Target="https://ancientfragments.bandcamp.com/album/vestige" TargetMode="External"/><Relationship Id="rId3163" Type="http://schemas.openxmlformats.org/officeDocument/2006/relationships/hyperlink" Target="https://primitiveimpulse.bandcamp.com/album/piss-it-away" TargetMode="External"/><Relationship Id="rId4494" Type="http://schemas.openxmlformats.org/officeDocument/2006/relationships/hyperlink" Target="https://edgedcircleproductions.bandcamp.com/album/der-torv-moeter-hav" TargetMode="External"/><Relationship Id="rId3166" Type="http://schemas.openxmlformats.org/officeDocument/2006/relationships/hyperlink" Target="https://www.youtube.com/watch?v=4_lW8FqBcDA" TargetMode="External"/><Relationship Id="rId4497" Type="http://schemas.openxmlformats.org/officeDocument/2006/relationships/hyperlink" Target="https://arottenbit2029.bandcamp.com/album/you-dont-know-what-a-rework-is" TargetMode="External"/><Relationship Id="rId3165" Type="http://schemas.openxmlformats.org/officeDocument/2006/relationships/hyperlink" Target="https://acati.bandcamp.com/album/unveil-the-zenith" TargetMode="External"/><Relationship Id="rId4496" Type="http://schemas.openxmlformats.org/officeDocument/2006/relationships/hyperlink" Target="https://nordicmission.bandcamp.com/album/occultation" TargetMode="External"/><Relationship Id="rId3168" Type="http://schemas.openxmlformats.org/officeDocument/2006/relationships/hyperlink" Target="https://open.spotify.com/album/4WLsBkyTm3czJPK8dQ5j7T?si=9HEH4wLtSX21jiPCWKv_vA" TargetMode="External"/><Relationship Id="rId4499" Type="http://schemas.openxmlformats.org/officeDocument/2006/relationships/hyperlink" Target="https://primordialrites.bandcamp.com/album/contemplation-scriptures-the-swallowing-void" TargetMode="External"/><Relationship Id="rId3167" Type="http://schemas.openxmlformats.org/officeDocument/2006/relationships/hyperlink" Target="https://valfreyja.bandcamp.com/album/the-rose-of-rebirth" TargetMode="External"/><Relationship Id="rId4498" Type="http://schemas.openxmlformats.org/officeDocument/2006/relationships/hyperlink" Target="https://cobrarocks.bandcamp.com/album/henko" TargetMode="External"/><Relationship Id="rId3169" Type="http://schemas.openxmlformats.org/officeDocument/2006/relationships/hyperlink" Target="https://fnstr.bandcamp.com/album/am-grauen-meer" TargetMode="External"/><Relationship Id="rId2700" Type="http://schemas.openxmlformats.org/officeDocument/2006/relationships/hyperlink" Target="https://open.spotify.com/album/69uSwv0Rv6atjc5x7pK5mt?si=x1J2FcQtRjqGpCF-z70XGA" TargetMode="External"/><Relationship Id="rId2701" Type="http://schemas.openxmlformats.org/officeDocument/2006/relationships/hyperlink" Target="https://www.youtube.com/watch?v=Jx9YLzpD38M" TargetMode="External"/><Relationship Id="rId2702" Type="http://schemas.openxmlformats.org/officeDocument/2006/relationships/hyperlink" Target="https://botch.bandcamp.com/album/061524-live" TargetMode="External"/><Relationship Id="rId2703" Type="http://schemas.openxmlformats.org/officeDocument/2006/relationships/hyperlink" Target="https://open.spotify.com/album/052jMwVi6ZBTSFHv88B2H4?si=BvwZbSJUS_WEngdcwRj81g" TargetMode="External"/><Relationship Id="rId2704" Type="http://schemas.openxmlformats.org/officeDocument/2006/relationships/hyperlink" Target="https://uponafieldswhisper.bandcamp.com/album/rejuvenation" TargetMode="External"/><Relationship Id="rId2705" Type="http://schemas.openxmlformats.org/officeDocument/2006/relationships/hyperlink" Target="https://open.spotify.com/album/0TIwIRkeKdYtcS5E8FwRjx?si=5hWJ2EwQSJSBqPR0xNPEHw" TargetMode="External"/><Relationship Id="rId2706" Type="http://schemas.openxmlformats.org/officeDocument/2006/relationships/hyperlink" Target="https://stephenomalley.bandcamp.com/album/but-remember-what-you-have-had" TargetMode="External"/><Relationship Id="rId2707" Type="http://schemas.openxmlformats.org/officeDocument/2006/relationships/hyperlink" Target="https://deadguy666.bandcamp.com/album/near-death-travel-services" TargetMode="External"/><Relationship Id="rId2708" Type="http://schemas.openxmlformats.org/officeDocument/2006/relationships/hyperlink" Target="https://open.spotify.com/album/3vOfRfdLfzGKdDu2U628aX?si=l687_FOhTZmjbKtpBW64Xw" TargetMode="External"/><Relationship Id="rId2709" Type="http://schemas.openxmlformats.org/officeDocument/2006/relationships/hyperlink" Target="https://putriditydeathmetal.bandcamp.com/album/morbid-ataraxia" TargetMode="External"/><Relationship Id="rId2720" Type="http://schemas.openxmlformats.org/officeDocument/2006/relationships/hyperlink" Target="https://open.spotify.com/album/0gKFsXyOcSbmDrUKrsU64E?si=mzbXvz3-T5-wdj98442Vzg" TargetMode="External"/><Relationship Id="rId2721" Type="http://schemas.openxmlformats.org/officeDocument/2006/relationships/hyperlink" Target="https://serpentcorpse-label.bandcamp.com/album/retaliate" TargetMode="External"/><Relationship Id="rId2722" Type="http://schemas.openxmlformats.org/officeDocument/2006/relationships/hyperlink" Target="https://open.spotify.com/album/7uSTOEZpa9wSbIPb1JSWb8?si=1u241636RZyiCMUWhbjQwg" TargetMode="External"/><Relationship Id="rId2723" Type="http://schemas.openxmlformats.org/officeDocument/2006/relationships/hyperlink" Target="https://www.youtube.com/watch?v=1_zclyT3skY" TargetMode="External"/><Relationship Id="rId2724" Type="http://schemas.openxmlformats.org/officeDocument/2006/relationships/hyperlink" Target="https://inhumancondition.bandcamp.com/album/mind-trap" TargetMode="External"/><Relationship Id="rId2725" Type="http://schemas.openxmlformats.org/officeDocument/2006/relationships/hyperlink" Target="https://open.spotify.com/album/5M7wJs1aTB0RpK2VIosIxj?si=LLykHVoxSkuFhYHqpl465Q" TargetMode="External"/><Relationship Id="rId2726" Type="http://schemas.openxmlformats.org/officeDocument/2006/relationships/hyperlink" Target="https://anfauglir.bandcamp.com/album/akallab-th" TargetMode="External"/><Relationship Id="rId2727" Type="http://schemas.openxmlformats.org/officeDocument/2006/relationships/hyperlink" Target="https://open.spotify.com/album/6u57WaDqPWdPp4JkI2TZyY?si=pf9Uped6Tk6cv0gzz8rCPA" TargetMode="External"/><Relationship Id="rId2728" Type="http://schemas.openxmlformats.org/officeDocument/2006/relationships/hyperlink" Target="https://www.youtube.com/watch?v=qxQ1ni5vd6A" TargetMode="External"/><Relationship Id="rId2729" Type="http://schemas.openxmlformats.org/officeDocument/2006/relationships/hyperlink" Target="https://hammerheart.bandcamp.com/album/unholy-trinity" TargetMode="External"/><Relationship Id="rId2710" Type="http://schemas.openxmlformats.org/officeDocument/2006/relationships/hyperlink" Target="https://open.spotify.com/album/2YXwnRNdNhflWX76fXRuDI?si=8GVsd_cBR82G8nxaQsByhA" TargetMode="External"/><Relationship Id="rId2711" Type="http://schemas.openxmlformats.org/officeDocument/2006/relationships/hyperlink" Target="https://www.youtube.com/watch?v=T8tUII5shOA" TargetMode="External"/><Relationship Id="rId2712" Type="http://schemas.openxmlformats.org/officeDocument/2006/relationships/hyperlink" Target="https://domkraft.bandcamp.com/album/domkraft-2" TargetMode="External"/><Relationship Id="rId2713" Type="http://schemas.openxmlformats.org/officeDocument/2006/relationships/hyperlink" Target="https://sodomofficial.bandcamp.com/album/the-arsonist" TargetMode="External"/><Relationship Id="rId2714" Type="http://schemas.openxmlformats.org/officeDocument/2006/relationships/hyperlink" Target="https://open.spotify.com/album/4E63gy7RNLbQs7vfOq3VUL?si=Y_gev7Y3SUmBBcdFFb8cPQ" TargetMode="External"/><Relationship Id="rId2715" Type="http://schemas.openxmlformats.org/officeDocument/2006/relationships/hyperlink" Target="https://centurymedia.bandcamp.com/album/heimat-24-bit-hd-audio" TargetMode="External"/><Relationship Id="rId2716" Type="http://schemas.openxmlformats.org/officeDocument/2006/relationships/hyperlink" Target="https://open.spotify.com/album/0vk13FoFuyKMO4BkdcippX?si=hYm7QIzpTA-Z-4hHORNKiQ" TargetMode="External"/><Relationship Id="rId2717" Type="http://schemas.openxmlformats.org/officeDocument/2006/relationships/hyperlink" Target="https://allmenuntome.bandcamp.com/album/requiem" TargetMode="External"/><Relationship Id="rId2718" Type="http://schemas.openxmlformats.org/officeDocument/2006/relationships/hyperlink" Target="https://open.spotify.com/album/5Pp8K3tstjeACXHZxtFN6R?si=8o4FvhAySwaZX43IPtN2lw" TargetMode="External"/><Relationship Id="rId2719" Type="http://schemas.openxmlformats.org/officeDocument/2006/relationships/hyperlink" Target="https://readyfordeath.bandcamp.com/album/pay-with-your-face" TargetMode="External"/><Relationship Id="rId1455" Type="http://schemas.openxmlformats.org/officeDocument/2006/relationships/hyperlink" Target="https://open.spotify.com/album/6cMi1Y0o5QrC1NrqYSRLHZ?si=Ld8AFGcNR5-_yqqedDAjrQ" TargetMode="External"/><Relationship Id="rId2786" Type="http://schemas.openxmlformats.org/officeDocument/2006/relationships/hyperlink" Target="https://stygian-official.bandcamp.com/album/dreadlands" TargetMode="External"/><Relationship Id="rId1456" Type="http://schemas.openxmlformats.org/officeDocument/2006/relationships/hyperlink" Target="https://atlantic-music.bandcamp.com/album/timeworn" TargetMode="External"/><Relationship Id="rId2787" Type="http://schemas.openxmlformats.org/officeDocument/2006/relationships/hyperlink" Target="https://open.spotify.com/album/6xAeygboc4l2IwFMT3JkDJ?si=sY_6sDLWQ7OtbH2X0rGTaw" TargetMode="External"/><Relationship Id="rId1457" Type="http://schemas.openxmlformats.org/officeDocument/2006/relationships/hyperlink" Target="https://open.spotify.com/album/5ZSgabR310l456D8X2ApPa?si=5EEnHRdQSjWIICFAVy3Ghw" TargetMode="External"/><Relationship Id="rId2788" Type="http://schemas.openxmlformats.org/officeDocument/2006/relationships/hyperlink" Target="https://leonov.bandcamp.com/album/shape-of-ash" TargetMode="External"/><Relationship Id="rId1458" Type="http://schemas.openxmlformats.org/officeDocument/2006/relationships/hyperlink" Target="https://risingnemesisrecords.bandcamp.com/album/relapse-into-absurdity" TargetMode="External"/><Relationship Id="rId2789" Type="http://schemas.openxmlformats.org/officeDocument/2006/relationships/hyperlink" Target="https://open.spotify.com/album/4Wmy1CCGD4epsMZlUAt7Mi?si=4CJw2b-ZQIGB2Q1IJoik_Q" TargetMode="External"/><Relationship Id="rId1459" Type="http://schemas.openxmlformats.org/officeDocument/2006/relationships/hyperlink" Target="https://open.spotify.com/album/7GEQgxmhAt3PbDPuxl1Zgb?si=hkjf-e2xR5CM0KvcQ6rD0w" TargetMode="External"/><Relationship Id="rId629" Type="http://schemas.openxmlformats.org/officeDocument/2006/relationships/hyperlink" Target="https://open.spotify.com/album/4gbUd8UH5eHgeSr0RsOffg?si=_geSHhlEQjGQTTmoGWbUxw" TargetMode="External"/><Relationship Id="rId624" Type="http://schemas.openxmlformats.org/officeDocument/2006/relationships/hyperlink" Target="https://omegapurge.bandcamp.com/album/the-last-monarchs-fall" TargetMode="External"/><Relationship Id="rId623" Type="http://schemas.openxmlformats.org/officeDocument/2006/relationships/hyperlink" Target="https://open.spotify.com/album/0TPYTfpVveEyIBKJb7iQ5S?si=9cFhiQ4TQnOity2xj7wzMw" TargetMode="External"/><Relationship Id="rId622" Type="http://schemas.openxmlformats.org/officeDocument/2006/relationships/hyperlink" Target="https://selfmadegod.bandcamp.com/album/asymmetrical" TargetMode="External"/><Relationship Id="rId621" Type="http://schemas.openxmlformats.org/officeDocument/2006/relationships/hyperlink" Target="https://open.spotify.com/album/7JEbWJroY2gQiayb1u3wQ0?si=LeGPp8q7Q-CkK_E0oqDp5g" TargetMode="External"/><Relationship Id="rId628" Type="http://schemas.openxmlformats.org/officeDocument/2006/relationships/hyperlink" Target="https://piranhamusicpl.bandcamp.com/album/entheos" TargetMode="External"/><Relationship Id="rId627" Type="http://schemas.openxmlformats.org/officeDocument/2006/relationships/hyperlink" Target="https://open.spotify.com/album/7a67K1tZJ3UeC7m6o5oaJF?si=PhGegulETu6PtxiC80bU8w" TargetMode="External"/><Relationship Id="rId626" Type="http://schemas.openxmlformats.org/officeDocument/2006/relationships/hyperlink" Target="https://matalobos.bandcamp.com/album/phantasmagoria-hexed-lands" TargetMode="External"/><Relationship Id="rId625" Type="http://schemas.openxmlformats.org/officeDocument/2006/relationships/hyperlink" Target="https://open.spotify.com/album/4S3SWvKw5KcYwnXUQQ7glw?si=IA0seufxQLexcfFX4Syljw" TargetMode="External"/><Relationship Id="rId2780" Type="http://schemas.openxmlformats.org/officeDocument/2006/relationships/hyperlink" Target="https://wealdandwoe.bandcamp.com/album/far-from-the-light-of-heaven" TargetMode="External"/><Relationship Id="rId1450" Type="http://schemas.openxmlformats.org/officeDocument/2006/relationships/hyperlink" Target="https://mountainofmisery.bandcamp.com/album/shades-of-the-ashes" TargetMode="External"/><Relationship Id="rId2781" Type="http://schemas.openxmlformats.org/officeDocument/2006/relationships/hyperlink" Target="https://open.spotify.com/album/4Fl1yvUv4zPZ5ZYD9q945X?si=gNujdiLzQiKGglOXTh261g" TargetMode="External"/><Relationship Id="rId620" Type="http://schemas.openxmlformats.org/officeDocument/2006/relationships/hyperlink" Target="https://scarletrecords.bandcamp.com/album/chapter-iv" TargetMode="External"/><Relationship Id="rId1451" Type="http://schemas.openxmlformats.org/officeDocument/2006/relationships/hyperlink" Target="https://open.spotify.com/album/4CjVZkKZiLnMs7nGRmVAOk?si=AkqI9NVKTzq7fF0a9EfeqA" TargetMode="External"/><Relationship Id="rId2782" Type="http://schemas.openxmlformats.org/officeDocument/2006/relationships/hyperlink" Target="https://warkings.bandcamp.com/album/armageddon" TargetMode="External"/><Relationship Id="rId1452" Type="http://schemas.openxmlformats.org/officeDocument/2006/relationships/hyperlink" Target="https://chronosdefied.bandcamp.com/album/van-niets-uit-deze-wereld" TargetMode="External"/><Relationship Id="rId2783" Type="http://schemas.openxmlformats.org/officeDocument/2006/relationships/hyperlink" Target="https://open.spotify.com/album/4jyrz9eKYvPjk8ObEAAruH?si=apL2doB5Tja4HoWV1BWV9g" TargetMode="External"/><Relationship Id="rId1453" Type="http://schemas.openxmlformats.org/officeDocument/2006/relationships/hyperlink" Target="https://www.youtube.com/watch?v=WisptRgD13I" TargetMode="External"/><Relationship Id="rId2784" Type="http://schemas.openxmlformats.org/officeDocument/2006/relationships/hyperlink" Target="https://thumos.bandcamp.com/album/the-trial-of-socrates" TargetMode="External"/><Relationship Id="rId1454" Type="http://schemas.openxmlformats.org/officeDocument/2006/relationships/hyperlink" Target="https://skullservantmetal.bandcamp.com/album/live-magicks" TargetMode="External"/><Relationship Id="rId2785" Type="http://schemas.openxmlformats.org/officeDocument/2006/relationships/hyperlink" Target="https://open.spotify.com/album/6yv3rFGYmIrXRN82Rdkchc?si=S0kHEOnjQyOH34L6ZRPJ6w" TargetMode="External"/><Relationship Id="rId1444" Type="http://schemas.openxmlformats.org/officeDocument/2006/relationships/hyperlink" Target="https://open.spotify.com/album/6OgpQYgin3HnXEQoCvkwHg?si=wM4TjyTkTQGExre6W05caA" TargetMode="External"/><Relationship Id="rId2775" Type="http://schemas.openxmlformats.org/officeDocument/2006/relationships/hyperlink" Target="https://centipedeabyss.bandcamp.com/album/no-sanctuary" TargetMode="External"/><Relationship Id="rId1445" Type="http://schemas.openxmlformats.org/officeDocument/2006/relationships/hyperlink" Target="https://eldamar-northernsilence.bandcamp.com/album/astral-journeys-pt-ii-dissolution" TargetMode="External"/><Relationship Id="rId2776" Type="http://schemas.openxmlformats.org/officeDocument/2006/relationships/hyperlink" Target="https://lvmen.bandcamp.com/album/amen" TargetMode="External"/><Relationship Id="rId1446" Type="http://schemas.openxmlformats.org/officeDocument/2006/relationships/hyperlink" Target="https://open.spotify.com/album/7zW9lnhiqtQfwAE6JGo8oH?si=NVhUHRyBQZurtnSLwAAw_w" TargetMode="External"/><Relationship Id="rId2777" Type="http://schemas.openxmlformats.org/officeDocument/2006/relationships/hyperlink" Target="https://open.spotify.com/album/0yupcaJLiOzN6ZMZV61fCj?si=Goe0wxASQwegCScyIarHzg" TargetMode="External"/><Relationship Id="rId1447" Type="http://schemas.openxmlformats.org/officeDocument/2006/relationships/hyperlink" Target="https://www.youtube.com/watch?v=28MIbYfsvRg" TargetMode="External"/><Relationship Id="rId2778" Type="http://schemas.openxmlformats.org/officeDocument/2006/relationships/hyperlink" Target="https://vulning.bandcamp.com/album/the-wound" TargetMode="External"/><Relationship Id="rId1448" Type="http://schemas.openxmlformats.org/officeDocument/2006/relationships/hyperlink" Target="https://ursula.bandcamp.com/album/i-dont-like-anything" TargetMode="External"/><Relationship Id="rId2779" Type="http://schemas.openxmlformats.org/officeDocument/2006/relationships/hyperlink" Target="https://open.spotify.com/album/7cA7WpJmJhkklyNiH7dr7q?si=K65Q5gvDRsCP90niMi021A" TargetMode="External"/><Relationship Id="rId1449" Type="http://schemas.openxmlformats.org/officeDocument/2006/relationships/hyperlink" Target="https://open.spotify.com/album/6gAggm88iYBvhkxieIy9g9?si=R78SA4ayQfioa4FiMAVvDA" TargetMode="External"/><Relationship Id="rId619" Type="http://schemas.openxmlformats.org/officeDocument/2006/relationships/hyperlink" Target="https://open.spotify.com/album/6D2Ve0aLe1ZFjOyIYusUHQ?si=UXv5bI58RreUDWTof7fe3A" TargetMode="External"/><Relationship Id="rId618" Type="http://schemas.openxmlformats.org/officeDocument/2006/relationships/hyperlink" Target="https://dyingvictimsproductions.bandcamp.com/album/do-or-die" TargetMode="External"/><Relationship Id="rId613" Type="http://schemas.openxmlformats.org/officeDocument/2006/relationships/hyperlink" Target="https://open.spotify.com/album/2xbuIM8B3kDDFtX7qQzsqR?si=rZngs-J5SnOt2KqKSbg_Cw" TargetMode="External"/><Relationship Id="rId612" Type="http://schemas.openxmlformats.org/officeDocument/2006/relationships/hyperlink" Target="https://vulturesvengeance.bandcamp.com/album/dust-age" TargetMode="External"/><Relationship Id="rId611" Type="http://schemas.openxmlformats.org/officeDocument/2006/relationships/hyperlink" Target="https://open.spotify.com/album/2w5iGdhL7ZuRDmZww8sUxQ?si=V8MtSMlbRqiGSboCh25RJw" TargetMode="External"/><Relationship Id="rId610" Type="http://schemas.openxmlformats.org/officeDocument/2006/relationships/hyperlink" Target="https://malacath.bandcamp.com/album/eternal-roar-of-the-thunder-and-rain" TargetMode="External"/><Relationship Id="rId617" Type="http://schemas.openxmlformats.org/officeDocument/2006/relationships/hyperlink" Target="https://open.spotify.com/album/4b9ptnPFmBR1vCYqKfQPnc?si=SH82sOzYTL-dQhdP_EwP7Q" TargetMode="External"/><Relationship Id="rId616" Type="http://schemas.openxmlformats.org/officeDocument/2006/relationships/hyperlink" Target="https://scarletrecords.bandcamp.com/album/triumviro" TargetMode="External"/><Relationship Id="rId615" Type="http://schemas.openxmlformats.org/officeDocument/2006/relationships/hyperlink" Target="https://open.spotify.com/album/1kbfs4AoXr3gCp3bUJmkPR?si=WuJw67gvTsKsadMwmX9QqQ" TargetMode="External"/><Relationship Id="rId614" Type="http://schemas.openxmlformats.org/officeDocument/2006/relationships/hyperlink" Target="https://abduction616.bandcamp.com/album/existentialismus" TargetMode="External"/><Relationship Id="rId2770" Type="http://schemas.openxmlformats.org/officeDocument/2006/relationships/hyperlink" Target="https://annulet.bandcamp.com/album/moonlight-cathedral" TargetMode="External"/><Relationship Id="rId1440" Type="http://schemas.openxmlformats.org/officeDocument/2006/relationships/hyperlink" Target="https://kiritsis.bandcamp.com/album/kiritsis" TargetMode="External"/><Relationship Id="rId2771" Type="http://schemas.openxmlformats.org/officeDocument/2006/relationships/hyperlink" Target="https://glmlrkr.bandcamp.com/album/terror-absolute" TargetMode="External"/><Relationship Id="rId1441" Type="http://schemas.openxmlformats.org/officeDocument/2006/relationships/hyperlink" Target="https://open.spotify.com/album/0dl1VgnKPslnkFVPYSvh1B?si=Tg3goLc8T1aP9NUAf_E-8Q" TargetMode="External"/><Relationship Id="rId2772" Type="http://schemas.openxmlformats.org/officeDocument/2006/relationships/hyperlink" Target="https://open.spotify.com/album/1chBXOrBOCg86upVgJcYBD?si=mWPI8NBlRGijKXYNw3BpBQ" TargetMode="External"/><Relationship Id="rId1442" Type="http://schemas.openxmlformats.org/officeDocument/2006/relationships/hyperlink" Target="https://www.youtube.com/watch?v=r2qmF1ku0PI" TargetMode="External"/><Relationship Id="rId2773" Type="http://schemas.openxmlformats.org/officeDocument/2006/relationships/hyperlink" Target="https://nllerandi.bandcamp.com/album/zero-stars-would-not-recommend-2" TargetMode="External"/><Relationship Id="rId1443" Type="http://schemas.openxmlformats.org/officeDocument/2006/relationships/hyperlink" Target="https://bloodyvalkyria.bandcamp.com/album/in-our-home-across-the-fog" TargetMode="External"/><Relationship Id="rId2774" Type="http://schemas.openxmlformats.org/officeDocument/2006/relationships/hyperlink" Target="https://vaarcloc.bandcamp.com/album/contururi" TargetMode="External"/><Relationship Id="rId1477" Type="http://schemas.openxmlformats.org/officeDocument/2006/relationships/hyperlink" Target="https://life9.bandcamp.com/album/and-still-it-flutters" TargetMode="External"/><Relationship Id="rId4503" Type="http://schemas.openxmlformats.org/officeDocument/2006/relationships/hyperlink" Target="https://lordalienoire.bandcamp.com/album/golden-tears-of-love-and-sorrow" TargetMode="External"/><Relationship Id="rId1478" Type="http://schemas.openxmlformats.org/officeDocument/2006/relationships/hyperlink" Target="https://ordosofficial.bandcamp.com/album/fire" TargetMode="External"/><Relationship Id="rId4502" Type="http://schemas.openxmlformats.org/officeDocument/2006/relationships/hyperlink" Target="https://aethervoid.bandcamp.com/album/even-light-decays" TargetMode="External"/><Relationship Id="rId1479" Type="http://schemas.openxmlformats.org/officeDocument/2006/relationships/hyperlink" Target="https://open.spotify.com/album/0djXqX9zWefAdFhvR0NeT8?si=zWsR72dKQuePYBSI4mR6Nw" TargetMode="External"/><Relationship Id="rId4505" Type="http://schemas.openxmlformats.org/officeDocument/2006/relationships/hyperlink" Target="https://agramtrip.bandcamp.com/album/bud-ends-and-glass-bottoms" TargetMode="External"/><Relationship Id="rId4504" Type="http://schemas.openxmlformats.org/officeDocument/2006/relationships/hyperlink" Target="https://dusktone.bandcamp.com/album/mara" TargetMode="External"/><Relationship Id="rId4507" Type="http://schemas.openxmlformats.org/officeDocument/2006/relationships/hyperlink" Target="https://searpetal.bandcamp.com/album/witherhymn" TargetMode="External"/><Relationship Id="rId4506" Type="http://schemas.openxmlformats.org/officeDocument/2006/relationships/hyperlink" Target="https://sacredleather.bandcamp.com/album/keep-the-fire-burning" TargetMode="External"/><Relationship Id="rId4509" Type="http://schemas.openxmlformats.org/officeDocument/2006/relationships/hyperlink" Target="https://dusktone.bandcamp.com/album/sila-nuna" TargetMode="External"/><Relationship Id="rId4508" Type="http://schemas.openxmlformats.org/officeDocument/2006/relationships/hyperlink" Target="https://hypaethralrecords.bandcamp.com/album/shadow-of-my-end" TargetMode="External"/><Relationship Id="rId646" Type="http://schemas.openxmlformats.org/officeDocument/2006/relationships/hyperlink" Target="https://open.spotify.com/album/64O2YUpR3hS7qE4XvJLQMt?si=7wpnF5YzQ6Ocs5fr-XYnTw" TargetMode="External"/><Relationship Id="rId645" Type="http://schemas.openxmlformats.org/officeDocument/2006/relationships/hyperlink" Target="https://acidmagus.bandcamp.com/album/scatterling-empire" TargetMode="External"/><Relationship Id="rId644" Type="http://schemas.openxmlformats.org/officeDocument/2006/relationships/hyperlink" Target="https://open.spotify.com/album/5FLIVScIClUgLWfIpLHzeH?si=6NCnMBzuRNGiaOpU-lOujA" TargetMode="External"/><Relationship Id="rId643" Type="http://schemas.openxmlformats.org/officeDocument/2006/relationships/hyperlink" Target="https://morax.bandcamp.com/album/the-amulet" TargetMode="External"/><Relationship Id="rId649" Type="http://schemas.openxmlformats.org/officeDocument/2006/relationships/hyperlink" Target="https://open.spotify.com/album/6C6wDWdZbNeYOIbTBLFr3Z?si=_6x2FI9zT9ii4FOmCginpA" TargetMode="External"/><Relationship Id="rId648" Type="http://schemas.openxmlformats.org/officeDocument/2006/relationships/hyperlink" Target="https://shrikemetal.bandcamp.com/album/the-divine-and-the-serpentine" TargetMode="External"/><Relationship Id="rId647" Type="http://schemas.openxmlformats.org/officeDocument/2006/relationships/hyperlink" Target="https://www.youtube.com/watch?v=KDb_WqGXDBY" TargetMode="External"/><Relationship Id="rId1470" Type="http://schemas.openxmlformats.org/officeDocument/2006/relationships/hyperlink" Target="https://caronteoccultdoom.bandcamp.com/album/spiritvs" TargetMode="External"/><Relationship Id="rId1471" Type="http://schemas.openxmlformats.org/officeDocument/2006/relationships/hyperlink" Target="https://open.spotify.com/album/3kcBR7iC1ABvaV4ZN1IzNz?si=WUDX2IcaRf2K9BRG2SnXEQ" TargetMode="External"/><Relationship Id="rId1472" Type="http://schemas.openxmlformats.org/officeDocument/2006/relationships/hyperlink" Target="https://claybirds.bandcamp.com/album/a-seperation-from-vanity" TargetMode="External"/><Relationship Id="rId642" Type="http://schemas.openxmlformats.org/officeDocument/2006/relationships/hyperlink" Target="https://open.spotify.com/album/7KXuVBAbEgyLBTY1omlpfx?si=UZxSbqDiQ3KXXVvmFyelZA" TargetMode="External"/><Relationship Id="rId1473" Type="http://schemas.openxmlformats.org/officeDocument/2006/relationships/hyperlink" Target="https://open.spotify.com/album/47Agu13DQ8KJNDRU9y68CU?si=_wtaoFWzRb6zWwd2vtMqyA" TargetMode="External"/><Relationship Id="rId641" Type="http://schemas.openxmlformats.org/officeDocument/2006/relationships/hyperlink" Target="https://bedowyn.bandcamp.com/album/secret-storm-secret-garden" TargetMode="External"/><Relationship Id="rId1474" Type="http://schemas.openxmlformats.org/officeDocument/2006/relationships/hyperlink" Target="https://ashbringermusic.bandcamp.com/album/vacant-2025-remaster" TargetMode="External"/><Relationship Id="rId640" Type="http://schemas.openxmlformats.org/officeDocument/2006/relationships/hyperlink" Target="https://open.spotify.com/album/5iSzrLH7ys7IeARcWL8OoW?si=S46l9CNZQ7OMmZRTkoVOUQ" TargetMode="External"/><Relationship Id="rId1475" Type="http://schemas.openxmlformats.org/officeDocument/2006/relationships/hyperlink" Target="https://burdenofdespair.bandcamp.com/album/confutatis" TargetMode="External"/><Relationship Id="rId4501" Type="http://schemas.openxmlformats.org/officeDocument/2006/relationships/hyperlink" Target="https://bookburnermusic.bandcamp.com/album/volume-i-in-preparation-for-cemeteries" TargetMode="External"/><Relationship Id="rId1476" Type="http://schemas.openxmlformats.org/officeDocument/2006/relationships/hyperlink" Target="https://myrddinband.bandcamp.com/album/mabinogion" TargetMode="External"/><Relationship Id="rId4500" Type="http://schemas.openxmlformats.org/officeDocument/2006/relationships/hyperlink" Target="https://mournthelight.bandcamp.com/album/sorrow-feeds-the-silence" TargetMode="External"/><Relationship Id="rId1466" Type="http://schemas.openxmlformats.org/officeDocument/2006/relationships/hyperlink" Target="https://gratfall.bandcamp.com/album/thanatopsis" TargetMode="External"/><Relationship Id="rId2797" Type="http://schemas.openxmlformats.org/officeDocument/2006/relationships/hyperlink" Target="https://nuclearwinterrecords.bandcamp.com/album/altar-of-brutality" TargetMode="External"/><Relationship Id="rId1467" Type="http://schemas.openxmlformats.org/officeDocument/2006/relationships/hyperlink" Target="https://open.spotify.com/album/6IczZZHtJkm8JTFHmLYHoM?si=LYIMghFxRi2HC6hqgvSNVA" TargetMode="External"/><Relationship Id="rId2798" Type="http://schemas.openxmlformats.org/officeDocument/2006/relationships/hyperlink" Target="https://avantgardemusic.bandcamp.com/album/connections-to-the-erebus" TargetMode="External"/><Relationship Id="rId1468" Type="http://schemas.openxmlformats.org/officeDocument/2006/relationships/hyperlink" Target="https://open.spotify.com/album/4zrv2ceI0WnWxGcxaCs5Kp?si=V8zOxmd5QDuzzT8negXR1g" TargetMode="External"/><Relationship Id="rId2799" Type="http://schemas.openxmlformats.org/officeDocument/2006/relationships/hyperlink" Target="https://open.spotify.com/album/7D8iC9J8Nzd5Z7YyPc53Q0?si=z4N7s0N1Rsm9N_nrpg5YUw" TargetMode="External"/><Relationship Id="rId1469" Type="http://schemas.openxmlformats.org/officeDocument/2006/relationships/hyperlink" Target="https://ryojishinomoto.bandcamp.com/album/children-of-bushido" TargetMode="External"/><Relationship Id="rId635" Type="http://schemas.openxmlformats.org/officeDocument/2006/relationships/hyperlink" Target="https://www.youtube.com/watch?v=O2zr5MM7hBo" TargetMode="External"/><Relationship Id="rId634" Type="http://schemas.openxmlformats.org/officeDocument/2006/relationships/hyperlink" Target="https://open.spotify.com/album/6JUxIMJIIejJ9I9mEAruKl?si=W53YWImYSeirDUF3MrS7Qg" TargetMode="External"/><Relationship Id="rId633" Type="http://schemas.openxmlformats.org/officeDocument/2006/relationships/hyperlink" Target="https://cursedmonk.bandcamp.com/album/wails-of-ten-thousand" TargetMode="External"/><Relationship Id="rId632" Type="http://schemas.openxmlformats.org/officeDocument/2006/relationships/hyperlink" Target="https://open.spotify.com/album/66bOF4IM0sqBYUzDjocFhM?si=D4mpVl3wRtaSaxuhiu0SeA" TargetMode="External"/><Relationship Id="rId639" Type="http://schemas.openxmlformats.org/officeDocument/2006/relationships/hyperlink" Target="https://rapiere.bandcamp.com/album/ep" TargetMode="External"/><Relationship Id="rId638" Type="http://schemas.openxmlformats.org/officeDocument/2006/relationships/hyperlink" Target="https://open.spotify.com/album/55ihU8OkUPpKDx8IkYyVbu?si=-uiGiENlRzWusimpMSW4Kg" TargetMode="External"/><Relationship Id="rId637" Type="http://schemas.openxmlformats.org/officeDocument/2006/relationships/hyperlink" Target="https://limuria.bandcamp.com/album/lost-world" TargetMode="External"/><Relationship Id="rId636" Type="http://schemas.openxmlformats.org/officeDocument/2006/relationships/hyperlink" Target="https://elcanoband.bandcamp.com/album/the-first-circumnavigation-of-the-world" TargetMode="External"/><Relationship Id="rId2790" Type="http://schemas.openxmlformats.org/officeDocument/2006/relationships/hyperlink" Target="https://www.youtube.com/watch?v=K7ZDlbMsfNo" TargetMode="External"/><Relationship Id="rId1460" Type="http://schemas.openxmlformats.org/officeDocument/2006/relationships/hyperlink" Target="https://dylandilella.bandcamp.com/album/radiance" TargetMode="External"/><Relationship Id="rId2791" Type="http://schemas.openxmlformats.org/officeDocument/2006/relationships/hyperlink" Target="https://ereborofficial.bandcamp.com/album/infinitus-somnium" TargetMode="External"/><Relationship Id="rId1461" Type="http://schemas.openxmlformats.org/officeDocument/2006/relationships/hyperlink" Target="https://pestifer.bandcamp.com/album/ravaging-fury" TargetMode="External"/><Relationship Id="rId2792" Type="http://schemas.openxmlformats.org/officeDocument/2006/relationships/hyperlink" Target="https://open.spotify.com/album/6LEcUFfcfP9u7thK64FC5m?si=K8nJc5X2Tm6_3bADNE_W8w" TargetMode="External"/><Relationship Id="rId631" Type="http://schemas.openxmlformats.org/officeDocument/2006/relationships/hyperlink" Target="https://mykingdommusic.bandcamp.com/album/maleficia" TargetMode="External"/><Relationship Id="rId1462" Type="http://schemas.openxmlformats.org/officeDocument/2006/relationships/hyperlink" Target="https://wurmian.bandcamp.com/album/immemorial-shrine" TargetMode="External"/><Relationship Id="rId2793" Type="http://schemas.openxmlformats.org/officeDocument/2006/relationships/hyperlink" Target="https://skulldozer.bandcamp.com/album/high-tide" TargetMode="External"/><Relationship Id="rId630" Type="http://schemas.openxmlformats.org/officeDocument/2006/relationships/hyperlink" Target="https://www.youtube.com/watch?v=jBp9GeJF4R4" TargetMode="External"/><Relationship Id="rId1463" Type="http://schemas.openxmlformats.org/officeDocument/2006/relationships/hyperlink" Target="https://open.spotify.com/album/3hv7u6rid4fAXv9LMhVnCK?si=4c51Ci6vRbW3e2yTGyK7GQ" TargetMode="External"/><Relationship Id="rId2794" Type="http://schemas.openxmlformats.org/officeDocument/2006/relationships/hyperlink" Target="https://seasonsinblack.bandcamp.com/album/anthropocene" TargetMode="External"/><Relationship Id="rId1464" Type="http://schemas.openxmlformats.org/officeDocument/2006/relationships/hyperlink" Target="https://valtari.bandcamp.com/album/emperor" TargetMode="External"/><Relationship Id="rId2795" Type="http://schemas.openxmlformats.org/officeDocument/2006/relationships/hyperlink" Target="https://open.spotify.com/album/6ew74XDH6LQjWxV6Py7fkm?si=REAS67RpRfqirikJyC1Hmw" TargetMode="External"/><Relationship Id="rId1465" Type="http://schemas.openxmlformats.org/officeDocument/2006/relationships/hyperlink" Target="https://open.spotify.com/album/0OFknZtnaMPRfJ8i3QNKZq?si=G2zsMHwGRZ2BsrvKLAW0EA" TargetMode="External"/><Relationship Id="rId2796" Type="http://schemas.openxmlformats.org/officeDocument/2006/relationships/hyperlink" Target="https://eminentiatenebris.bandcamp.com/album/whispers-of-the-undying" TargetMode="External"/><Relationship Id="rId1411" Type="http://schemas.openxmlformats.org/officeDocument/2006/relationships/hyperlink" Target="https://open.spotify.com/album/6DI4rXauRX4BzzPAnKo8Nu?si=eP_NpuzESxqhFKDeQu5bgg" TargetMode="External"/><Relationship Id="rId2742" Type="http://schemas.openxmlformats.org/officeDocument/2006/relationships/hyperlink" Target="https://www.youtube.com/watch?v=E6Hyfc5mTEc" TargetMode="External"/><Relationship Id="rId1412" Type="http://schemas.openxmlformats.org/officeDocument/2006/relationships/hyperlink" Target="https://warfieldthrash.bandcamp.com/album/with-the-old-breed" TargetMode="External"/><Relationship Id="rId2743" Type="http://schemas.openxmlformats.org/officeDocument/2006/relationships/hyperlink" Target="https://nihtdraca.bandcamp.com/album/nihtdraca" TargetMode="External"/><Relationship Id="rId1413" Type="http://schemas.openxmlformats.org/officeDocument/2006/relationships/hyperlink" Target="https://open.spotify.com/album/2NwQqEuFDhm1WGZOQbdPxS?si=WRjMoeFeSFWLo6KUWb5H7g" TargetMode="External"/><Relationship Id="rId2744" Type="http://schemas.openxmlformats.org/officeDocument/2006/relationships/hyperlink" Target="https://arduamusic.bandcamp.com/album/shades-of-life" TargetMode="External"/><Relationship Id="rId1414" Type="http://schemas.openxmlformats.org/officeDocument/2006/relationships/hyperlink" Target="https://wrathoflogarius.bandcamp.com/album/crown-of-mortis" TargetMode="External"/><Relationship Id="rId2745" Type="http://schemas.openxmlformats.org/officeDocument/2006/relationships/hyperlink" Target="https://open.spotify.com/album/2b4xpk5RPOrEKN3Q9gJgKl?si=ljY7jkJiTua467DWjpnsqg" TargetMode="External"/><Relationship Id="rId1415" Type="http://schemas.openxmlformats.org/officeDocument/2006/relationships/hyperlink" Target="https://open.spotify.com/album/69kUJOFbfjoochdO7iPGIq?si=EWXRiWH2QmWkxx91LK5svg" TargetMode="External"/><Relationship Id="rId2746" Type="http://schemas.openxmlformats.org/officeDocument/2006/relationships/hyperlink" Target="https://www.youtube.com/watch?v=hSJ4blox6Mw" TargetMode="External"/><Relationship Id="rId1416" Type="http://schemas.openxmlformats.org/officeDocument/2006/relationships/hyperlink" Target="https://www.youtube.com/watch?v=stEmh8Re3JI" TargetMode="External"/><Relationship Id="rId2747" Type="http://schemas.openxmlformats.org/officeDocument/2006/relationships/hyperlink" Target="https://nuclearwinterrecords.bandcamp.com/album/lord-of-two-horns" TargetMode="External"/><Relationship Id="rId1417" Type="http://schemas.openxmlformats.org/officeDocument/2006/relationships/hyperlink" Target="https://lunakillsband.bandcamp.com/album/deathmatch" TargetMode="External"/><Relationship Id="rId2748" Type="http://schemas.openxmlformats.org/officeDocument/2006/relationships/hyperlink" Target="https://hpgd.bandcamp.com/album/k" TargetMode="External"/><Relationship Id="rId1418" Type="http://schemas.openxmlformats.org/officeDocument/2006/relationships/hyperlink" Target="https://open.spotify.com/album/1KzhjA47EIY2rX2WjKpMBR?si=WdBNCWqISqyvotvrJxQGLw" TargetMode="External"/><Relationship Id="rId2749" Type="http://schemas.openxmlformats.org/officeDocument/2006/relationships/hyperlink" Target="https://goatshaman.bandcamp.com/album/monkey-palace" TargetMode="External"/><Relationship Id="rId1419" Type="http://schemas.openxmlformats.org/officeDocument/2006/relationships/hyperlink" Target="https://tundrarr.bandcamp.com/album/eternal" TargetMode="External"/><Relationship Id="rId2740" Type="http://schemas.openxmlformats.org/officeDocument/2006/relationships/hyperlink" Target="https://listenable-records.bandcamp.com/album/iii-3" TargetMode="External"/><Relationship Id="rId1410" Type="http://schemas.openxmlformats.org/officeDocument/2006/relationships/hyperlink" Target="https://fractaluniverseband.bandcamp.com/album/the-great-filters" TargetMode="External"/><Relationship Id="rId2741" Type="http://schemas.openxmlformats.org/officeDocument/2006/relationships/hyperlink" Target="https://open.spotify.com/album/3O5mfK4J2B4H1RlghrimjF?si=JY8v_MrVQxGUK9XYt1_m9g" TargetMode="External"/><Relationship Id="rId1400" Type="http://schemas.openxmlformats.org/officeDocument/2006/relationships/hyperlink" Target="https://thornhillmelb.bandcamp.com/album/bodies" TargetMode="External"/><Relationship Id="rId2731" Type="http://schemas.openxmlformats.org/officeDocument/2006/relationships/hyperlink" Target="https://www.youtube.com/watch?v=1I68rlmaB-A" TargetMode="External"/><Relationship Id="rId1401" Type="http://schemas.openxmlformats.org/officeDocument/2006/relationships/hyperlink" Target="https://open.spotify.com/album/5bJeb7bvHrxNvZ6UskCoqm?si=844KA0KwSeSmOAEjVjqVuw" TargetMode="External"/><Relationship Id="rId2732" Type="http://schemas.openxmlformats.org/officeDocument/2006/relationships/hyperlink" Target="https://indemon.bandcamp.com/album/reclaiming-chaos" TargetMode="External"/><Relationship Id="rId1402" Type="http://schemas.openxmlformats.org/officeDocument/2006/relationships/hyperlink" Target="https://hteththemeth.bandcamp.com/album/telluric-inharmonies" TargetMode="External"/><Relationship Id="rId2733" Type="http://schemas.openxmlformats.org/officeDocument/2006/relationships/hyperlink" Target="https://open.spotify.com/album/7493gzRxxLPB3PysmjcawV?si=8G33w0YsRHeXzrvuVn3Vow" TargetMode="External"/><Relationship Id="rId1403" Type="http://schemas.openxmlformats.org/officeDocument/2006/relationships/hyperlink" Target="https://open.spotify.com/album/55OjnjNlj2gJw6s3Pbjkba?si=R3qbhAhgTeeU9q7gPkKrcA" TargetMode="External"/><Relationship Id="rId2734" Type="http://schemas.openxmlformats.org/officeDocument/2006/relationships/hyperlink" Target="https://www.youtube.com/watch?v=uO-2X4ZCcWo" TargetMode="External"/><Relationship Id="rId1404" Type="http://schemas.openxmlformats.org/officeDocument/2006/relationships/hyperlink" Target="https://www.youtube.com/watch?v=FmMKyBT4kpY" TargetMode="External"/><Relationship Id="rId2735" Type="http://schemas.openxmlformats.org/officeDocument/2006/relationships/hyperlink" Target="https://spiderkitten.bandcamp.com/album/the-truth-is-caustic-to-love-2" TargetMode="External"/><Relationship Id="rId1405" Type="http://schemas.openxmlformats.org/officeDocument/2006/relationships/hyperlink" Target="https://pigspigspigspigspigspigspigs.bandcamp.com/album/death-hilarious" TargetMode="External"/><Relationship Id="rId2736" Type="http://schemas.openxmlformats.org/officeDocument/2006/relationships/hyperlink" Target="https://open.spotify.com/album/6NdZA9CIyOWbOCjuqwByfC?si=e_BwbFwvScCb_r87VGur5g" TargetMode="External"/><Relationship Id="rId1406" Type="http://schemas.openxmlformats.org/officeDocument/2006/relationships/hyperlink" Target="https://open.spotify.com/album/3ayehNLPtO03kFwPnkOhgx?si=7m--vdcGQbm8TO79_kRwRw" TargetMode="External"/><Relationship Id="rId2737" Type="http://schemas.openxmlformats.org/officeDocument/2006/relationships/hyperlink" Target="https://www.youtube.com/watch?v=HiJd-wXbPEw" TargetMode="External"/><Relationship Id="rId1407" Type="http://schemas.openxmlformats.org/officeDocument/2006/relationships/hyperlink" Target="https://buriedrealm.bandcamp.com/album/the-dormant-darkness" TargetMode="External"/><Relationship Id="rId2738" Type="http://schemas.openxmlformats.org/officeDocument/2006/relationships/hyperlink" Target="https://flatspotrecords.bandcamp.com/album/fsr83-mental-madness" TargetMode="External"/><Relationship Id="rId1408" Type="http://schemas.openxmlformats.org/officeDocument/2006/relationships/hyperlink" Target="https://open.spotify.com/album/754XMpNnQt2ak53Qq0BuI7?si=dSbOguO0Q52vYVuHpcEmSg" TargetMode="External"/><Relationship Id="rId2739" Type="http://schemas.openxmlformats.org/officeDocument/2006/relationships/hyperlink" Target="https://open.spotify.com/album/1B6SHyXYxJCSutqH7LJpf3?si=J0-uH2dlR-Ow5j7-RddHIg" TargetMode="External"/><Relationship Id="rId1409" Type="http://schemas.openxmlformats.org/officeDocument/2006/relationships/hyperlink" Target="https://open.spotify.com/album/6t8DxeLhrL2wq9MQLppgYb?si=IBvV5uiYSze-TXXhxhKk1w" TargetMode="External"/><Relationship Id="rId2730" Type="http://schemas.openxmlformats.org/officeDocument/2006/relationships/hyperlink" Target="https://open.spotify.com/album/1wuHZMvp6g90uxNdYZDU1Y?si=F27baGSZQTaPeN7EuflpwQ" TargetMode="External"/><Relationship Id="rId1433" Type="http://schemas.openxmlformats.org/officeDocument/2006/relationships/hyperlink" Target="https://antiqofficial.bandcamp.com/album/dark-tales-of-zarathustra" TargetMode="External"/><Relationship Id="rId2764" Type="http://schemas.openxmlformats.org/officeDocument/2006/relationships/hyperlink" Target="https://ritualofdescent.bandcamp.com/album/ephemerality" TargetMode="External"/><Relationship Id="rId1434" Type="http://schemas.openxmlformats.org/officeDocument/2006/relationships/hyperlink" Target="https://dartpunk.bandcamp.com/album/speed-days" TargetMode="External"/><Relationship Id="rId2765" Type="http://schemas.openxmlformats.org/officeDocument/2006/relationships/hyperlink" Target="https://open.spotify.com/album/7wVZ3rrOj7DSRIU42AFPRm?si=xd_RlAqCRgmEM9MoG3Y0xA" TargetMode="External"/><Relationship Id="rId1435" Type="http://schemas.openxmlformats.org/officeDocument/2006/relationships/hyperlink" Target="https://open.spotify.com/album/3y8mRGGL7VNHz3vlIgkOXl?si=ZQCTNVLwTdaZO6OSFDArFg" TargetMode="External"/><Relationship Id="rId2766" Type="http://schemas.openxmlformats.org/officeDocument/2006/relationships/hyperlink" Target="https://thelucidiaproject.bandcamp.com/album/the-twilight-affliction" TargetMode="External"/><Relationship Id="rId1436" Type="http://schemas.openxmlformats.org/officeDocument/2006/relationships/hyperlink" Target="https://chronepsis.bandcamp.com/album/weight-of-eternity" TargetMode="External"/><Relationship Id="rId2767" Type="http://schemas.openxmlformats.org/officeDocument/2006/relationships/hyperlink" Target="https://ylvadelune.bandcamp.com/album/ii" TargetMode="External"/><Relationship Id="rId1437" Type="http://schemas.openxmlformats.org/officeDocument/2006/relationships/hyperlink" Target="https://open.spotify.com/album/0dA796Ugqx518dXHDvjmsI?si=UccCv4ILTZyAiEMENnxO3g" TargetMode="External"/><Relationship Id="rId2768" Type="http://schemas.openxmlformats.org/officeDocument/2006/relationships/hyperlink" Target="https://vayla.bandcamp.com/album/pinttyneet-kuvat" TargetMode="External"/><Relationship Id="rId1438" Type="http://schemas.openxmlformats.org/officeDocument/2006/relationships/hyperlink" Target="https://funeraldancer.bandcamp.com/album/fiends-of-the-outer-wave" TargetMode="External"/><Relationship Id="rId2769" Type="http://schemas.openxmlformats.org/officeDocument/2006/relationships/hyperlink" Target="https://trha.bandcamp.com/album/lact-eben" TargetMode="External"/><Relationship Id="rId1439" Type="http://schemas.openxmlformats.org/officeDocument/2006/relationships/hyperlink" Target="https://open.spotify.com/album/3YhtdyWlN7MdEEmGiaRYSd?si=d3TSNcxoTI-lya_tOC0cGg" TargetMode="External"/><Relationship Id="rId609" Type="http://schemas.openxmlformats.org/officeDocument/2006/relationships/hyperlink" Target="https://open.spotify.com/album/5ZeashLJ5MfVismUG3d2UJ?si=Ki4bPh0xT-yTrGbR_ZnJGg" TargetMode="External"/><Relationship Id="rId608" Type="http://schemas.openxmlformats.org/officeDocument/2006/relationships/hyperlink" Target="https://acrosstheswarm-ttk.bandcamp.com/album/invisible-threads" TargetMode="External"/><Relationship Id="rId607" Type="http://schemas.openxmlformats.org/officeDocument/2006/relationships/hyperlink" Target="https://www.youtube.com/watch?v=xo3LUkdPFoc" TargetMode="External"/><Relationship Id="rId602" Type="http://schemas.openxmlformats.org/officeDocument/2006/relationships/hyperlink" Target="https://open.spotify.com/album/451dL7cTehB0S6mqDAC6VY?si=BWoOv8ZYSC-TprbVXEqQOg" TargetMode="External"/><Relationship Id="rId601" Type="http://schemas.openxmlformats.org/officeDocument/2006/relationships/hyperlink" Target="https://armory417.bandcamp.com/album/black-star" TargetMode="External"/><Relationship Id="rId600" Type="http://schemas.openxmlformats.org/officeDocument/2006/relationships/hyperlink" Target="https://open.spotify.com/album/6v3rA2zzGJR5SbaePw2HHj?si=AMhPEqZ1RFSsroMauL4iEQ" TargetMode="External"/><Relationship Id="rId606" Type="http://schemas.openxmlformats.org/officeDocument/2006/relationships/hyperlink" Target="https://open.spotify.com/album/6x3PVV7VPOblXRD6zuxXGP?si=wFeCcvoASSC5CWDeMaRlKw" TargetMode="External"/><Relationship Id="rId605" Type="http://schemas.openxmlformats.org/officeDocument/2006/relationships/hyperlink" Target="https://seventhstation.bandcamp.com/album/on-shoulders-of-giants" TargetMode="External"/><Relationship Id="rId604" Type="http://schemas.openxmlformats.org/officeDocument/2006/relationships/hyperlink" Target="https://open.spotify.com/album/6Mxk1RIl2uALwS6BQ2ZX0m?si=lQODDe9HR6aDYiCDjbIK0A" TargetMode="External"/><Relationship Id="rId603" Type="http://schemas.openxmlformats.org/officeDocument/2006/relationships/hyperlink" Target="https://dyingvictimsproductions.bandcamp.com/album/powerstrike" TargetMode="External"/><Relationship Id="rId2760" Type="http://schemas.openxmlformats.org/officeDocument/2006/relationships/hyperlink" Target="https://www.youtube.com/watch?v=98zZqBYy79w" TargetMode="External"/><Relationship Id="rId1430" Type="http://schemas.openxmlformats.org/officeDocument/2006/relationships/hyperlink" Target="https://verheerer1.bandcamp.com/album/urgewalt-2" TargetMode="External"/><Relationship Id="rId2761" Type="http://schemas.openxmlformats.org/officeDocument/2006/relationships/hyperlink" Target="https://transylvanianrecordings.bandcamp.com/album/blighted-elder-upon-merciless-flame" TargetMode="External"/><Relationship Id="rId1431" Type="http://schemas.openxmlformats.org/officeDocument/2006/relationships/hyperlink" Target="https://open.spotify.com/album/6ijTifhXznLEeUCnrB202L?si=frops_WGRlmtsmmcQLD-lw" TargetMode="External"/><Relationship Id="rId2762" Type="http://schemas.openxmlformats.org/officeDocument/2006/relationships/hyperlink" Target="https://open.spotify.com/album/6RC0vDHZkrsQfzIABU8Tys?si=pFYORCFXSTqcI0dgiAXPZg" TargetMode="External"/><Relationship Id="rId1432" Type="http://schemas.openxmlformats.org/officeDocument/2006/relationships/hyperlink" Target="https://www.youtube.com/watch?v=o-vj89sKE00" TargetMode="External"/><Relationship Id="rId2763" Type="http://schemas.openxmlformats.org/officeDocument/2006/relationships/hyperlink" Target="https://lavadome.bandcamp.com/album/devastation-hymns" TargetMode="External"/><Relationship Id="rId1422" Type="http://schemas.openxmlformats.org/officeDocument/2006/relationships/hyperlink" Target="https://open.spotify.com/album/2o819WQH2INEaWzqwQeygD?si=ZdjpvdilQt2Vfy0G__i3MA" TargetMode="External"/><Relationship Id="rId2753" Type="http://schemas.openxmlformats.org/officeDocument/2006/relationships/hyperlink" Target="https://open.spotify.com/album/5VoTDugLH1Jp4KoNwQQGTu?si=BSuVfigORj-4OBX27dyfwg" TargetMode="External"/><Relationship Id="rId1423" Type="http://schemas.openxmlformats.org/officeDocument/2006/relationships/hyperlink" Target="https://www.youtube.com/watch?v=z5mhsywmCwg" TargetMode="External"/><Relationship Id="rId2754" Type="http://schemas.openxmlformats.org/officeDocument/2006/relationships/hyperlink" Target="https://wantedbandofficial.bandcamp.com/album/cutting-edge" TargetMode="External"/><Relationship Id="rId1424" Type="http://schemas.openxmlformats.org/officeDocument/2006/relationships/hyperlink" Target="https://aldaaron.bandcamp.com/album/par-del-les-cimes" TargetMode="External"/><Relationship Id="rId2755" Type="http://schemas.openxmlformats.org/officeDocument/2006/relationships/hyperlink" Target="https://open.spotify.com/album/0sklHQ8v1bargmjmk6RHy2?si=qWCViPkiQ-S877QFu3GFoA" TargetMode="External"/><Relationship Id="rId1425" Type="http://schemas.openxmlformats.org/officeDocument/2006/relationships/hyperlink" Target="https://open.spotify.com/album/0FAhG3ofUO9xmpaWlUmplD?si=f7V9CNBgSUa9h4WCC7Cbug" TargetMode="External"/><Relationship Id="rId2756" Type="http://schemas.openxmlformats.org/officeDocument/2006/relationships/hyperlink" Target="https://kingpotenaz.bandcamp.com/album/arcane-desert-rituals-vol-1" TargetMode="External"/><Relationship Id="rId1426" Type="http://schemas.openxmlformats.org/officeDocument/2006/relationships/hyperlink" Target="https://open.spotify.com/album/1S30DTNarNjxiPMuaptWL9?si=ELgVsvbmQza9zBvOEwVJxg" TargetMode="External"/><Relationship Id="rId2757" Type="http://schemas.openxmlformats.org/officeDocument/2006/relationships/hyperlink" Target="https://open.spotify.com/album/6xbr7Fiev6vAcFcqL4UahA?si=U-YIZ4qQSYelOXldhVoJdQ" TargetMode="External"/><Relationship Id="rId1427" Type="http://schemas.openxmlformats.org/officeDocument/2006/relationships/hyperlink" Target="https://benedictionofficial.bandcamp.com/album/ravage-of-empires" TargetMode="External"/><Relationship Id="rId2758" Type="http://schemas.openxmlformats.org/officeDocument/2006/relationships/hyperlink" Target="https://amphisbelgium.bandcamp.com/album/moira-ep" TargetMode="External"/><Relationship Id="rId1428" Type="http://schemas.openxmlformats.org/officeDocument/2006/relationships/hyperlink" Target="https://open.spotify.com/album/79TK0E1EkZidkapa8ce2AA?si=0IbLnX2vS5S3CF1w2jm27A" TargetMode="External"/><Relationship Id="rId2759" Type="http://schemas.openxmlformats.org/officeDocument/2006/relationships/hyperlink" Target="https://open.spotify.com/album/2DWvY7mtVT0vFREHkfgUV8?si=TIDeTFnGQj61QDsW3Snvtg" TargetMode="External"/><Relationship Id="rId1429" Type="http://schemas.openxmlformats.org/officeDocument/2006/relationships/hyperlink" Target="https://www.youtube.com/watch?v=eyOzrX4FYLY" TargetMode="External"/><Relationship Id="rId2750" Type="http://schemas.openxmlformats.org/officeDocument/2006/relationships/hyperlink" Target="https://open.spotify.com/album/6o656H1o4xHpFCGkTY2juI?si=pgr0Ic0QQ8693GuRDzs4GA" TargetMode="External"/><Relationship Id="rId1420" Type="http://schemas.openxmlformats.org/officeDocument/2006/relationships/hyperlink" Target="https://open.spotify.com/album/6a7qq9QUssISVgmNgJt0YH?si=JsOjVt99QGalLW5E6ScrYA" TargetMode="External"/><Relationship Id="rId2751" Type="http://schemas.openxmlformats.org/officeDocument/2006/relationships/hyperlink" Target="https://ruegrind.bandcamp.com/album/sprig-of-rue" TargetMode="External"/><Relationship Id="rId1421" Type="http://schemas.openxmlformats.org/officeDocument/2006/relationships/hyperlink" Target="https://rottingchrist.bandcamp.com/album/35-years-of-evil-existence-live-in-lycabettus" TargetMode="External"/><Relationship Id="rId2752" Type="http://schemas.openxmlformats.org/officeDocument/2006/relationships/hyperlink" Target="https://dirty-pagans.bandcamp.com/album/forever-high" TargetMode="External"/><Relationship Id="rId3238" Type="http://schemas.openxmlformats.org/officeDocument/2006/relationships/hyperlink" Target="https://agendafilth.bandcamp.com/album/filth" TargetMode="External"/><Relationship Id="rId4569" Type="http://schemas.openxmlformats.org/officeDocument/2006/relationships/hyperlink" Target="https://flowingdownward.bandcamp.com/album/40-tsalmaweth" TargetMode="External"/><Relationship Id="rId3237" Type="http://schemas.openxmlformats.org/officeDocument/2006/relationships/hyperlink" Target="https://www.youtube.com/watch?v=ZO3bNAJQbcg" TargetMode="External"/><Relationship Id="rId4568" Type="http://schemas.openxmlformats.org/officeDocument/2006/relationships/hyperlink" Target="https://listenable-records.bandcamp.com/album/struck-a-nerve" TargetMode="External"/><Relationship Id="rId3239" Type="http://schemas.openxmlformats.org/officeDocument/2006/relationships/hyperlink" Target="https://open.spotify.com/album/5ypIJSfjUFfOKZdPI6vbpC?si=BgF3E1qgRSamNNf3FIkHpg" TargetMode="External"/><Relationship Id="rId3230" Type="http://schemas.openxmlformats.org/officeDocument/2006/relationships/hyperlink" Target="https://annulet.bandcamp.com/album/lothric" TargetMode="External"/><Relationship Id="rId4561" Type="http://schemas.openxmlformats.org/officeDocument/2006/relationships/hyperlink" Target="https://whobastard.bandcamp.com/album/ghoul" TargetMode="External"/><Relationship Id="rId4560" Type="http://schemas.openxmlformats.org/officeDocument/2006/relationships/hyperlink" Target="https://unviar.bandcamp.com/album/disgla" TargetMode="External"/><Relationship Id="rId3232" Type="http://schemas.openxmlformats.org/officeDocument/2006/relationships/hyperlink" Target="https://open.spotify.com/album/1STLnpLeSPFsQh9LMViZ3V?si=BolQwiwmSXuEBDw59OPKtw" TargetMode="External"/><Relationship Id="rId4563" Type="http://schemas.openxmlformats.org/officeDocument/2006/relationships/hyperlink" Target="https://kauniskuolematon.bandcamp.com/album/kun-valo-minussa-kuoli" TargetMode="External"/><Relationship Id="rId3231" Type="http://schemas.openxmlformats.org/officeDocument/2006/relationships/hyperlink" Target="https://distantofficial.bandcamp.com/album/tyrannotophia-redux" TargetMode="External"/><Relationship Id="rId4562" Type="http://schemas.openxmlformats.org/officeDocument/2006/relationships/hyperlink" Target="https://nordicwinternp.bandcamp.com/album/solitude" TargetMode="External"/><Relationship Id="rId3234" Type="http://schemas.openxmlformats.org/officeDocument/2006/relationships/hyperlink" Target="https://open.spotify.com/album/2gIK68XdVj6Pa0gKZkpAYc?si=pl04DX_bRWOtMM0d2VxbIg" TargetMode="External"/><Relationship Id="rId4565" Type="http://schemas.openxmlformats.org/officeDocument/2006/relationships/hyperlink" Target="https://satanath.bandcamp.com/album/sat411-victim-of-reality-the-dump-of-human-hopes-2025" TargetMode="External"/><Relationship Id="rId3233" Type="http://schemas.openxmlformats.org/officeDocument/2006/relationships/hyperlink" Target="https://cascaraband.bandcamp.com/album/lost-in-calenture" TargetMode="External"/><Relationship Id="rId4564" Type="http://schemas.openxmlformats.org/officeDocument/2006/relationships/hyperlink" Target="https://agoniarecords.bandcamp.com/album/the-conquering-darkness" TargetMode="External"/><Relationship Id="rId3236" Type="http://schemas.openxmlformats.org/officeDocument/2006/relationships/hyperlink" Target="https://terralgia.bandcamp.com/album/the-living-weight-of-the-world" TargetMode="External"/><Relationship Id="rId4567" Type="http://schemas.openxmlformats.org/officeDocument/2006/relationships/hyperlink" Target="https://aprs.bandcamp.com/album/radio-nocturna-vol-2-voces-del-pasado" TargetMode="External"/><Relationship Id="rId3235" Type="http://schemas.openxmlformats.org/officeDocument/2006/relationships/hyperlink" Target="https://cascaraband.bandcamp.com/album/lost-in-calenture" TargetMode="External"/><Relationship Id="rId4566" Type="http://schemas.openxmlformats.org/officeDocument/2006/relationships/hyperlink" Target="https://grimcolossus.bandcamp.com/album/unhallowed-blasphemies" TargetMode="External"/><Relationship Id="rId3227" Type="http://schemas.openxmlformats.org/officeDocument/2006/relationships/hyperlink" Target="https://vanitasband.bandcamp.com/album/journey-to-the-sun-2" TargetMode="External"/><Relationship Id="rId4558" Type="http://schemas.openxmlformats.org/officeDocument/2006/relationships/hyperlink" Target="https://deathyell.bandcamp.com/album/demons-of-lust" TargetMode="External"/><Relationship Id="rId3226" Type="http://schemas.openxmlformats.org/officeDocument/2006/relationships/hyperlink" Target="https://aeonbridge.bandcamp.com/album/beyond-flesh" TargetMode="External"/><Relationship Id="rId4557" Type="http://schemas.openxmlformats.org/officeDocument/2006/relationships/hyperlink" Target="https://1349som.bandcamp.com/album/winter-mass" TargetMode="External"/><Relationship Id="rId3229" Type="http://schemas.openxmlformats.org/officeDocument/2006/relationships/hyperlink" Target="https://open.spotify.com/album/4d8K4xS6YPABar2YYMX4ku?si=4bgAplZoT1WSzHrUuOC8JA" TargetMode="External"/><Relationship Id="rId3228" Type="http://schemas.openxmlformats.org/officeDocument/2006/relationships/hyperlink" Target="https://open.spotify.com/album/3f1d3TkYTSisCyblkKuQ8h?si=-VrAJJRETEyrFy9UH8pS8Q" TargetMode="External"/><Relationship Id="rId4559" Type="http://schemas.openxmlformats.org/officeDocument/2006/relationships/hyperlink" Target="https://ergot.bandcamp.com/album/decade" TargetMode="External"/><Relationship Id="rId699" Type="http://schemas.openxmlformats.org/officeDocument/2006/relationships/hyperlink" Target="https://open.spotify.com/album/2W82VyyIFAXigJEiLm5TT1?si=-7IJQ_aYTQKglFEburesxA" TargetMode="External"/><Relationship Id="rId698" Type="http://schemas.openxmlformats.org/officeDocument/2006/relationships/hyperlink" Target="https://open.spotify.com/album/4bBJ5gD7f4Ofl5jM2Ie3bI?si=RKer2PytSu-HcD4ipvJVFw" TargetMode="External"/><Relationship Id="rId693" Type="http://schemas.openxmlformats.org/officeDocument/2006/relationships/hyperlink" Target="https://www.youtube.com/watch?v=0sMNEvJJcD0" TargetMode="External"/><Relationship Id="rId4550" Type="http://schemas.openxmlformats.org/officeDocument/2006/relationships/hyperlink" Target="https://vastpyre.bandcamp.com/album/ii-bleak" TargetMode="External"/><Relationship Id="rId692" Type="http://schemas.openxmlformats.org/officeDocument/2006/relationships/hyperlink" Target="https://open.spotify.com/album/4inqVJEL6cv315cbfgntYY?si=WFLU5yyWQte9kvcQDSeH_Q" TargetMode="External"/><Relationship Id="rId691" Type="http://schemas.openxmlformats.org/officeDocument/2006/relationships/hyperlink" Target="https://lightdweller.bandcamp.com/album/the-subjugate" TargetMode="External"/><Relationship Id="rId3221" Type="http://schemas.openxmlformats.org/officeDocument/2006/relationships/hyperlink" Target="https://luxvanta.bandcamp.com/album/post-tenebras" TargetMode="External"/><Relationship Id="rId4552" Type="http://schemas.openxmlformats.org/officeDocument/2006/relationships/hyperlink" Target="https://atdawnrecords.bandcamp.com/album/the-apocalyptic-aeon-2" TargetMode="External"/><Relationship Id="rId690" Type="http://schemas.openxmlformats.org/officeDocument/2006/relationships/hyperlink" Target="https://christianmistress.bandcamp.com/album/children-of-the-earth" TargetMode="External"/><Relationship Id="rId3220" Type="http://schemas.openxmlformats.org/officeDocument/2006/relationships/hyperlink" Target="https://open.spotify.com/album/78xRH69ID5UxSCUOBoymSv?si=JqTA09efSnWGeArn0bP-Jw" TargetMode="External"/><Relationship Id="rId4551" Type="http://schemas.openxmlformats.org/officeDocument/2006/relationships/hyperlink" Target="https://albatrosqc.bandcamp.com/album/correct" TargetMode="External"/><Relationship Id="rId697" Type="http://schemas.openxmlformats.org/officeDocument/2006/relationships/hyperlink" Target="https://celestialscourge.bandcamp.com/album/observers-of-the-inevitable" TargetMode="External"/><Relationship Id="rId3223" Type="http://schemas.openxmlformats.org/officeDocument/2006/relationships/hyperlink" Target="https://comaduster.bandcamp.com/album/memory-echoes" TargetMode="External"/><Relationship Id="rId4554" Type="http://schemas.openxmlformats.org/officeDocument/2006/relationships/hyperlink" Target="https://allweleavebehind.bandcamp.com/album/in-absence-of-light" TargetMode="External"/><Relationship Id="rId696" Type="http://schemas.openxmlformats.org/officeDocument/2006/relationships/hyperlink" Target="https://www.youtube.com/watch?v=--N6Oi_oYoY" TargetMode="External"/><Relationship Id="rId3222" Type="http://schemas.openxmlformats.org/officeDocument/2006/relationships/hyperlink" Target="https://open.spotify.com/album/0Eor6RwWx5QnnHM0V97wT1?si=CoCG_TYuTY6S9PfQQx9XhA" TargetMode="External"/><Relationship Id="rId4553" Type="http://schemas.openxmlformats.org/officeDocument/2006/relationships/hyperlink" Target="https://osmoseproductions.bandcamp.com/album/cloven-tongues-of-fire" TargetMode="External"/><Relationship Id="rId695" Type="http://schemas.openxmlformats.org/officeDocument/2006/relationships/hyperlink" Target="https://open.spotify.com/album/7evYZSe8HDW5ekukOi7A84?si=gQ2biqQHQ2afwP1uGI5OIw" TargetMode="External"/><Relationship Id="rId3225" Type="http://schemas.openxmlformats.org/officeDocument/2006/relationships/hyperlink" Target="https://www.youtube.com/watch?v=cui_rt2nr_8" TargetMode="External"/><Relationship Id="rId4556" Type="http://schemas.openxmlformats.org/officeDocument/2006/relationships/hyperlink" Target="https://carnalsavagery.bandcamp.com/album/crypt-of-decay" TargetMode="External"/><Relationship Id="rId694" Type="http://schemas.openxmlformats.org/officeDocument/2006/relationships/hyperlink" Target="https://vacuousdeath.bandcamp.com/album/in-his-blood" TargetMode="External"/><Relationship Id="rId3224" Type="http://schemas.openxmlformats.org/officeDocument/2006/relationships/hyperlink" Target="https://open.spotify.com/album/14HXdirA1fsvrsO2yNTNs1?si=eq_5vz4nR_yc0bPELHLm-Q" TargetMode="External"/><Relationship Id="rId4555" Type="http://schemas.openxmlformats.org/officeDocument/2006/relationships/hyperlink" Target="https://sinenominestl.bandcamp.com/album/the-sunder-veil" TargetMode="External"/><Relationship Id="rId3259" Type="http://schemas.openxmlformats.org/officeDocument/2006/relationships/hyperlink" Target="https://open.spotify.com/album/0gKGir0HmjfwK03w9MhQ6Z?si=IgWY4pnvS-CKwBbrDX49hQ" TargetMode="External"/><Relationship Id="rId3250" Type="http://schemas.openxmlformats.org/officeDocument/2006/relationships/hyperlink" Target="https://open.spotify.com/album/6mmeJnCg0hmXwHPGGp7xvc?si=ZbXSUe2GRmGQOoeyazNXzQ" TargetMode="External"/><Relationship Id="rId4581" Type="http://schemas.openxmlformats.org/officeDocument/2006/relationships/hyperlink" Target="https://devourtheair.bandcamp.com/album/destroyers" TargetMode="External"/><Relationship Id="rId4580" Type="http://schemas.openxmlformats.org/officeDocument/2006/relationships/hyperlink" Target="https://soulsellerrecords.bandcamp.com/album/beneath-the-shroud" TargetMode="External"/><Relationship Id="rId3252" Type="http://schemas.openxmlformats.org/officeDocument/2006/relationships/hyperlink" Target="https://plini.bandcamp.com/album/live-in-north-america" TargetMode="External"/><Relationship Id="rId4583" Type="http://schemas.openxmlformats.org/officeDocument/2006/relationships/hyperlink" Target="https://only-bln.bandcamp.com/album/eyes-wide-open" TargetMode="External"/><Relationship Id="rId3251" Type="http://schemas.openxmlformats.org/officeDocument/2006/relationships/hyperlink" Target="https://teramaze.bandcamp.com/album/live-at-bakehouse-studios-her-halo" TargetMode="External"/><Relationship Id="rId4582" Type="http://schemas.openxmlformats.org/officeDocument/2006/relationships/hyperlink" Target="https://svntarer.bandcamp.com/album/exitus-triumphalis" TargetMode="External"/><Relationship Id="rId3254" Type="http://schemas.openxmlformats.org/officeDocument/2006/relationships/hyperlink" Target="https://open.spotify.com/album/1gmWnG5TeRj91Tdm2lpEvJ?si=1Hpxk-e-TSyV8QDdbSXx2A" TargetMode="External"/><Relationship Id="rId4585" Type="http://schemas.openxmlformats.org/officeDocument/2006/relationships/hyperlink" Target="https://warlocksofmorgulofficial.bandcamp.com/album/empire-of-puritanical-sorrow" TargetMode="External"/><Relationship Id="rId3253" Type="http://schemas.openxmlformats.org/officeDocument/2006/relationships/hyperlink" Target="https://open.spotify.com/album/3BT4vTeNqs5wVdGDHgjxFk?si=IvpeWNsdQwKZDTxa483jpw" TargetMode="External"/><Relationship Id="rId4584" Type="http://schemas.openxmlformats.org/officeDocument/2006/relationships/hyperlink" Target="https://idolthrone.bandcamp.com/album/harbinger-of-light-ep" TargetMode="External"/><Relationship Id="rId3256" Type="http://schemas.openxmlformats.org/officeDocument/2006/relationships/hyperlink" Target="https://open.spotify.com/album/4mYptqhtO76YtDXcHlZBnV?si=cISrSWMARdKImGvoOULWuQ" TargetMode="External"/><Relationship Id="rId4587" Type="http://schemas.openxmlformats.org/officeDocument/2006/relationships/hyperlink" Target="https://despiteexile.bandcamp.com/album/where-hope-goes-to-die" TargetMode="External"/><Relationship Id="rId3255" Type="http://schemas.openxmlformats.org/officeDocument/2006/relationships/hyperlink" Target="https://hypaethralrecords.bandcamp.com/album/abandon" TargetMode="External"/><Relationship Id="rId4586" Type="http://schemas.openxmlformats.org/officeDocument/2006/relationships/hyperlink" Target="https://deathobvious-label.bandcamp.com/album/death-obvious" TargetMode="External"/><Relationship Id="rId3258" Type="http://schemas.openxmlformats.org/officeDocument/2006/relationships/hyperlink" Target="https://innumerableforms.bandcamp.com/album/pain-effulgence" TargetMode="External"/><Relationship Id="rId4589" Type="http://schemas.openxmlformats.org/officeDocument/2006/relationships/hyperlink" Target="https://cursedmonk.bandcamp.com/album/espanto" TargetMode="External"/><Relationship Id="rId3257" Type="http://schemas.openxmlformats.org/officeDocument/2006/relationships/hyperlink" Target="https://open.spotify.com/album/42KPmh26BJtkXWEQqsfIQ3?si=whUvVelQRxSKLgkfPkqtQg" TargetMode="External"/><Relationship Id="rId4588" Type="http://schemas.openxmlformats.org/officeDocument/2006/relationships/hyperlink" Target="https://theviceonline.bandcamp.com/album/red-tape-sessions" TargetMode="External"/><Relationship Id="rId3249" Type="http://schemas.openxmlformats.org/officeDocument/2006/relationships/hyperlink" Target="https://open.spotify.com/album/0ABVcWFqeuzlCL1feJjPjs?si=0IpfKpiCQ5-uYi7EBEm-Bg" TargetMode="External"/><Relationship Id="rId3248" Type="http://schemas.openxmlformats.org/officeDocument/2006/relationships/hyperlink" Target="https://open.spotify.com/album/01BUMINqslFlLpLasv5GMi?si=HhqBBnzmRQCWMT1RWgILlg" TargetMode="External"/><Relationship Id="rId4579" Type="http://schemas.openxmlformats.org/officeDocument/2006/relationships/hyperlink" Target="https://soulsellerrecords.bandcamp.com/album/siltskin" TargetMode="External"/><Relationship Id="rId4570" Type="http://schemas.openxmlformats.org/officeDocument/2006/relationships/hyperlink" Target="https://mydominionofficial.bandcamp.com/album/extinction" TargetMode="External"/><Relationship Id="rId3241" Type="http://schemas.openxmlformats.org/officeDocument/2006/relationships/hyperlink" Target="https://open.spotify.com/album/2kYuIZkRdr4dsqJXdhEwrS?si=OBShfEJ8S2mpPd2bG_vO0g" TargetMode="External"/><Relationship Id="rId4572" Type="http://schemas.openxmlformats.org/officeDocument/2006/relationships/hyperlink" Target="https://onigumo.bandcamp.com/album/the-marrow-mirror" TargetMode="External"/><Relationship Id="rId3240" Type="http://schemas.openxmlformats.org/officeDocument/2006/relationships/hyperlink" Target="https://solaceinsolitude.bandcamp.com/album/m-e-t-a-n-o-i-a" TargetMode="External"/><Relationship Id="rId4571" Type="http://schemas.openxmlformats.org/officeDocument/2006/relationships/hyperlink" Target="https://devil-m.bandcamp.com/album/titanomachie" TargetMode="External"/><Relationship Id="rId3243" Type="http://schemas.openxmlformats.org/officeDocument/2006/relationships/hyperlink" Target="https://ennui631.bandcamp.com/album/eternal-wax-wings-eternal-sun" TargetMode="External"/><Relationship Id="rId4574" Type="http://schemas.openxmlformats.org/officeDocument/2006/relationships/hyperlink" Target="https://binaryorder.bandcamp.com/album/whites-dream" TargetMode="External"/><Relationship Id="rId3242" Type="http://schemas.openxmlformats.org/officeDocument/2006/relationships/hyperlink" Target="https://samedeepwater.bandcamp.com/album/will-i-still-wake-waiting-to-be-something" TargetMode="External"/><Relationship Id="rId4573" Type="http://schemas.openxmlformats.org/officeDocument/2006/relationships/hyperlink" Target="https://xtreemmusic.bandcamp.com/album/infinite-measure-finite-existence" TargetMode="External"/><Relationship Id="rId3245" Type="http://schemas.openxmlformats.org/officeDocument/2006/relationships/hyperlink" Target="https://xtreemmusic.bandcamp.com/album/abnormal-attachments" TargetMode="External"/><Relationship Id="rId4576" Type="http://schemas.openxmlformats.org/officeDocument/2006/relationships/hyperlink" Target="https://enthroned.bandcamp.com/album/ashspawn" TargetMode="External"/><Relationship Id="rId3244" Type="http://schemas.openxmlformats.org/officeDocument/2006/relationships/hyperlink" Target="https://open.spotify.com/album/6pilGb1zT5tamU2L1QnZzw?si=vcwMh3g3TkO__E3sGGubeA" TargetMode="External"/><Relationship Id="rId4575" Type="http://schemas.openxmlformats.org/officeDocument/2006/relationships/hyperlink" Target="https://persefone.bandcamp.com/album/live-in-andorra" TargetMode="External"/><Relationship Id="rId3247" Type="http://schemas.openxmlformats.org/officeDocument/2006/relationships/hyperlink" Target="https://www.youtube.com/watch?v=s-ATE2hsJqg" TargetMode="External"/><Relationship Id="rId4578" Type="http://schemas.openxmlformats.org/officeDocument/2006/relationships/hyperlink" Target="https://burningdeath.bandcamp.com/album/burning-death" TargetMode="External"/><Relationship Id="rId3246" Type="http://schemas.openxmlformats.org/officeDocument/2006/relationships/hyperlink" Target="https://open.spotify.com/album/3MCt3dbK5LFDrkrllNGQ2o?si=iUZzVRHySvSczfeTP0z3EA" TargetMode="External"/><Relationship Id="rId4577" Type="http://schemas.openxmlformats.org/officeDocument/2006/relationships/hyperlink" Target="https://skogskult.bandcamp.com/album/skogskult" TargetMode="External"/><Relationship Id="rId1499" Type="http://schemas.openxmlformats.org/officeDocument/2006/relationships/hyperlink" Target="https://epicaofficial.bandcamp.com/album/aspiral" TargetMode="External"/><Relationship Id="rId4525" Type="http://schemas.openxmlformats.org/officeDocument/2006/relationships/hyperlink" Target="https://tankcrimes.bandcamp.com/album/lost-within-the-astral-crypts" TargetMode="External"/><Relationship Id="rId4524" Type="http://schemas.openxmlformats.org/officeDocument/2006/relationships/hyperlink" Target="https://oldnight.bandcamp.com/album/mediterranean-melancholy" TargetMode="External"/><Relationship Id="rId4527" Type="http://schemas.openxmlformats.org/officeDocument/2006/relationships/hyperlink" Target="https://depravitydeath.bandcamp.com/album/bestial-possession" TargetMode="External"/><Relationship Id="rId4526" Type="http://schemas.openxmlformats.org/officeDocument/2006/relationships/hyperlink" Target="https://mesacounojo.bandcamp.com/album/egregious-defilement" TargetMode="External"/><Relationship Id="rId4529" Type="http://schemas.openxmlformats.org/officeDocument/2006/relationships/hyperlink" Target="https://darkdescentrecords.bandcamp.com/album/ash-eclipses-flesh" TargetMode="External"/><Relationship Id="rId4528" Type="http://schemas.openxmlformats.org/officeDocument/2006/relationships/hyperlink" Target="https://avantgardemusic.bandcamp.com/album/megalith" TargetMode="External"/><Relationship Id="rId668" Type="http://schemas.openxmlformats.org/officeDocument/2006/relationships/hyperlink" Target="https://vjecnasuma.bandcamp.com/album/the-stormbound-curse" TargetMode="External"/><Relationship Id="rId667" Type="http://schemas.openxmlformats.org/officeDocument/2006/relationships/hyperlink" Target="https://transylvanianrecordings.bandcamp.com/album/stress-test" TargetMode="External"/><Relationship Id="rId666" Type="http://schemas.openxmlformats.org/officeDocument/2006/relationships/hyperlink" Target="https://voidwandererproductions.bandcamp.com/album/verstrikt-in-halflicht" TargetMode="External"/><Relationship Id="rId665" Type="http://schemas.openxmlformats.org/officeDocument/2006/relationships/hyperlink" Target="https://open.spotify.com/album/29U1WiwvLbPjuFph1cxGWp?si=bWw24BynQf-S9MSx4E3rPg" TargetMode="External"/><Relationship Id="rId669" Type="http://schemas.openxmlformats.org/officeDocument/2006/relationships/hyperlink" Target="https://robustfellow.bandcamp.com/album/obrij-2" TargetMode="External"/><Relationship Id="rId1490" Type="http://schemas.openxmlformats.org/officeDocument/2006/relationships/hyperlink" Target="https://thelordweirdsloughfeg.bandcamp.com/album/traveller-supplement-1-the-ephemeral-glades" TargetMode="External"/><Relationship Id="rId660" Type="http://schemas.openxmlformats.org/officeDocument/2006/relationships/hyperlink" Target="https://open.spotify.com/album/3Vx5xd3o000Mjg5OICoxPJ?si=pqUesUbaSmWeHeUYDGQHTw" TargetMode="External"/><Relationship Id="rId1491" Type="http://schemas.openxmlformats.org/officeDocument/2006/relationships/hyperlink" Target="https://open.spotify.com/album/5UF79tWmotOQw7tTWaIyrm?si=OSruDTHdSFqeSQVmdb6TWA" TargetMode="External"/><Relationship Id="rId1492" Type="http://schemas.openxmlformats.org/officeDocument/2006/relationships/hyperlink" Target="https://thebirthdaymassacre.bandcamp.com/album/pathways" TargetMode="External"/><Relationship Id="rId1493" Type="http://schemas.openxmlformats.org/officeDocument/2006/relationships/hyperlink" Target="https://open.spotify.com/album/0l0izXa1uMrhv4holoxFvH?si=Y6cujtygQD688-pONq0Mmg" TargetMode="External"/><Relationship Id="rId1494" Type="http://schemas.openxmlformats.org/officeDocument/2006/relationships/hyperlink" Target="https://highcouncil.bandcamp.com/album/cruel-and-unusual" TargetMode="External"/><Relationship Id="rId664" Type="http://schemas.openxmlformats.org/officeDocument/2006/relationships/hyperlink" Target="https://hesychast.bandcamp.com/album/for-whom-we-sing-new-troparia" TargetMode="External"/><Relationship Id="rId1495" Type="http://schemas.openxmlformats.org/officeDocument/2006/relationships/hyperlink" Target="https://open.spotify.com/album/5zplAi34yuf8AsdcnNtR0U?si=x6INeuyIQLGP0vAcpCpYUA" TargetMode="External"/><Relationship Id="rId4521" Type="http://schemas.openxmlformats.org/officeDocument/2006/relationships/hyperlink" Target="https://mendelian.bandcamp.com/album/la-s-ance-nocturne" TargetMode="External"/><Relationship Id="rId663" Type="http://schemas.openxmlformats.org/officeDocument/2006/relationships/hyperlink" Target="https://emblaband.bandcamp.com/album/a-way-away" TargetMode="External"/><Relationship Id="rId1496" Type="http://schemas.openxmlformats.org/officeDocument/2006/relationships/hyperlink" Target="https://bloodabscission.bandcamp.com/album/i-i" TargetMode="External"/><Relationship Id="rId4520" Type="http://schemas.openxmlformats.org/officeDocument/2006/relationships/hyperlink" Target="https://domerunner.bandcamp.com/album/world-panopticon" TargetMode="External"/><Relationship Id="rId662" Type="http://schemas.openxmlformats.org/officeDocument/2006/relationships/hyperlink" Target="https://alyksir.bandcamp.com/album/devourer" TargetMode="External"/><Relationship Id="rId1497" Type="http://schemas.openxmlformats.org/officeDocument/2006/relationships/hyperlink" Target="https://open.spotify.com/album/1Xr77CMidu02P3iQgvPKzB?si=GSgyFMjrSdasg51JIybt3Q" TargetMode="External"/><Relationship Id="rId4523" Type="http://schemas.openxmlformats.org/officeDocument/2006/relationships/hyperlink" Target="https://gasketbaltimore.bandcamp.com/album/gasket" TargetMode="External"/><Relationship Id="rId661" Type="http://schemas.openxmlformats.org/officeDocument/2006/relationships/hyperlink" Target="https://showofbedlam.bandcamp.com/album/la-cath-drale-engloutie" TargetMode="External"/><Relationship Id="rId1498" Type="http://schemas.openxmlformats.org/officeDocument/2006/relationships/hyperlink" Target="https://www.youtube.com/watch?v=7u7cwTnvPUg" TargetMode="External"/><Relationship Id="rId4522" Type="http://schemas.openxmlformats.org/officeDocument/2006/relationships/hyperlink" Target="https://ripplemusic.bandcamp.com/album/empires-of-stone" TargetMode="External"/><Relationship Id="rId1488" Type="http://schemas.openxmlformats.org/officeDocument/2006/relationships/hyperlink" Target="https://neptunianmaximalism.bandcamp.com/album/le-sacre-du-soleil-invaincu" TargetMode="External"/><Relationship Id="rId4514" Type="http://schemas.openxmlformats.org/officeDocument/2006/relationships/hyperlink" Target="https://dyingvictimsproductions.bandcamp.com/album/steel-fire-ice" TargetMode="External"/><Relationship Id="rId1489" Type="http://schemas.openxmlformats.org/officeDocument/2006/relationships/hyperlink" Target="https://open.spotify.com/album/4ydJLShJo7kSGQIn1eA0rL?si=fdjxga-GQzGh4k4LJsT8eg" TargetMode="External"/><Relationship Id="rId4513" Type="http://schemas.openxmlformats.org/officeDocument/2006/relationships/hyperlink" Target="https://sunofthedying.bandcamp.com/album/a-throne-of-ashes" TargetMode="External"/><Relationship Id="rId4516" Type="http://schemas.openxmlformats.org/officeDocument/2006/relationships/hyperlink" Target="https://dyingvictimsproductions.bandcamp.com/album/stardust" TargetMode="External"/><Relationship Id="rId4515" Type="http://schemas.openxmlformats.org/officeDocument/2006/relationships/hyperlink" Target="https://scytheforsoreeyes.bandcamp.com/album/face-puzzle" TargetMode="External"/><Relationship Id="rId4518" Type="http://schemas.openxmlformats.org/officeDocument/2006/relationships/hyperlink" Target="https://scarletrecords.bandcamp.com/album/forgotten-reveries" TargetMode="External"/><Relationship Id="rId4517" Type="http://schemas.openxmlformats.org/officeDocument/2006/relationships/hyperlink" Target="https://bloodbound.bandcamp.com/album/field-of-swords" TargetMode="External"/><Relationship Id="rId4519" Type="http://schemas.openxmlformats.org/officeDocument/2006/relationships/hyperlink" Target="https://ripplemusic.bandcamp.com/album/wizards-light" TargetMode="External"/><Relationship Id="rId657" Type="http://schemas.openxmlformats.org/officeDocument/2006/relationships/hyperlink" Target="https://trha.bandcamp.com/album/umad-ejja-m-oravaj" TargetMode="External"/><Relationship Id="rId656" Type="http://schemas.openxmlformats.org/officeDocument/2006/relationships/hyperlink" Target="https://centipedeabyss.bandcamp.com/album/rituals" TargetMode="External"/><Relationship Id="rId655" Type="http://schemas.openxmlformats.org/officeDocument/2006/relationships/hyperlink" Target="https://seamosquito.bandcamp.com/album/reflections" TargetMode="External"/><Relationship Id="rId654" Type="http://schemas.openxmlformats.org/officeDocument/2006/relationships/hyperlink" Target="https://open.spotify.com/album/659OwcOXEKcQlnzEW7M0mf?si=D1ccT6TASFeiUE0OO-Mk9A" TargetMode="External"/><Relationship Id="rId659" Type="http://schemas.openxmlformats.org/officeDocument/2006/relationships/hyperlink" Target="https://trha.bandcamp.com/album/ducel-f-acetasde-den-al-ca-habna-igatenam-c-j-sjaboj-j-q-m-na-matalsob-nim-de-eh-en-cunnab-nipi-e" TargetMode="External"/><Relationship Id="rId658" Type="http://schemas.openxmlformats.org/officeDocument/2006/relationships/hyperlink" Target="https://open.spotify.com/album/70JcPb1AGad0jo6gZm1Twe?si=7iKgHNmtTq6qE1X28m8muw" TargetMode="External"/><Relationship Id="rId1480" Type="http://schemas.openxmlformats.org/officeDocument/2006/relationships/hyperlink" Target="https://cytotoxin.bandcamp.com/album/biographyte" TargetMode="External"/><Relationship Id="rId1481" Type="http://schemas.openxmlformats.org/officeDocument/2006/relationships/hyperlink" Target="https://open.spotify.com/album/5w3On2s0C1DnCMPsXiPKW5?si=LEjkal6pSqy_LHH4qCl1Tg" TargetMode="External"/><Relationship Id="rId1482" Type="http://schemas.openxmlformats.org/officeDocument/2006/relationships/hyperlink" Target="https://soliloquium.bandcamp.com/album/famine" TargetMode="External"/><Relationship Id="rId1483" Type="http://schemas.openxmlformats.org/officeDocument/2006/relationships/hyperlink" Target="https://open.spotify.com/album/2QePGc5nSJyMlYYZs1Fp9Z?si=PrgYFWqtTFCXbxRq7kBRdA" TargetMode="External"/><Relationship Id="rId653" Type="http://schemas.openxmlformats.org/officeDocument/2006/relationships/hyperlink" Target="https://dorre.bandcamp.com/album/fortress-2" TargetMode="External"/><Relationship Id="rId1484" Type="http://schemas.openxmlformats.org/officeDocument/2006/relationships/hyperlink" Target="https://limboswe.bandcamp.com/album/elicit" TargetMode="External"/><Relationship Id="rId4510" Type="http://schemas.openxmlformats.org/officeDocument/2006/relationships/hyperlink" Target="https://hummingwhale.bandcamp.com/album/chasing-rabbits" TargetMode="External"/><Relationship Id="rId652" Type="http://schemas.openxmlformats.org/officeDocument/2006/relationships/hyperlink" Target="https://open.spotify.com/album/2wZ14E0TujvUeLVVxL46sm?si=x0Hz1wTVQqy-MBM5mdD4LA" TargetMode="External"/><Relationship Id="rId1485" Type="http://schemas.openxmlformats.org/officeDocument/2006/relationships/hyperlink" Target="https://open.spotify.com/album/4RX1g6bzv9dIY49O5GxvME?si=Ihhu8Lb4Qr2Z54A2CCCyWQ" TargetMode="External"/><Relationship Id="rId651" Type="http://schemas.openxmlformats.org/officeDocument/2006/relationships/hyperlink" Target="https://open.spotify.com/album/3Wc3D4OrkRjVkBk5o5975S?si=5koGxyQ2RTiosX2-lxj8dw" TargetMode="External"/><Relationship Id="rId1486" Type="http://schemas.openxmlformats.org/officeDocument/2006/relationships/hyperlink" Target="https://i-voidhangerrecords.bandcamp.com/album/incandescent" TargetMode="External"/><Relationship Id="rId4512" Type="http://schemas.openxmlformats.org/officeDocument/2006/relationships/hyperlink" Target="https://spotlights.bandcamp.com/album/rarities" TargetMode="External"/><Relationship Id="rId650" Type="http://schemas.openxmlformats.org/officeDocument/2006/relationships/hyperlink" Target="https://amonsethis.bandcamp.com/album/part-iii-dawn-of-an-apocalyptic-world-2" TargetMode="External"/><Relationship Id="rId1487" Type="http://schemas.openxmlformats.org/officeDocument/2006/relationships/hyperlink" Target="https://open.spotify.com/album/2qsVbhQZgdM7PmAUBWgLBf?si=kqrT45DgQyC3JHQlW8bqqw" TargetMode="External"/><Relationship Id="rId4511" Type="http://schemas.openxmlformats.org/officeDocument/2006/relationships/hyperlink" Target="https://everlastingspew.bandcamp.com/album/latitudes-of-sorrow" TargetMode="External"/><Relationship Id="rId3216" Type="http://schemas.openxmlformats.org/officeDocument/2006/relationships/hyperlink" Target="https://www.youtube.com/watch?v=C8SqqhkSLnQ" TargetMode="External"/><Relationship Id="rId4547" Type="http://schemas.openxmlformats.org/officeDocument/2006/relationships/hyperlink" Target="https://greatdanerecords.bandcamp.com/album/homunculus-sapiens" TargetMode="External"/><Relationship Id="rId3215" Type="http://schemas.openxmlformats.org/officeDocument/2006/relationships/hyperlink" Target="https://open.spotify.com/album/7pCkRZnCRfdOb6EsqvB37z?si=M4mOUieyQJOKHJsLIJIAGA" TargetMode="External"/><Relationship Id="rId4546" Type="http://schemas.openxmlformats.org/officeDocument/2006/relationships/hyperlink" Target="https://blutausnord.bandcamp.com/album/ethereal-horizons" TargetMode="External"/><Relationship Id="rId3218" Type="http://schemas.openxmlformats.org/officeDocument/2006/relationships/hyperlink" Target="https://open.spotify.com/album/1EwNzzN0r6N7Ia542XKea9?si=zoq3Vx-MQ_-7A0hDWhPIzg" TargetMode="External"/><Relationship Id="rId4549" Type="http://schemas.openxmlformats.org/officeDocument/2006/relationships/hyperlink" Target="https://thermalitysweden.bandcamp.com/album/concept-42" TargetMode="External"/><Relationship Id="rId3217" Type="http://schemas.openxmlformats.org/officeDocument/2006/relationships/hyperlink" Target="https://officialphosphorus.bandcamp.com/album/frail-grasp-of-broken-hands" TargetMode="External"/><Relationship Id="rId4548" Type="http://schemas.openxmlformats.org/officeDocument/2006/relationships/hyperlink" Target="https://verilehto.bandcamp.com/album/aarnihauta" TargetMode="External"/><Relationship Id="rId3219" Type="http://schemas.openxmlformats.org/officeDocument/2006/relationships/hyperlink" Target="https://thenetherlands1.bandcamp.com/album/vapors" TargetMode="External"/><Relationship Id="rId689" Type="http://schemas.openxmlformats.org/officeDocument/2006/relationships/hyperlink" Target="https://open.spotify.com/album/7jefmVp3MHn6v7Td26VL7o?si=Xmq9JPJlQHyEd4uyC-vcyg" TargetMode="External"/><Relationship Id="rId688" Type="http://schemas.openxmlformats.org/officeDocument/2006/relationships/hyperlink" Target="https://i-voidhangerrecords.bandcamp.com/album/dysmor" TargetMode="External"/><Relationship Id="rId687" Type="http://schemas.openxmlformats.org/officeDocument/2006/relationships/hyperlink" Target="https://open.spotify.com/album/6pxWgsTgGJ6Hi3hZUthFmH?si=vM0vP5dyS1mxrbJ_fyHNPQ" TargetMode="External"/><Relationship Id="rId682" Type="http://schemas.openxmlformats.org/officeDocument/2006/relationships/hyperlink" Target="https://causticphlegm.bandcamp.com/album/purulent-apocalypse" TargetMode="External"/><Relationship Id="rId681" Type="http://schemas.openxmlformats.org/officeDocument/2006/relationships/hyperlink" Target="https://open.spotify.com/album/1s2PVyX9GcZIhHbxptfHcN?si=FHDA8ZQGRjikeNfVqUAiHg" TargetMode="External"/><Relationship Id="rId680" Type="http://schemas.openxmlformats.org/officeDocument/2006/relationships/hyperlink" Target="https://regainrecords.bandcamp.com/album/emanating-sparks" TargetMode="External"/><Relationship Id="rId3210" Type="http://schemas.openxmlformats.org/officeDocument/2006/relationships/hyperlink" Target="https://kingyosef.bandcamp.com/album/spire-of-fear" TargetMode="External"/><Relationship Id="rId4541" Type="http://schemas.openxmlformats.org/officeDocument/2006/relationships/hyperlink" Target="https://theolddeadtree.bandcamp.com/album/london-sessions-ep" TargetMode="External"/><Relationship Id="rId4540" Type="http://schemas.openxmlformats.org/officeDocument/2006/relationships/hyperlink" Target="https://darkdescentrecords.bandcamp.com/album/gateway" TargetMode="External"/><Relationship Id="rId686" Type="http://schemas.openxmlformats.org/officeDocument/2006/relationships/hyperlink" Target="https://sleepparalysisblackmetal.bandcamp.com/album/sleep-paralysis" TargetMode="External"/><Relationship Id="rId3212" Type="http://schemas.openxmlformats.org/officeDocument/2006/relationships/hyperlink" Target="https://www.youtube.com/watch?v=qBz82XBxj54" TargetMode="External"/><Relationship Id="rId4543" Type="http://schemas.openxmlformats.org/officeDocument/2006/relationships/hyperlink" Target="https://dyssidia.bandcamp.com/album/deeper-wells-of-meaning" TargetMode="External"/><Relationship Id="rId685" Type="http://schemas.openxmlformats.org/officeDocument/2006/relationships/hyperlink" Target="https://open.spotify.com/album/67gFWV5AapmccoSjCrF8AU?si=XQwJzTATSUSrD8q0ljWt6Q" TargetMode="External"/><Relationship Id="rId3211" Type="http://schemas.openxmlformats.org/officeDocument/2006/relationships/hyperlink" Target="https://open.spotify.com/album/5Ahdo9dIyRoUoRD7ZUBS1R?si=dG5I6Qv_RfKURTcaYCQzkA" TargetMode="External"/><Relationship Id="rId4542" Type="http://schemas.openxmlformats.org/officeDocument/2006/relationships/hyperlink" Target="https://mindprisoner.bandcamp.com/album/less-faith" TargetMode="External"/><Relationship Id="rId684" Type="http://schemas.openxmlformats.org/officeDocument/2006/relationships/hyperlink" Target="https://i-voidhangerrecords.bandcamp.com/album/extreme-danger-prototype-weaponry" TargetMode="External"/><Relationship Id="rId3214" Type="http://schemas.openxmlformats.org/officeDocument/2006/relationships/hyperlink" Target="https://open.spotify.com/album/47IYnV4tMPgfYYnVXaXepW?si=7XJIRPfuQg63Imq8R1bkzQ" TargetMode="External"/><Relationship Id="rId4545" Type="http://schemas.openxmlformats.org/officeDocument/2006/relationships/hyperlink" Target="https://insideoutmusic.bandcamp.com/album/quaranti-me-live-paris-24-bit-hd-audio" TargetMode="External"/><Relationship Id="rId683" Type="http://schemas.openxmlformats.org/officeDocument/2006/relationships/hyperlink" Target="https://open.spotify.com/album/6mLT5pNvUBRiwqClXMgjFY?si=PE8h8p0TQw-RlgyL-eq1vw" TargetMode="External"/><Relationship Id="rId3213" Type="http://schemas.openxmlformats.org/officeDocument/2006/relationships/hyperlink" Target="https://fellomen.bandcamp.com/album/caelid-dog-summer" TargetMode="External"/><Relationship Id="rId4544" Type="http://schemas.openxmlformats.org/officeDocument/2006/relationships/hyperlink" Target="https://wearebrutus.bandcamp.com/album/live-in-brussels" TargetMode="External"/><Relationship Id="rId3205" Type="http://schemas.openxmlformats.org/officeDocument/2006/relationships/hyperlink" Target="https://anthrodynia.bandcamp.com/album/unspeakable-horrors-emanating-from-within" TargetMode="External"/><Relationship Id="rId4536" Type="http://schemas.openxmlformats.org/officeDocument/2006/relationships/hyperlink" Target="https://puritanbone.bandcamp.com/album/ecstasy-on-the-frontier-of-blood" TargetMode="External"/><Relationship Id="rId3204" Type="http://schemas.openxmlformats.org/officeDocument/2006/relationships/hyperlink" Target="https://abhorrentexpanse.bandcamp.com/album/enter-the-misanthropocene" TargetMode="External"/><Relationship Id="rId4535" Type="http://schemas.openxmlformats.org/officeDocument/2006/relationships/hyperlink" Target="https://fessusdarknessshallrise.bandcamp.com/album/subcutaneous-tomb" TargetMode="External"/><Relationship Id="rId3207" Type="http://schemas.openxmlformats.org/officeDocument/2006/relationships/hyperlink" Target="https://compulsed.bandcamp.com/album/amalgamated-anguish" TargetMode="External"/><Relationship Id="rId4538" Type="http://schemas.openxmlformats.org/officeDocument/2006/relationships/hyperlink" Target="https://downfallrecords.bandcamp.com/album/la-meg-sj-alt-omkring-meg-falle" TargetMode="External"/><Relationship Id="rId3206" Type="http://schemas.openxmlformats.org/officeDocument/2006/relationships/hyperlink" Target="https://open.spotify.com/album/4rXIhriwv2vt2cyiEdHmv1?si=KOqDq1_hS_SD34fVup3JLg" TargetMode="External"/><Relationship Id="rId4537" Type="http://schemas.openxmlformats.org/officeDocument/2006/relationships/hyperlink" Target="https://feathermountain.bandcamp.com/album/a-liminal-step" TargetMode="External"/><Relationship Id="rId3209" Type="http://schemas.openxmlformats.org/officeDocument/2006/relationships/hyperlink" Target="https://www.youtube.com/watch?v=proR2UfTpQQ" TargetMode="External"/><Relationship Id="rId3208" Type="http://schemas.openxmlformats.org/officeDocument/2006/relationships/hyperlink" Target="https://open.spotify.com/album/18Zgyocnpk8gRqGDoCCHZX?si=TvRkZgzLRiCF6Majr67CIg" TargetMode="External"/><Relationship Id="rId4539" Type="http://schemas.openxmlformats.org/officeDocument/2006/relationships/hyperlink" Target="https://deadanddrippingus.bandcamp.com/album/nefarious-scintillations" TargetMode="External"/><Relationship Id="rId679" Type="http://schemas.openxmlformats.org/officeDocument/2006/relationships/hyperlink" Target="https://www.youtube.com/watch?v=rUteMTnxg_4" TargetMode="External"/><Relationship Id="rId678" Type="http://schemas.openxmlformats.org/officeDocument/2006/relationships/hyperlink" Target="https://open.spotify.com/album/0JKM4TOUoh0pdvisPJ4bdL?si=wMX6Gz8BTWGX8-DIKn13pw" TargetMode="External"/><Relationship Id="rId677" Type="http://schemas.openxmlformats.org/officeDocument/2006/relationships/hyperlink" Target="https://sentientruin.bandcamp.com/album/profanation-of-the-adamic-covenant" TargetMode="External"/><Relationship Id="rId676" Type="http://schemas.openxmlformats.org/officeDocument/2006/relationships/hyperlink" Target="https://www.youtube.com/watch?v=hnjCXE4GfTo" TargetMode="External"/><Relationship Id="rId671" Type="http://schemas.openxmlformats.org/officeDocument/2006/relationships/hyperlink" Target="https://primrosepathofficial.bandcamp.com/album/ruminations" TargetMode="External"/><Relationship Id="rId670" Type="http://schemas.openxmlformats.org/officeDocument/2006/relationships/hyperlink" Target="https://open.spotify.com/album/2x1F7iTaZPYjJ9qrlQHzWy?si=7HjLPlxtQDCKXMC5Kkb2MQ" TargetMode="External"/><Relationship Id="rId4530" Type="http://schemas.openxmlformats.org/officeDocument/2006/relationships/hyperlink" Target="https://hetta.bandcamp.com/album/acetate" TargetMode="External"/><Relationship Id="rId675" Type="http://schemas.openxmlformats.org/officeDocument/2006/relationships/hyperlink" Target="https://darkdescentrecords.bandcamp.com/album/carnage-gathers" TargetMode="External"/><Relationship Id="rId3201" Type="http://schemas.openxmlformats.org/officeDocument/2006/relationships/hyperlink" Target="https://open.spotify.com/album/0JWOSnfL0rLA50OEuF9Itc?si=Ac0Wzv43Thmnm8LOwhqFVw" TargetMode="External"/><Relationship Id="rId4532" Type="http://schemas.openxmlformats.org/officeDocument/2006/relationships/hyperlink" Target="https://remainingwarmth.bandcamp.com/album/when-the-night-ends" TargetMode="External"/><Relationship Id="rId674" Type="http://schemas.openxmlformats.org/officeDocument/2006/relationships/hyperlink" Target="https://open.spotify.com/album/6kB4fXR6Mw6WvkVqtcHJUW?si=jGLpbiLlSXudKspTAyADYw" TargetMode="External"/><Relationship Id="rId3200" Type="http://schemas.openxmlformats.org/officeDocument/2006/relationships/hyperlink" Target="https://riseagainst.bandcamp.com/album/ricochet" TargetMode="External"/><Relationship Id="rId4531" Type="http://schemas.openxmlformats.org/officeDocument/2006/relationships/hyperlink" Target="https://slaughterday666.bandcamp.com/album/terrified" TargetMode="External"/><Relationship Id="rId673" Type="http://schemas.openxmlformats.org/officeDocument/2006/relationships/hyperlink" Target="https://hartlight.bandcamp.com/album/the-triumph-of-metal" TargetMode="External"/><Relationship Id="rId3203" Type="http://schemas.openxmlformats.org/officeDocument/2006/relationships/hyperlink" Target="https://open.spotify.com/album/3ZWqOQ6wCoPYowZI5RCQDR?si=1-vqmVCSTlKxqTZEQKgiDA" TargetMode="External"/><Relationship Id="rId4534" Type="http://schemas.openxmlformats.org/officeDocument/2006/relationships/hyperlink" Target="https://mastershammerdarknessshallrise.bandcamp.com/album/maldor-r-disco" TargetMode="External"/><Relationship Id="rId672" Type="http://schemas.openxmlformats.org/officeDocument/2006/relationships/hyperlink" Target="https://open.spotify.com/album/4Il2bjHW96Xgsednhod1pd?si=Irnl7DTNRdi4f3Nypf32bg" TargetMode="External"/><Relationship Id="rId3202" Type="http://schemas.openxmlformats.org/officeDocument/2006/relationships/hyperlink" Target="https://darkdescentrecords.bandcamp.com/album/coronation-of-the-grotesque" TargetMode="External"/><Relationship Id="rId4533" Type="http://schemas.openxmlformats.org/officeDocument/2006/relationships/hyperlink" Target="https://subspectralband.bandcamp.com/album/drift" TargetMode="External"/><Relationship Id="rId190" Type="http://schemas.openxmlformats.org/officeDocument/2006/relationships/hyperlink" Target="https://sunrot.bandcamp.com/album/passages" TargetMode="External"/><Relationship Id="rId194" Type="http://schemas.openxmlformats.org/officeDocument/2006/relationships/hyperlink" Target="https://open.spotify.com/album/3bPrk5eZSMIHL5uIS2ESe6?si=aB-OACv_Q0OARP35t3knQw" TargetMode="External"/><Relationship Id="rId193" Type="http://schemas.openxmlformats.org/officeDocument/2006/relationships/hyperlink" Target="https://open.spotify.com/album/7K3bI8JyNyTP1Hx5eSVaJy?si=uiyFIF6DQYmhWz4_LecP0g" TargetMode="External"/><Relationship Id="rId192" Type="http://schemas.openxmlformats.org/officeDocument/2006/relationships/hyperlink" Target="https://keoma.bandcamp.com/album/a-new-beginning" TargetMode="External"/><Relationship Id="rId191" Type="http://schemas.openxmlformats.org/officeDocument/2006/relationships/hyperlink" Target="https://open.spotify.com/album/5peARHyQfrCC4wkD6MejWI?si=wye50RGISUuFi4YcC1Dm2w" TargetMode="External"/><Relationship Id="rId187" Type="http://schemas.openxmlformats.org/officeDocument/2006/relationships/hyperlink" Target="https://cathuria.bandcamp.com/album/the-white-ship" TargetMode="External"/><Relationship Id="rId186" Type="http://schemas.openxmlformats.org/officeDocument/2006/relationships/hyperlink" Target="https://subterraneanlavadragon.bandcamp.com/album/the-great-architect" TargetMode="External"/><Relationship Id="rId185" Type="http://schemas.openxmlformats.org/officeDocument/2006/relationships/hyperlink" Target="https://voidwandererproductions.bandcamp.com/album/galgenberg" TargetMode="External"/><Relationship Id="rId184" Type="http://schemas.openxmlformats.org/officeDocument/2006/relationships/hyperlink" Target="https://open.spotify.com/album/1QaOAv8wo0W8tTL6Lm10M5?si=WVDBrgNES4SSKWzl5ELJyQ" TargetMode="External"/><Relationship Id="rId189" Type="http://schemas.openxmlformats.org/officeDocument/2006/relationships/hyperlink" Target="https://open.spotify.com/album/4Gkcw76YMTMukmIcFpzo6Z?si=BVFivw_4QTCZl4XzPkHHWQ" TargetMode="External"/><Relationship Id="rId188" Type="http://schemas.openxmlformats.org/officeDocument/2006/relationships/hyperlink" Target="https://exteriorpalnet.bandcamp.com/album/haragma-ii" TargetMode="External"/><Relationship Id="rId183" Type="http://schemas.openxmlformats.org/officeDocument/2006/relationships/hyperlink" Target="https://magic-and-medicine.bandcamp.com/album/magic-and-medicine" TargetMode="External"/><Relationship Id="rId182" Type="http://schemas.openxmlformats.org/officeDocument/2006/relationships/hyperlink" Target="https://open.spotify.com/album/02bDO0RIe1wglzvYJCTCQK?si=tXe5sH4VTEKs-D4Slgnghw" TargetMode="External"/><Relationship Id="rId181" Type="http://schemas.openxmlformats.org/officeDocument/2006/relationships/hyperlink" Target="https://chaoscontrol-jp.bandcamp.com/album/lost-in-time" TargetMode="External"/><Relationship Id="rId180" Type="http://schemas.openxmlformats.org/officeDocument/2006/relationships/hyperlink" Target="https://kryatjurr.bandcamp.com/album/logentry-1-01-frozen-windhells-seek-to-dominate-my-remaining-flesh" TargetMode="External"/><Relationship Id="rId176" Type="http://schemas.openxmlformats.org/officeDocument/2006/relationships/hyperlink" Target="https://putred.bandcamp.com/album/megalit-al-putrefac-iei" TargetMode="External"/><Relationship Id="rId175" Type="http://schemas.openxmlformats.org/officeDocument/2006/relationships/hyperlink" Target="https://alixer.bandcamp.com/album/dasein-mitsein" TargetMode="External"/><Relationship Id="rId174" Type="http://schemas.openxmlformats.org/officeDocument/2006/relationships/hyperlink" Target="https://muradoom.bandcamp.com/album/needle-cathedral" TargetMode="External"/><Relationship Id="rId173" Type="http://schemas.openxmlformats.org/officeDocument/2006/relationships/hyperlink" Target="https://open.spotify.com/album/6ZJ5TONxu3WiWBKv1YtpPV?si=bJseiiPoQIWnTbUXROz8vw" TargetMode="External"/><Relationship Id="rId179" Type="http://schemas.openxmlformats.org/officeDocument/2006/relationships/hyperlink" Target="https://www.youtube.com/watch?v=gont3Aab27g" TargetMode="External"/><Relationship Id="rId178" Type="http://schemas.openxmlformats.org/officeDocument/2006/relationships/hyperlink" Target="https://open.spotify.com/album/6GjBzuLBqRFPR7mtniwZR1?si=oe1gF1GmQM24AvTe3w-xuA" TargetMode="External"/><Relationship Id="rId177" Type="http://schemas.openxmlformats.org/officeDocument/2006/relationships/hyperlink" Target="https://xtreemmusic.bandcamp.com/album/ear-ndel" TargetMode="External"/><Relationship Id="rId198" Type="http://schemas.openxmlformats.org/officeDocument/2006/relationships/hyperlink" Target="https://www.youtube.com/watch?v=UQKVHXKbWZI" TargetMode="External"/><Relationship Id="rId197" Type="http://schemas.openxmlformats.org/officeDocument/2006/relationships/hyperlink" Target="https://open.spotify.com/album/1pHgiWP97njcBjxpoQeEpg?si=JS9Blv-AQeWi4Ikz4Rft1w" TargetMode="External"/><Relationship Id="rId196" Type="http://schemas.openxmlformats.org/officeDocument/2006/relationships/hyperlink" Target="https://fleshboreband.bandcamp.com/album/painted-paradise" TargetMode="External"/><Relationship Id="rId195" Type="http://schemas.openxmlformats.org/officeDocument/2006/relationships/hyperlink" Target="https://www.youtube.com/watch?v=n7vej0v9V_Y" TargetMode="External"/><Relationship Id="rId199" Type="http://schemas.openxmlformats.org/officeDocument/2006/relationships/hyperlink" Target="https://thegreatoldonessom.bandcamp.com/album/kadath" TargetMode="External"/><Relationship Id="rId150" Type="http://schemas.openxmlformats.org/officeDocument/2006/relationships/hyperlink" Target="https://www.youtube.com/watch?v=5PksPMLzr-w" TargetMode="External"/><Relationship Id="rId149" Type="http://schemas.openxmlformats.org/officeDocument/2006/relationships/hyperlink" Target="https://open.spotify.com/album/7K2bYq2TnmPHkSItqElkua?si=_UQfgKMZTl21YaKSfLFVxw" TargetMode="External"/><Relationship Id="rId148" Type="http://schemas.openxmlformats.org/officeDocument/2006/relationships/hyperlink" Target="https://haxkapell.bandcamp.com/album/om-jordens-blod-och-urgravens-grepp" TargetMode="External"/><Relationship Id="rId3270" Type="http://schemas.openxmlformats.org/officeDocument/2006/relationships/hyperlink" Target="https://open.spotify.com/album/4V7kK1ChSXsCvUFxqGHQnx?si=YhQTXtniR7mi3U2LPjVPzg" TargetMode="External"/><Relationship Id="rId3272" Type="http://schemas.openxmlformats.org/officeDocument/2006/relationships/hyperlink" Target="https://open.spotify.com/album/5qLTxW36eMsFqle1PSnYVP?si=Qg9u_tM8TM2HeD_llnjNxw" TargetMode="External"/><Relationship Id="rId3271" Type="http://schemas.openxmlformats.org/officeDocument/2006/relationships/hyperlink" Target="https://retching-label.bandcamp.com/album/charming-the-decomposed" TargetMode="External"/><Relationship Id="rId143" Type="http://schemas.openxmlformats.org/officeDocument/2006/relationships/hyperlink" Target="https://open.spotify.com/album/52sowfqCgJOA1P6AmIoYhY?si=NqGOg_LVT5ONn2oBIkR9vg" TargetMode="External"/><Relationship Id="rId3274" Type="http://schemas.openxmlformats.org/officeDocument/2006/relationships/hyperlink" Target="https://edencircuslfr.bandcamp.com/album/irrlicht" TargetMode="External"/><Relationship Id="rId142" Type="http://schemas.openxmlformats.org/officeDocument/2006/relationships/hyperlink" Target="https://dyingvictimsproductions.bandcamp.com/album/withering-tides" TargetMode="External"/><Relationship Id="rId3273" Type="http://schemas.openxmlformats.org/officeDocument/2006/relationships/hyperlink" Target="https://www.youtube.com/watch?v=XQg5-EpiQ8U" TargetMode="External"/><Relationship Id="rId141" Type="http://schemas.openxmlformats.org/officeDocument/2006/relationships/hyperlink" Target="https://open.spotify.com/album/5jJWmcSvqEKDvaCU5wgAtd?si=7kpejKSaQ7qtdup5p6zQNQ" TargetMode="External"/><Relationship Id="rId3276" Type="http://schemas.openxmlformats.org/officeDocument/2006/relationships/hyperlink" Target="https://scarletrecords.bandcamp.com/album/ice-and-death" TargetMode="External"/><Relationship Id="rId140" Type="http://schemas.openxmlformats.org/officeDocument/2006/relationships/hyperlink" Target="https://bunsenburner.bandcamp.com/album/reverie" TargetMode="External"/><Relationship Id="rId3275" Type="http://schemas.openxmlformats.org/officeDocument/2006/relationships/hyperlink" Target="https://open.spotify.com/album/7DuRUhQDRbQrEjjZaeOVw4?si=p14iGuV2RfWuDePu5nnirQ" TargetMode="External"/><Relationship Id="rId147" Type="http://schemas.openxmlformats.org/officeDocument/2006/relationships/hyperlink" Target="https://open.spotify.com/album/6dYJQf4Igl0TBMbDIG99KA?si=PNPJ-kZ4SnK1VPyxckIKyA" TargetMode="External"/><Relationship Id="rId3278" Type="http://schemas.openxmlformats.org/officeDocument/2006/relationships/hyperlink" Target="https://oldmachines.bandcamp.com/album/the-cycles-of-extinction" TargetMode="External"/><Relationship Id="rId146" Type="http://schemas.openxmlformats.org/officeDocument/2006/relationships/hyperlink" Target="https://thykingdomwillburn.bandcamp.com/album/the-loss-and-redemption" TargetMode="External"/><Relationship Id="rId3277" Type="http://schemas.openxmlformats.org/officeDocument/2006/relationships/hyperlink" Target="https://open.spotify.com/album/1CQv0WSvNWH6gL6YqDYy1A?si=4yfXBgxATJeGBg8SLXu78Q" TargetMode="External"/><Relationship Id="rId145" Type="http://schemas.openxmlformats.org/officeDocument/2006/relationships/hyperlink" Target="https://open.spotify.com/album/471PiDMzc3kXea7LyYSkcS?si=CQtsev02QEWehyh-knXtaA" TargetMode="External"/><Relationship Id="rId144" Type="http://schemas.openxmlformats.org/officeDocument/2006/relationships/hyperlink" Target="https://onirophagus.bandcamp.com/album/revelations-from-the-void-3" TargetMode="External"/><Relationship Id="rId3279" Type="http://schemas.openxmlformats.org/officeDocument/2006/relationships/hyperlink" Target="https://open.spotify.com/album/15ZLyzGH08RUy0wo6ax6PC?si=0PLyj365QB2PKgbbCZMGeA" TargetMode="External"/><Relationship Id="rId139" Type="http://schemas.openxmlformats.org/officeDocument/2006/relationships/hyperlink" Target="https://open.spotify.com/album/01gecUvVkhRxUXQlEDG0Nf?si=UzTHDqsMT8qP_yvJNHMBPg" TargetMode="External"/><Relationship Id="rId138" Type="http://schemas.openxmlformats.org/officeDocument/2006/relationships/hyperlink" Target="https://scarletrecords.bandcamp.com/album/legions" TargetMode="External"/><Relationship Id="rId137" Type="http://schemas.openxmlformats.org/officeDocument/2006/relationships/hyperlink" Target="https://open.spotify.com/album/3IUK8vs2IbJSvMZrj9duYK?si=koRgnpnpSaqXiQ8mPskZ6w" TargetMode="External"/><Relationship Id="rId4590" Type="http://schemas.openxmlformats.org/officeDocument/2006/relationships/hyperlink" Target="https://xtreemmusic.bandcamp.com/album/upheaval-of-necromancy" TargetMode="External"/><Relationship Id="rId3261" Type="http://schemas.openxmlformats.org/officeDocument/2006/relationships/hyperlink" Target="https://avantgardemusic.bandcamp.com/album/doomed" TargetMode="External"/><Relationship Id="rId4592" Type="http://schemas.openxmlformats.org/officeDocument/2006/relationships/hyperlink" Target="https://volumes.bandcamp.com/album/mirror-touch" TargetMode="External"/><Relationship Id="rId3260" Type="http://schemas.openxmlformats.org/officeDocument/2006/relationships/hyperlink" Target="https://www.youtube.com/watch?v=illtiqm3qK8" TargetMode="External"/><Relationship Id="rId4591" Type="http://schemas.openxmlformats.org/officeDocument/2006/relationships/hyperlink" Target="https://youwillloveeachother.bandcamp.com/album/conflict-dlc" TargetMode="External"/><Relationship Id="rId132" Type="http://schemas.openxmlformats.org/officeDocument/2006/relationships/hyperlink" Target="https://www.youtube.com/watch?v=--ciDZrYHow" TargetMode="External"/><Relationship Id="rId3263" Type="http://schemas.openxmlformats.org/officeDocument/2006/relationships/hyperlink" Target="https://malevichatlanta.bandcamp.com/album/under-a-gilded-sun" TargetMode="External"/><Relationship Id="rId4594" Type="http://schemas.openxmlformats.org/officeDocument/2006/relationships/hyperlink" Target="https://irreversiblemechanism.bandcamp.com/album/graviant" TargetMode="External"/><Relationship Id="rId131" Type="http://schemas.openxmlformats.org/officeDocument/2006/relationships/hyperlink" Target="https://open.spotify.com/album/4UiV8lvi5cZU7Z95PQSp9i?si=IwYvJ6cfTnuOVQpGqRDE4A" TargetMode="External"/><Relationship Id="rId3262" Type="http://schemas.openxmlformats.org/officeDocument/2006/relationships/hyperlink" Target="https://open.spotify.com/album/4vicDrGaNPWezlPZ8kC3LW?si=bSLoxMSzSSe73gc5hhS3Lw" TargetMode="External"/><Relationship Id="rId4593" Type="http://schemas.openxmlformats.org/officeDocument/2006/relationships/hyperlink" Target="https://rottensound.bandcamp.com/album/mass-extinction" TargetMode="External"/><Relationship Id="rId130" Type="http://schemas.openxmlformats.org/officeDocument/2006/relationships/hyperlink" Target="https://pestilentscars.bandcamp.com/album/meadows-of-misfortune" TargetMode="External"/><Relationship Id="rId3265" Type="http://schemas.openxmlformats.org/officeDocument/2006/relationships/hyperlink" Target="https://www.youtube.com/watch?v=G0ReiV1QPDE" TargetMode="External"/><Relationship Id="rId4596" Type="http://schemas.openxmlformats.org/officeDocument/2006/relationships/hyperlink" Target="https://greatdanerecords.bandcamp.com/album/reckoning-of-the-damned" TargetMode="External"/><Relationship Id="rId3264" Type="http://schemas.openxmlformats.org/officeDocument/2006/relationships/hyperlink" Target="https://open.spotify.com/album/17XS9J7T7FJxcbHet2yF3K?si=aDAL_r2xQfCpmpNDakNFhw" TargetMode="External"/><Relationship Id="rId4595" Type="http://schemas.openxmlformats.org/officeDocument/2006/relationships/hyperlink" Target="https://martrod.bandcamp.com/album/draums-nir-eldsins" TargetMode="External"/><Relationship Id="rId136" Type="http://schemas.openxmlformats.org/officeDocument/2006/relationships/hyperlink" Target="https://smolderbrainsrecords.bandcamp.com/album/dune" TargetMode="External"/><Relationship Id="rId3267" Type="http://schemas.openxmlformats.org/officeDocument/2006/relationships/hyperlink" Target="https://farseerofchicago.bandcamp.com/album/portals-to-cosmic-womb" TargetMode="External"/><Relationship Id="rId4598" Type="http://schemas.openxmlformats.org/officeDocument/2006/relationships/hyperlink" Target="https://fanatisme.bandcamp.com/album/tro-h-p-og-kj-rlighet" TargetMode="External"/><Relationship Id="rId135" Type="http://schemas.openxmlformats.org/officeDocument/2006/relationships/hyperlink" Target="https://www.youtube.com/watch?v=RDoZlYmQVwc" TargetMode="External"/><Relationship Id="rId3266" Type="http://schemas.openxmlformats.org/officeDocument/2006/relationships/hyperlink" Target="https://open.spotify.com/album/3656VFUTbmXLpPm9RPMYaZ?si=mQyygE2HSkWq-aNesHRyKg" TargetMode="External"/><Relationship Id="rId4597" Type="http://schemas.openxmlformats.org/officeDocument/2006/relationships/hyperlink" Target="https://lordofthelost.bandcamp.com/album/opvs-noir-vol-2" TargetMode="External"/><Relationship Id="rId134" Type="http://schemas.openxmlformats.org/officeDocument/2006/relationships/hyperlink" Target="https://open.spotify.com/album/3oJRjP5oUXoTG7FJiXQWZe?si=H90kJsuiQ8yiGyYDc6esuw" TargetMode="External"/><Relationship Id="rId3269" Type="http://schemas.openxmlformats.org/officeDocument/2006/relationships/hyperlink" Target="https://signsoftheswarm.bandcamp.com/album/to-rid-myself-of-truth-24-bit-hd-audio" TargetMode="External"/><Relationship Id="rId133" Type="http://schemas.openxmlformats.org/officeDocument/2006/relationships/hyperlink" Target="https://movrir.bandcamp.com/album/insolence" TargetMode="External"/><Relationship Id="rId3268" Type="http://schemas.openxmlformats.org/officeDocument/2006/relationships/hyperlink" Target="https://open.spotify.com/album/4hb8MFJiBuliuuKIO21Os0?si=jhJ5PddyQCiaIRNXQQdL9g" TargetMode="External"/><Relationship Id="rId4599" Type="http://schemas.openxmlformats.org/officeDocument/2006/relationships/hyperlink" Target="https://comatosemusic.bandcamp.com/album/entombed-in-sewage" TargetMode="External"/><Relationship Id="rId172" Type="http://schemas.openxmlformats.org/officeDocument/2006/relationships/hyperlink" Target="https://saranhuone.bandcamp.com/album/hallava" TargetMode="External"/><Relationship Id="rId171" Type="http://schemas.openxmlformats.org/officeDocument/2006/relationships/hyperlink" Target="https://open.spotify.com/album/1XVBfCjrHm7L5INpkJdRnh?si=19be8dAmTju80DmXafLFOg" TargetMode="External"/><Relationship Id="rId170" Type="http://schemas.openxmlformats.org/officeDocument/2006/relationships/hyperlink" Target="https://mykingdommusic.bandcamp.com/album/argento" TargetMode="External"/><Relationship Id="rId3290" Type="http://schemas.openxmlformats.org/officeDocument/2006/relationships/hyperlink" Target="https://ashendeath.bandcamp.com/album/leave-the-flesh-behind" TargetMode="External"/><Relationship Id="rId3292" Type="http://schemas.openxmlformats.org/officeDocument/2006/relationships/hyperlink" Target="https://desaster.bandcamp.com/album/kill-all-idols" TargetMode="External"/><Relationship Id="rId3291" Type="http://schemas.openxmlformats.org/officeDocument/2006/relationships/hyperlink" Target="https://open.spotify.com/album/08d8zVtU7Y9sezsAUloisy?si=yjaRDJO1QuGs-1tJDL8qnA" TargetMode="External"/><Relationship Id="rId3294" Type="http://schemas.openxmlformats.org/officeDocument/2006/relationships/hyperlink" Target="https://www.youtube.com/watch?v=5nMFC81VvBA" TargetMode="External"/><Relationship Id="rId3293" Type="http://schemas.openxmlformats.org/officeDocument/2006/relationships/hyperlink" Target="https://open.spotify.com/album/5QJybuSOhZKUjfzaXxugwP?si=G6zvhNZeQpOa0OfVExUrFw" TargetMode="External"/><Relationship Id="rId165" Type="http://schemas.openxmlformats.org/officeDocument/2006/relationships/hyperlink" Target="https://drowninsulphurofficial.bandcamp.com/album/vengeance" TargetMode="External"/><Relationship Id="rId3296" Type="http://schemas.openxmlformats.org/officeDocument/2006/relationships/hyperlink" Target="https://open.spotify.com/album/2pBtMpo3w5bGlACfqaLPfd?si=8ILcbRizQgu09J5bbmRBJg" TargetMode="External"/><Relationship Id="rId164" Type="http://schemas.openxmlformats.org/officeDocument/2006/relationships/hyperlink" Target="https://open.spotify.com/album/4jQbb2iOSDtiO07vMhbxMt?si=vm_qmjGrSEaRMYf_5hie4w" TargetMode="External"/><Relationship Id="rId3295" Type="http://schemas.openxmlformats.org/officeDocument/2006/relationships/hyperlink" Target="https://feuerschwanz.bandcamp.com/album/knightclub" TargetMode="External"/><Relationship Id="rId163" Type="http://schemas.openxmlformats.org/officeDocument/2006/relationships/hyperlink" Target="https://grindexitumgrind.bandcamp.com/album/seppuku" TargetMode="External"/><Relationship Id="rId3298" Type="http://schemas.openxmlformats.org/officeDocument/2006/relationships/hyperlink" Target="https://open.spotify.com/album/1eWhCWStbBuKUKUPlh0ZPj?si=jZo6nqaGSFSA4FeVoaRMZA" TargetMode="External"/><Relationship Id="rId162" Type="http://schemas.openxmlformats.org/officeDocument/2006/relationships/hyperlink" Target="https://open.spotify.com/album/17VpCI4s2AZtLwk82nNYeQ?si=GJ_-2tycSAuhgBPvgWMdwA" TargetMode="External"/><Relationship Id="rId3297" Type="http://schemas.openxmlformats.org/officeDocument/2006/relationships/hyperlink" Target="https://burningsun.bandcamp.com/album/retribution" TargetMode="External"/><Relationship Id="rId169" Type="http://schemas.openxmlformats.org/officeDocument/2006/relationships/hyperlink" Target="https://open.spotify.com/album/4oD4s9CFuRxDUSIRdN8xMl?si=XQ-oCPBQQyObx32IYqj2LQ" TargetMode="External"/><Relationship Id="rId168" Type="http://schemas.openxmlformats.org/officeDocument/2006/relationships/hyperlink" Target="https://dripped.bandcamp.com/album/utopia-of-euphoric-envisionment" TargetMode="External"/><Relationship Id="rId3299" Type="http://schemas.openxmlformats.org/officeDocument/2006/relationships/hyperlink" Target="https://vindicator.bandcamp.com/album/whispers-of-death" TargetMode="External"/><Relationship Id="rId167" Type="http://schemas.openxmlformats.org/officeDocument/2006/relationships/hyperlink" Target="https://sereinthemetalband.bandcamp.com/album/rivers-of-living-water" TargetMode="External"/><Relationship Id="rId166" Type="http://schemas.openxmlformats.org/officeDocument/2006/relationships/hyperlink" Target="https://open.spotify.com/album/7tUdnkVcPkWeUCGeNb1eA9?si=Kb7SNvL1SfmqSZwECuSogA" TargetMode="External"/><Relationship Id="rId161" Type="http://schemas.openxmlformats.org/officeDocument/2006/relationships/hyperlink" Target="https://masterswordband.bandcamp.com/album/toying-with-time" TargetMode="External"/><Relationship Id="rId160" Type="http://schemas.openxmlformats.org/officeDocument/2006/relationships/hyperlink" Target="https://coffinfeederdeath.bandcamp.com/album/dominion-of-torment" TargetMode="External"/><Relationship Id="rId159" Type="http://schemas.openxmlformats.org/officeDocument/2006/relationships/hyperlink" Target="https://open.spotify.com/album/2Zg5ciY2jyjVKrayvba502?si=mPPfrFi1R5qROkA0mfmofQ" TargetMode="External"/><Relationship Id="rId3281" Type="http://schemas.openxmlformats.org/officeDocument/2006/relationships/hyperlink" Target="https://burningwitches.bandcamp.com/album/inquisition" TargetMode="External"/><Relationship Id="rId3280" Type="http://schemas.openxmlformats.org/officeDocument/2006/relationships/hyperlink" Target="https://www.youtube.com/watch?v=5lTkekGOTAY" TargetMode="External"/><Relationship Id="rId3283" Type="http://schemas.openxmlformats.org/officeDocument/2006/relationships/hyperlink" Target="https://hatedband.bandcamp.com/album/death-effects" TargetMode="External"/><Relationship Id="rId3282" Type="http://schemas.openxmlformats.org/officeDocument/2006/relationships/hyperlink" Target="https://open.spotify.com/album/3aSWa6WrREssUGgDJZmw9J?si=7T4-oTlITiqKc65V9PqKsQ" TargetMode="External"/><Relationship Id="rId154" Type="http://schemas.openxmlformats.org/officeDocument/2006/relationships/hyperlink" Target="https://open.spotify.com/album/1FBOvjVvhGWjgSJhomhWd9?si=WUIr2fWvRX2vsDt7zbi_zA" TargetMode="External"/><Relationship Id="rId3285" Type="http://schemas.openxmlformats.org/officeDocument/2006/relationships/hyperlink" Target="https://diedrunk.bandcamp.com/album/further-2025-remaster" TargetMode="External"/><Relationship Id="rId153" Type="http://schemas.openxmlformats.org/officeDocument/2006/relationships/hyperlink" Target="https://sarcator.bandcamp.com/album/swarming-angels-flies-24-bit-hd-audio" TargetMode="External"/><Relationship Id="rId3284" Type="http://schemas.openxmlformats.org/officeDocument/2006/relationships/hyperlink" Target="https://open.spotify.com/album/0xlLCuoXWVLM9rT8jf17tp?si=FDBkYXicSg-AAGK7LyVxtw" TargetMode="External"/><Relationship Id="rId152" Type="http://schemas.openxmlformats.org/officeDocument/2006/relationships/hyperlink" Target="https://www.youtube.com/watch?v=RWoypJrweI8" TargetMode="External"/><Relationship Id="rId3287" Type="http://schemas.openxmlformats.org/officeDocument/2006/relationships/hyperlink" Target="https://www.youtube.com/watch?v=QTYvPY2rgeI" TargetMode="External"/><Relationship Id="rId151" Type="http://schemas.openxmlformats.org/officeDocument/2006/relationships/hyperlink" Target="https://hammerheart.bandcamp.com/album/fra-li-monti-sibillini-black-medieval-winter-over-the-sibylline-mounts" TargetMode="External"/><Relationship Id="rId3286" Type="http://schemas.openxmlformats.org/officeDocument/2006/relationships/hyperlink" Target="https://open.spotify.com/album/7zIMSqKJdeuJcXbGQjuVih?si=cfNXRSgpTAuKN6P-pK67Cg" TargetMode="External"/><Relationship Id="rId158" Type="http://schemas.openxmlformats.org/officeDocument/2006/relationships/hyperlink" Target="https://centurymedia.bandcamp.com/album/anthems-from-beyond-the-grave-live-in-europe-2023-24-bit-hd-audio" TargetMode="External"/><Relationship Id="rId3289" Type="http://schemas.openxmlformats.org/officeDocument/2006/relationships/hyperlink" Target="https://open.spotify.com/album/26RgdN3BNGl4xJR1i8A8Zi?si=8MIG_7IJSVylV75A_RUFNg" TargetMode="External"/><Relationship Id="rId157" Type="http://schemas.openxmlformats.org/officeDocument/2006/relationships/hyperlink" Target="https://www.youtube.com/watch?v=KhlxoVk-WkY" TargetMode="External"/><Relationship Id="rId3288" Type="http://schemas.openxmlformats.org/officeDocument/2006/relationships/hyperlink" Target="https://hundredsofau.bandcamp.com/album/life-in-parallel" TargetMode="External"/><Relationship Id="rId156" Type="http://schemas.openxmlformats.org/officeDocument/2006/relationships/hyperlink" Target="https://open.spotify.com/album/0kG7V2uqjNLHcEvSaxGFJQ?si=VZQqdCTDQJmZRqczgmWeag" TargetMode="External"/><Relationship Id="rId155" Type="http://schemas.openxmlformats.org/officeDocument/2006/relationships/hyperlink" Target="https://sentientruin.bandcamp.com/album/necrotechnology" TargetMode="External"/><Relationship Id="rId2820" Type="http://schemas.openxmlformats.org/officeDocument/2006/relationships/hyperlink" Target="https://twinpyramid.bandcamp.com/album/all-by-design" TargetMode="External"/><Relationship Id="rId2821" Type="http://schemas.openxmlformats.org/officeDocument/2006/relationships/hyperlink" Target="https://open.spotify.com/album/59NQ3exaryZ6McyNecG1r4?si=EyePXfliSGaHFltLSVtyiA" TargetMode="External"/><Relationship Id="rId2822" Type="http://schemas.openxmlformats.org/officeDocument/2006/relationships/hyperlink" Target="https://monochromaticblack.bandcamp.com/album/vehemence" TargetMode="External"/><Relationship Id="rId2823" Type="http://schemas.openxmlformats.org/officeDocument/2006/relationships/hyperlink" Target="https://open.spotify.com/album/6XyUguvmBHR5nGAmQPADpx?si=7Gk5Oo6KSHqmzPN6JMoHww" TargetMode="External"/><Relationship Id="rId2824" Type="http://schemas.openxmlformats.org/officeDocument/2006/relationships/hyperlink" Target="https://www.youtube.com/watch?v=HmNva-kslyY" TargetMode="External"/><Relationship Id="rId2825" Type="http://schemas.openxmlformats.org/officeDocument/2006/relationships/hyperlink" Target="https://m-a-r.bandcamp.com/album/ruin-is-rebirth" TargetMode="External"/><Relationship Id="rId2826" Type="http://schemas.openxmlformats.org/officeDocument/2006/relationships/hyperlink" Target="https://open.spotify.com/album/5ItSEWWxYBOg5eEUrPAWeQ?si=rvJlEhEMSsiI0wrEH0bsPQ" TargetMode="External"/><Relationship Id="rId2827" Type="http://schemas.openxmlformats.org/officeDocument/2006/relationships/hyperlink" Target="https://ahles.bandcamp.com/album/between-dreams-and-the-waking-world" TargetMode="External"/><Relationship Id="rId2828" Type="http://schemas.openxmlformats.org/officeDocument/2006/relationships/hyperlink" Target="https://open.spotify.com/album/06lAtMJnnnzMORoKcTOAQq?si=sDoBvNlfQtKAXvBBf7S2Aw" TargetMode="External"/><Relationship Id="rId2829" Type="http://schemas.openxmlformats.org/officeDocument/2006/relationships/hyperlink" Target="https://mammothprog.bandcamp.com/album/slowly-then-all-at-once" TargetMode="External"/><Relationship Id="rId2810" Type="http://schemas.openxmlformats.org/officeDocument/2006/relationships/hyperlink" Target="https://sungoose.bandcamp.com/album/reach-out" TargetMode="External"/><Relationship Id="rId2811" Type="http://schemas.openxmlformats.org/officeDocument/2006/relationships/hyperlink" Target="https://open.spotify.com/album/4SJqn0oL6R71uLIIYo7zzD?si=yhMklYEuRn-C0HLPh9hEMA" TargetMode="External"/><Relationship Id="rId2812" Type="http://schemas.openxmlformats.org/officeDocument/2006/relationships/hyperlink" Target="https://dynamisgr.bandcamp.com/album/byzantine-metal-2" TargetMode="External"/><Relationship Id="rId2813" Type="http://schemas.openxmlformats.org/officeDocument/2006/relationships/hyperlink" Target="https://wetrecords.bandcamp.com/album/ties-that-bind" TargetMode="External"/><Relationship Id="rId2814" Type="http://schemas.openxmlformats.org/officeDocument/2006/relationships/hyperlink" Target="https://harshproductions.bandcamp.com/album/the-last-swordsman" TargetMode="External"/><Relationship Id="rId2815" Type="http://schemas.openxmlformats.org/officeDocument/2006/relationships/hyperlink" Target="https://voidemperor.bandcamp.com/album/marauders-2" TargetMode="External"/><Relationship Id="rId2816" Type="http://schemas.openxmlformats.org/officeDocument/2006/relationships/hyperlink" Target="https://open.spotify.com/album/5U8rKQPbVaWx0QJNefPJMh?si=SOmEIFwER3q0sIdXVJ8txw" TargetMode="External"/><Relationship Id="rId2817" Type="http://schemas.openxmlformats.org/officeDocument/2006/relationships/hyperlink" Target="https://nuvolascura.bandcamp.com/album/how-this-all-ends" TargetMode="External"/><Relationship Id="rId2818" Type="http://schemas.openxmlformats.org/officeDocument/2006/relationships/hyperlink" Target="https://thegrandmyth.bandcamp.com/album/the-devils-of-vulture-valley" TargetMode="External"/><Relationship Id="rId2819" Type="http://schemas.openxmlformats.org/officeDocument/2006/relationships/hyperlink" Target="https://sadnessmusic.bandcamp.com/album/that-lasts-forever" TargetMode="External"/><Relationship Id="rId1510" Type="http://schemas.openxmlformats.org/officeDocument/2006/relationships/hyperlink" Target="https://www.youtube.com/watch?v=by0FwbnHKnU" TargetMode="External"/><Relationship Id="rId2841" Type="http://schemas.openxmlformats.org/officeDocument/2006/relationships/hyperlink" Target="https://sumerianrecords.bandcamp.com/album/through-shadows" TargetMode="External"/><Relationship Id="rId1511" Type="http://schemas.openxmlformats.org/officeDocument/2006/relationships/hyperlink" Target="https://open.spotify.com/album/25DszQv1MeW8gAGqz1wpnf?si=vcDl3BlyTGuD0NDntFxmIg" TargetMode="External"/><Relationship Id="rId2842" Type="http://schemas.openxmlformats.org/officeDocument/2006/relationships/hyperlink" Target="https://open.spotify.com/album/1hfxVrfgu8XsAwCOKDXPEk?si=1vcClYQuS8-FxGI29lhm7w" TargetMode="External"/><Relationship Id="rId1512" Type="http://schemas.openxmlformats.org/officeDocument/2006/relationships/hyperlink" Target="https://arisingempire.bandcamp.com/album/abyss-pt-ii" TargetMode="External"/><Relationship Id="rId2843" Type="http://schemas.openxmlformats.org/officeDocument/2006/relationships/hyperlink" Target="https://impureza.bandcamp.com/album/alc-zares" TargetMode="External"/><Relationship Id="rId1513" Type="http://schemas.openxmlformats.org/officeDocument/2006/relationships/hyperlink" Target="https://open.spotify.com/album/0TKhe3XlzBYmOAnBXvmR6m?si=HCp9cvN-RPWyJTnvpA1Mtg" TargetMode="External"/><Relationship Id="rId2844" Type="http://schemas.openxmlformats.org/officeDocument/2006/relationships/hyperlink" Target="https://open.spotify.com/album/2uxmO3fucEDbU5humrj91S?si=C-1KFA_pSCaqsPgXm8r3WA" TargetMode="External"/><Relationship Id="rId1514" Type="http://schemas.openxmlformats.org/officeDocument/2006/relationships/hyperlink" Target="https://www.youtube.com/watch?v=fOAN9mwD51Q" TargetMode="External"/><Relationship Id="rId2845" Type="http://schemas.openxmlformats.org/officeDocument/2006/relationships/hyperlink" Target="https://www.youtube.com/watch?v=qE12rz0T60Y" TargetMode="External"/><Relationship Id="rId1515" Type="http://schemas.openxmlformats.org/officeDocument/2006/relationships/hyperlink" Target="https://open.spotify.com/album/20dZ4RU0gg3i9d5p0vR9WI?si=vI9tO_CkRE2sk8-rHRka7A" TargetMode="External"/><Relationship Id="rId2846" Type="http://schemas.openxmlformats.org/officeDocument/2006/relationships/hyperlink" Target="https://lasersedge.bandcamp.com/album/the-constant-void" TargetMode="External"/><Relationship Id="rId1516" Type="http://schemas.openxmlformats.org/officeDocument/2006/relationships/hyperlink" Target="https://sonum.bandcamp.com/album/the-obscure-light-awaits-2025-new-album" TargetMode="External"/><Relationship Id="rId2847" Type="http://schemas.openxmlformats.org/officeDocument/2006/relationships/hyperlink" Target="https://open.spotify.com/album/2CXiQOU3tkICs9xmTnR2z2?si=AF-kPL_hQpS8dian5BVuSA" TargetMode="External"/><Relationship Id="rId1517" Type="http://schemas.openxmlformats.org/officeDocument/2006/relationships/hyperlink" Target="https://open.spotify.com/album/0NhJCgtIsKV3PvJO4nrLPB?si=OCf_QObSQ32bF4zU7isLkg" TargetMode="External"/><Relationship Id="rId2848" Type="http://schemas.openxmlformats.org/officeDocument/2006/relationships/hyperlink" Target="https://loweryourhead.bandcamp.com/album/submersus" TargetMode="External"/><Relationship Id="rId1518" Type="http://schemas.openxmlformats.org/officeDocument/2006/relationships/hyperlink" Target="https://hammerheart.bandcamp.com/album/swallowing-the-world" TargetMode="External"/><Relationship Id="rId2849" Type="http://schemas.openxmlformats.org/officeDocument/2006/relationships/hyperlink" Target="https://open.spotify.com/album/2Uu0Exwd4k4hg9dZnWI5JP?si=gV_L0wjrTCmFhv2jge9G7A" TargetMode="External"/><Relationship Id="rId1519" Type="http://schemas.openxmlformats.org/officeDocument/2006/relationships/hyperlink" Target="https://open.spotify.com/album/1X5KTmlTPv9ZAdxtbRsya8?si=y4zm6pHYT2Gs9ea0-Qgt5Q" TargetMode="External"/><Relationship Id="rId2840" Type="http://schemas.openxmlformats.org/officeDocument/2006/relationships/hyperlink" Target="https://open.spotify.com/album/53VsYunGVBviU6a4q6HB8i?si=r4dlxkD9TYqicT6EJnnrZQ" TargetMode="External"/><Relationship Id="rId2830" Type="http://schemas.openxmlformats.org/officeDocument/2006/relationships/hyperlink" Target="https://open.spotify.com/album/7iry7CdKSIsmBjJ2bstF8G?si=C5D14fd-RBuN924LfkYOUg" TargetMode="External"/><Relationship Id="rId1500" Type="http://schemas.openxmlformats.org/officeDocument/2006/relationships/hyperlink" Target="https://open.spotify.com/album/3cQch4ohGE1kUeJBSnfMNa?si=OSZMxOsjTHKSawdY8C4MtA" TargetMode="External"/><Relationship Id="rId2831" Type="http://schemas.openxmlformats.org/officeDocument/2006/relationships/hyperlink" Target="https://www.youtube.com/watch?v=XzweHkl_mTk" TargetMode="External"/><Relationship Id="rId1501" Type="http://schemas.openxmlformats.org/officeDocument/2006/relationships/hyperlink" Target="https://benthosmusic.bandcamp.com/album/from-nothing-24-bit-hd-audio" TargetMode="External"/><Relationship Id="rId2832" Type="http://schemas.openxmlformats.org/officeDocument/2006/relationships/hyperlink" Target="https://open.spotify.com/album/4Rn73EeathtSGvB5a75qxZ?si=JXvimfoqSIyKUGAnhBPB1A" TargetMode="External"/><Relationship Id="rId1502" Type="http://schemas.openxmlformats.org/officeDocument/2006/relationships/hyperlink" Target="https://open.spotify.com/album/6NBzyj5wkRF2ILEoAaIQRQ?si=oG5xKhT5RyKRXWnVRLp2QA" TargetMode="External"/><Relationship Id="rId2833" Type="http://schemas.openxmlformats.org/officeDocument/2006/relationships/hyperlink" Target="https://glacierma.bandcamp.com/album/more-distant-more-violent" TargetMode="External"/><Relationship Id="rId1503" Type="http://schemas.openxmlformats.org/officeDocument/2006/relationships/hyperlink" Target="https://idleheirs.bandcamp.com/album/life-is-violence" TargetMode="External"/><Relationship Id="rId2834" Type="http://schemas.openxmlformats.org/officeDocument/2006/relationships/hyperlink" Target="https://open.spotify.com/album/7Kk0O72yUumGyXD6qgOBZy?si=5_6Hdf43SUumaaxmuS-V7Q" TargetMode="External"/><Relationship Id="rId1504" Type="http://schemas.openxmlformats.org/officeDocument/2006/relationships/hyperlink" Target="https://open.spotify.com/album/0ZzKw2C6e16hOJFCzJ2qCu?si=u9KmyE7CQqOpV_zRzrBvVQ" TargetMode="External"/><Relationship Id="rId2835" Type="http://schemas.openxmlformats.org/officeDocument/2006/relationships/hyperlink" Target="https://open.spotify.com/album/1uMTRudPOrDTx9CkAHeZdU?si=Qb-DqpVLRF6k5lQsg6Kb-g" TargetMode="External"/><Relationship Id="rId1505" Type="http://schemas.openxmlformats.org/officeDocument/2006/relationships/hyperlink" Target="https://www.youtube.com/watch?v=SYOp6NxbXDE" TargetMode="External"/><Relationship Id="rId2836" Type="http://schemas.openxmlformats.org/officeDocument/2006/relationships/hyperlink" Target="https://www.youtube.com/watch?v=iUM2E4tfK-w" TargetMode="External"/><Relationship Id="rId1506" Type="http://schemas.openxmlformats.org/officeDocument/2006/relationships/hyperlink" Target="https://messa.bandcamp.com/album/the-spin" TargetMode="External"/><Relationship Id="rId2837" Type="http://schemas.openxmlformats.org/officeDocument/2006/relationships/hyperlink" Target="https://calvalouise.bandcamp.com/album/edge-of-the-abyss" TargetMode="External"/><Relationship Id="rId1507" Type="http://schemas.openxmlformats.org/officeDocument/2006/relationships/hyperlink" Target="https://open.spotify.com/album/0jurOscZOHpLilkFiiGZIX?si=W7lDTR4AQPWqiGv1-dI8PQ" TargetMode="External"/><Relationship Id="rId2838" Type="http://schemas.openxmlformats.org/officeDocument/2006/relationships/hyperlink" Target="https://open.spotify.com/album/721FHMhryOj2trRzrV4twJ?si=yxuUtdk3SPip3B3GrTtLpw" TargetMode="External"/><Relationship Id="rId1508" Type="http://schemas.openxmlformats.org/officeDocument/2006/relationships/hyperlink" Target="https://in-the-woods.bandcamp.com/album/otra" TargetMode="External"/><Relationship Id="rId2839" Type="http://schemas.openxmlformats.org/officeDocument/2006/relationships/hyperlink" Target="https://inthecompanyofserpentsdoom.bandcamp.com/album/a-crack-in-everything" TargetMode="External"/><Relationship Id="rId1509" Type="http://schemas.openxmlformats.org/officeDocument/2006/relationships/hyperlink" Target="https://open.spotify.com/album/0CwgAZPYjHITuRGwqCBcSh?si=FBOma7TfTt-SRpneesUyOg" TargetMode="External"/><Relationship Id="rId2800" Type="http://schemas.openxmlformats.org/officeDocument/2006/relationships/hyperlink" Target="https://syncopia.bandcamp.com/album/phase-2" TargetMode="External"/><Relationship Id="rId2801" Type="http://schemas.openxmlformats.org/officeDocument/2006/relationships/hyperlink" Target="https://open.spotify.com/album/3swZXsniavqmRcPy3PAWgm?si=ukWkCNdOS_aVV7-D77ItzA" TargetMode="External"/><Relationship Id="rId2802" Type="http://schemas.openxmlformats.org/officeDocument/2006/relationships/hyperlink" Target="https://burdenofymir.bandcamp.com/album/the-long-winter" TargetMode="External"/><Relationship Id="rId2803" Type="http://schemas.openxmlformats.org/officeDocument/2006/relationships/hyperlink" Target="https://grieven.bandcamp.com/album/american-flesh" TargetMode="External"/><Relationship Id="rId2804" Type="http://schemas.openxmlformats.org/officeDocument/2006/relationships/hyperlink" Target="https://open.spotify.com/album/5EiZ2ihWaL43Cae2o53wKy?si=rFCw5yT0SqyHFMfqMIseEw" TargetMode="External"/><Relationship Id="rId2805" Type="http://schemas.openxmlformats.org/officeDocument/2006/relationships/hyperlink" Target="https://life9.bandcamp.com/album/drifting-in-the-moonlight-it-became-even-louder-than-before" TargetMode="External"/><Relationship Id="rId2806" Type="http://schemas.openxmlformats.org/officeDocument/2006/relationships/hyperlink" Target="https://life9.bandcamp.com/album/we-wont-say-a-word-until-tomorrow" TargetMode="External"/><Relationship Id="rId2807" Type="http://schemas.openxmlformats.org/officeDocument/2006/relationships/hyperlink" Target="https://fantasticflyingfoelschs.bandcamp.com/album/alone" TargetMode="External"/><Relationship Id="rId2808" Type="http://schemas.openxmlformats.org/officeDocument/2006/relationships/hyperlink" Target="https://omegalith.bandcamp.com/album/moneymaker" TargetMode="External"/><Relationship Id="rId2809" Type="http://schemas.openxmlformats.org/officeDocument/2006/relationships/hyperlink" Target="https://open.spotify.com/album/1rIckvVeV2aWfWwXUtvUfJ?si=CL36XzkJRuKNOJdQlp6cTg" TargetMode="External"/><Relationship Id="rId1576" Type="http://schemas.openxmlformats.org/officeDocument/2006/relationships/hyperlink" Target="https://kveldstimer.bandcamp.com/album/the-cursed-oak" TargetMode="External"/><Relationship Id="rId4602" Type="http://schemas.openxmlformats.org/officeDocument/2006/relationships/hyperlink" Target="https://tenebrohorror.bandcamp.com/album/tenebro-una-lama-dargento" TargetMode="External"/><Relationship Id="rId1577" Type="http://schemas.openxmlformats.org/officeDocument/2006/relationships/hyperlink" Target="https://derhead.bandcamp.com/album/irrational-ii" TargetMode="External"/><Relationship Id="rId4601" Type="http://schemas.openxmlformats.org/officeDocument/2006/relationships/hyperlink" Target="https://scarletrecords.bandcamp.com/album/entanglement-2" TargetMode="External"/><Relationship Id="rId1578" Type="http://schemas.openxmlformats.org/officeDocument/2006/relationships/hyperlink" Target="https://rawfoil.bandcamp.com/album/where-malice-converges" TargetMode="External"/><Relationship Id="rId4604" Type="http://schemas.openxmlformats.org/officeDocument/2006/relationships/hyperlink" Target="https://theharbingermetal.bandcamp.com/album/gates-of-hell" TargetMode="External"/><Relationship Id="rId1579" Type="http://schemas.openxmlformats.org/officeDocument/2006/relationships/hyperlink" Target="https://haeresian.bandcamp.com/album/erebus" TargetMode="External"/><Relationship Id="rId4603" Type="http://schemas.openxmlformats.org/officeDocument/2006/relationships/hyperlink" Target="https://mykingdommusic.bandcamp.com/album/ver-sacrum" TargetMode="External"/><Relationship Id="rId4606" Type="http://schemas.openxmlformats.org/officeDocument/2006/relationships/hyperlink" Target="https://derrotemilan.bandcamp.com/album/verlust" TargetMode="External"/><Relationship Id="rId4605" Type="http://schemas.openxmlformats.org/officeDocument/2006/relationships/hyperlink" Target="https://pincerplus.bandcamp.com/album/who-are-you-when-no-one-is-around" TargetMode="External"/><Relationship Id="rId4608" Type="http://schemas.openxmlformats.org/officeDocument/2006/relationships/hyperlink" Target="https://atavistia.bandcamp.com/album/the-winter-way-reforged" TargetMode="External"/><Relationship Id="rId4607" Type="http://schemas.openxmlformats.org/officeDocument/2006/relationships/hyperlink" Target="https://theogoniarecords.bandcamp.com/album/anatomy-of-sin" TargetMode="External"/><Relationship Id="rId4609" Type="http://schemas.openxmlformats.org/officeDocument/2006/relationships/hyperlink" Target="https://chronosdefied.bandcamp.com/album/summoned-to-the-grave" TargetMode="External"/><Relationship Id="rId987" Type="http://schemas.openxmlformats.org/officeDocument/2006/relationships/hyperlink" Target="https://open.spotify.com/album/4tD4q1GNdwpDuhbXi9x8PD?si=CMbv1RQyQ02zI9bjM7sRkg" TargetMode="External"/><Relationship Id="rId986" Type="http://schemas.openxmlformats.org/officeDocument/2006/relationships/hyperlink" Target="https://downpouruk.bandcamp.com/album/where-there-is-life-there-is-hope" TargetMode="External"/><Relationship Id="rId985" Type="http://schemas.openxmlformats.org/officeDocument/2006/relationships/hyperlink" Target="https://seeds-of-torment.bandcamp.com/album/those-who-feed-the-maw" TargetMode="External"/><Relationship Id="rId984" Type="http://schemas.openxmlformats.org/officeDocument/2006/relationships/hyperlink" Target="https://open.spotify.com/album/5J6ySnB1gLlR9IMf9fB7X2?si=ODeHFI5RRNW20zOJdi2QQg" TargetMode="External"/><Relationship Id="rId989" Type="http://schemas.openxmlformats.org/officeDocument/2006/relationships/hyperlink" Target="https://open.spotify.com/album/3l9V7gB6Qn7KvkCwpxrFfV?si=0U-BTy6IRUWlw_gG53zriA" TargetMode="External"/><Relationship Id="rId988" Type="http://schemas.openxmlformats.org/officeDocument/2006/relationships/hyperlink" Target="https://kerberosband.bandcamp.com/album/apostle-to-the-malevolent" TargetMode="External"/><Relationship Id="rId1570" Type="http://schemas.openxmlformats.org/officeDocument/2006/relationships/hyperlink" Target="https://open.spotify.com/album/0RbR2jPoPDpZrXdmLVvyYB?si=SINV0lDKQRyyKSQTKq0yZA" TargetMode="External"/><Relationship Id="rId1571" Type="http://schemas.openxmlformats.org/officeDocument/2006/relationships/hyperlink" Target="https://davaar.bandcamp.com/album/state-of-feeling" TargetMode="External"/><Relationship Id="rId983" Type="http://schemas.openxmlformats.org/officeDocument/2006/relationships/hyperlink" Target="https://adelegions.bandcamp.com/album/supplicium" TargetMode="External"/><Relationship Id="rId1572" Type="http://schemas.openxmlformats.org/officeDocument/2006/relationships/hyperlink" Target="https://open.spotify.com/album/5DgYO2IyvqdgapGKMwYkQ4?si=NtNepv4bRTKoBEfSnxkc-w" TargetMode="External"/><Relationship Id="rId982" Type="http://schemas.openxmlformats.org/officeDocument/2006/relationships/hyperlink" Target="https://www.youtube.com/watch?v=-SNm3ffRQG8" TargetMode="External"/><Relationship Id="rId1573" Type="http://schemas.openxmlformats.org/officeDocument/2006/relationships/hyperlink" Target="https://elderwindband.bandcamp.com/album/older-than-ancient" TargetMode="External"/><Relationship Id="rId981" Type="http://schemas.openxmlformats.org/officeDocument/2006/relationships/hyperlink" Target="https://open.spotify.com/album/5Ddxr8lrnJbGI8EtzlrdVk?si=kKn5BmfaTmi1GdrMHGWEOA" TargetMode="External"/><Relationship Id="rId1574" Type="http://schemas.openxmlformats.org/officeDocument/2006/relationships/hyperlink" Target="https://open.spotify.com/album/0MwCR0KNPWszWo6MBoemYL?si=IeZgVmZBQQWtn9jDJRI9DQ" TargetMode="External"/><Relationship Id="rId4600" Type="http://schemas.openxmlformats.org/officeDocument/2006/relationships/hyperlink" Target="https://phantomcorporation.bandcamp.com/album/time-and-tide" TargetMode="External"/><Relationship Id="rId980" Type="http://schemas.openxmlformats.org/officeDocument/2006/relationships/hyperlink" Target="https://somtheband.bandcamp.com/album/let-the-light-in" TargetMode="External"/><Relationship Id="rId1575" Type="http://schemas.openxmlformats.org/officeDocument/2006/relationships/hyperlink" Target="https://daughterchaos.bandcamp.com/album/noble-rot" TargetMode="External"/><Relationship Id="rId1565" Type="http://schemas.openxmlformats.org/officeDocument/2006/relationships/hyperlink" Target="https://cbzk.bandcamp.com/album/dybuctwo" TargetMode="External"/><Relationship Id="rId2896" Type="http://schemas.openxmlformats.org/officeDocument/2006/relationships/hyperlink" Target="https://open.spotify.com/album/2HPpPiDj2buQGMlOTiOFdr?si=_hrSCOUKQsCLj99wJ5Gu3A" TargetMode="External"/><Relationship Id="rId1566" Type="http://schemas.openxmlformats.org/officeDocument/2006/relationships/hyperlink" Target="https://open.spotify.com/album/5oaPiMk0mpIE0dR6qDtJx4?si=cYcHcS0jThyC5GAc7O8Q7A" TargetMode="External"/><Relationship Id="rId2897" Type="http://schemas.openxmlformats.org/officeDocument/2006/relationships/hyperlink" Target="https://lapmusiclr.bandcamp.com/album/lap" TargetMode="External"/><Relationship Id="rId1567" Type="http://schemas.openxmlformats.org/officeDocument/2006/relationships/hyperlink" Target="https://paintedlife.bandcamp.com/album/what-you-seek-is-seeking-you" TargetMode="External"/><Relationship Id="rId2898" Type="http://schemas.openxmlformats.org/officeDocument/2006/relationships/hyperlink" Target="https://open.spotify.com/album/2bhoh74y6R3oovZ3REh0iJ?si=sl_evqe5TjO4eV-eOJ6DnA" TargetMode="External"/><Relationship Id="rId1568" Type="http://schemas.openxmlformats.org/officeDocument/2006/relationships/hyperlink" Target="https://open.spotify.com/album/1UbkX7VJRKvoHxJsAA3QBE?si=cFTpVzFRQ0CZpHNMuDwaFg" TargetMode="External"/><Relationship Id="rId2899" Type="http://schemas.openxmlformats.org/officeDocument/2006/relationships/hyperlink" Target="https://psalm666.bandcamp.com/album/in-darkness-have-mercy" TargetMode="External"/><Relationship Id="rId1569" Type="http://schemas.openxmlformats.org/officeDocument/2006/relationships/hyperlink" Target="https://valhalore.bandcamp.com/album/beyond-the-stars" TargetMode="External"/><Relationship Id="rId976" Type="http://schemas.openxmlformats.org/officeDocument/2006/relationships/hyperlink" Target="https://purifiedinblood.bandcamp.com/album/primal-pulse-thunder" TargetMode="External"/><Relationship Id="rId975" Type="http://schemas.openxmlformats.org/officeDocument/2006/relationships/hyperlink" Target="https://www.youtube.com/watch?v=pRD4iBYVd_U" TargetMode="External"/><Relationship Id="rId974" Type="http://schemas.openxmlformats.org/officeDocument/2006/relationships/hyperlink" Target="https://open.spotify.com/album/7bdZAe28lHhMJTDiTkZO3q?si=kfJ6-AoRSK-R1noi5MY-OQ" TargetMode="External"/><Relationship Id="rId973" Type="http://schemas.openxmlformats.org/officeDocument/2006/relationships/hyperlink" Target="https://nitemetal.bandcamp.com/album/cult-of-the-serpent-sun" TargetMode="External"/><Relationship Id="rId979" Type="http://schemas.openxmlformats.org/officeDocument/2006/relationships/hyperlink" Target="https://open.spotify.com/album/4eW7yVKT0yz5sYF4djXW6Q?si=aaoJR2HHQzaI1FWNVkEnKw" TargetMode="External"/><Relationship Id="rId978" Type="http://schemas.openxmlformats.org/officeDocument/2006/relationships/hyperlink" Target="https://warbringer.bandcamp.com/album/wrath-and-ruin" TargetMode="External"/><Relationship Id="rId977" Type="http://schemas.openxmlformats.org/officeDocument/2006/relationships/hyperlink" Target="https://open.spotify.com/album/3zN0ffAtXXONWJHJpCDHsB?si=re-3PKJVSCCm64lhQZXHjQ" TargetMode="External"/><Relationship Id="rId2890" Type="http://schemas.openxmlformats.org/officeDocument/2006/relationships/hyperlink" Target="https://downwardintodeath.bandcamp.com/album/to-lurk-as-fever" TargetMode="External"/><Relationship Id="rId1560" Type="http://schemas.openxmlformats.org/officeDocument/2006/relationships/hyperlink" Target="https://www.youtube.com/watch?v=zh0dfg7460M" TargetMode="External"/><Relationship Id="rId2891" Type="http://schemas.openxmlformats.org/officeDocument/2006/relationships/hyperlink" Target="https://starforcemx.bandcamp.com/album/beyond-the-eternal-night-2" TargetMode="External"/><Relationship Id="rId972" Type="http://schemas.openxmlformats.org/officeDocument/2006/relationships/hyperlink" Target="https://embrium.bandcamp.com/album/timekeeper" TargetMode="External"/><Relationship Id="rId1561" Type="http://schemas.openxmlformats.org/officeDocument/2006/relationships/hyperlink" Target="https://vortexband.bandcamp.com/album/alien-realms" TargetMode="External"/><Relationship Id="rId2892" Type="http://schemas.openxmlformats.org/officeDocument/2006/relationships/hyperlink" Target="https://open.spotify.com/album/22WA3ouEGla16Hlfi2znAh?si=ZJ1FYQIVTzumXw8si8aH5A" TargetMode="External"/><Relationship Id="rId971" Type="http://schemas.openxmlformats.org/officeDocument/2006/relationships/hyperlink" Target="https://www.youtube.com/watch?v=Wuevs7K82-4" TargetMode="External"/><Relationship Id="rId1562" Type="http://schemas.openxmlformats.org/officeDocument/2006/relationships/hyperlink" Target="https://open.spotify.com/album/637oe1ZAzJZ6uRu0mkAzpK?si=vcs7lm6kQIylnvfIL1vTkQ" TargetMode="External"/><Relationship Id="rId2893" Type="http://schemas.openxmlformats.org/officeDocument/2006/relationships/hyperlink" Target="https://divergencenyc.bandcamp.com/album/in-cycled-aeons" TargetMode="External"/><Relationship Id="rId970" Type="http://schemas.openxmlformats.org/officeDocument/2006/relationships/hyperlink" Target="https://open.spotify.com/album/0HiCEK3a6ZRwiwPzowkWlt?si=OH2k0hs6TcSnYxJtrYZN3w" TargetMode="External"/><Relationship Id="rId1563" Type="http://schemas.openxmlformats.org/officeDocument/2006/relationships/hyperlink" Target="https://luridbm.bandcamp.com/album/the-fool-provokes-2" TargetMode="External"/><Relationship Id="rId2894" Type="http://schemas.openxmlformats.org/officeDocument/2006/relationships/hyperlink" Target="https://open.spotify.com/album/56fjNVN0JzG7IF5m1mdx1t?si=wfQCHf-vQ56_mRUHNVXJoA" TargetMode="External"/><Relationship Id="rId1564" Type="http://schemas.openxmlformats.org/officeDocument/2006/relationships/hyperlink" Target="https://open.spotify.com/album/0xmSxAZJhsNtmPiizBhoGk?si=6kp6hyaTRs6NGqnILSioGQ" TargetMode="External"/><Relationship Id="rId2895" Type="http://schemas.openxmlformats.org/officeDocument/2006/relationships/hyperlink" Target="https://celestialwizard.bandcamp.com/album/regenesis" TargetMode="External"/><Relationship Id="rId1598" Type="http://schemas.openxmlformats.org/officeDocument/2006/relationships/hyperlink" Target="https://open.spotify.com/album/3Y1WvkFgAcBF9fTv50irek?si=cLxaaQzOTaiyZsV31G0gXA" TargetMode="External"/><Relationship Id="rId1599" Type="http://schemas.openxmlformats.org/officeDocument/2006/relationships/hyperlink" Target="https://thesword.bandcamp.com/album/warp-riders-15th-anniversary-edition" TargetMode="External"/><Relationship Id="rId1590" Type="http://schemas.openxmlformats.org/officeDocument/2006/relationships/hyperlink" Target="https://redmoonarchitect.bandcamp.com/album/october-decay" TargetMode="External"/><Relationship Id="rId1591" Type="http://schemas.openxmlformats.org/officeDocument/2006/relationships/hyperlink" Target="https://open.spotify.com/album/6hucvcKD6yCUfblL1V1E4k?si=SpIDC-0kQ1ubRRCSBiTAJw" TargetMode="External"/><Relationship Id="rId1592" Type="http://schemas.openxmlformats.org/officeDocument/2006/relationships/hyperlink" Target="https://brainstemmetal.bandcamp.com/album/nullified" TargetMode="External"/><Relationship Id="rId1593" Type="http://schemas.openxmlformats.org/officeDocument/2006/relationships/hyperlink" Target="https://open.spotify.com/album/7nrMFIfSE9t3aBsFMQxJ5X?si=Wyhn79JDQXSVgUSPXqw_Tg" TargetMode="External"/><Relationship Id="rId1594" Type="http://schemas.openxmlformats.org/officeDocument/2006/relationships/hyperlink" Target="https://blackbandshirt.bandcamp.com/album/you-will-never-know-me" TargetMode="External"/><Relationship Id="rId1595" Type="http://schemas.openxmlformats.org/officeDocument/2006/relationships/hyperlink" Target="https://kaikkivaltias.bandcamp.com/album/routaa-ja-rautaa" TargetMode="External"/><Relationship Id="rId1596" Type="http://schemas.openxmlformats.org/officeDocument/2006/relationships/hyperlink" Target="https://productionstso.bandcamp.com/album/la-grande-heresie" TargetMode="External"/><Relationship Id="rId1597" Type="http://schemas.openxmlformats.org/officeDocument/2006/relationships/hyperlink" Target="https://inoculationmetal.bandcamp.com/album/actuality" TargetMode="External"/><Relationship Id="rId1587" Type="http://schemas.openxmlformats.org/officeDocument/2006/relationships/hyperlink" Target="https://cavesermon.bandcamp.com/album/fragile-wings" TargetMode="External"/><Relationship Id="rId4613" Type="http://schemas.openxmlformats.org/officeDocument/2006/relationships/hyperlink" Target="https://lychgate.bandcamp.com/album/precipice" TargetMode="External"/><Relationship Id="rId1588" Type="http://schemas.openxmlformats.org/officeDocument/2006/relationships/hyperlink" Target="https://open.spotify.com/album/0sEV9vRWQ7rD0ikgglBOyP?si=zErN5rHDRrChAKIQlTThow" TargetMode="External"/><Relationship Id="rId4612" Type="http://schemas.openxmlformats.org/officeDocument/2006/relationships/hyperlink" Target="https://patriarkh.bandcamp.com/album/hospodi-ix-xi-mmxix-live" TargetMode="External"/><Relationship Id="rId1589" Type="http://schemas.openxmlformats.org/officeDocument/2006/relationships/hyperlink" Target="https://anoxiadeath.bandcamp.com/album/revel-in-sin" TargetMode="External"/><Relationship Id="rId4615" Type="http://schemas.openxmlformats.org/officeDocument/2006/relationships/drawing" Target="../drawings/drawing1.xml"/><Relationship Id="rId4614" Type="http://schemas.openxmlformats.org/officeDocument/2006/relationships/hyperlink" Target="https://troldband.bandcamp.com/album/til-gilde-under-ulven-live-at-copenhell-25" TargetMode="External"/><Relationship Id="rId4616" Type="http://schemas.openxmlformats.org/officeDocument/2006/relationships/vmlDrawing" Target="../drawings/vmlDrawing1.vml"/><Relationship Id="rId998" Type="http://schemas.openxmlformats.org/officeDocument/2006/relationships/hyperlink" Target="https://temperance.bandcamp.com/album/from-hermitage-to-europe" TargetMode="External"/><Relationship Id="rId997" Type="http://schemas.openxmlformats.org/officeDocument/2006/relationships/hyperlink" Target="https://open.spotify.com/album/1fWCqBOLBpyY2FwEb07iro?si=9UHS5J1CTQiNHu1LRRGTog" TargetMode="External"/><Relationship Id="rId996" Type="http://schemas.openxmlformats.org/officeDocument/2006/relationships/hyperlink" Target="https://museumoflightband.bandcamp.com/album/diviner" TargetMode="External"/><Relationship Id="rId995" Type="http://schemas.openxmlformats.org/officeDocument/2006/relationships/hyperlink" Target="https://www.youtube.com/watch?v=ao80eJKTBFk" TargetMode="External"/><Relationship Id="rId999" Type="http://schemas.openxmlformats.org/officeDocument/2006/relationships/hyperlink" Target="https://open.spotify.com/album/5mCokkt7jIuvfNAXtxpzG4?si=rLRvJxq0S3a_ITa9H4qDiQ" TargetMode="External"/><Relationship Id="rId990" Type="http://schemas.openxmlformats.org/officeDocument/2006/relationships/hyperlink" Target="https://www.youtube.com/watch?v=P3IMVV8ujQ0" TargetMode="External"/><Relationship Id="rId1580" Type="http://schemas.openxmlformats.org/officeDocument/2006/relationships/hyperlink" Target="https://open.spotify.com/album/2nEZ76dvypCDXWDTPEL8fi?si=JSWWAe6vRI236UwYlqBlVQ" TargetMode="External"/><Relationship Id="rId1581" Type="http://schemas.openxmlformats.org/officeDocument/2006/relationships/hyperlink" Target="https://teardrinkerband.bandcamp.com/album/killing-the-flowers-will-not-delay-spring" TargetMode="External"/><Relationship Id="rId1582" Type="http://schemas.openxmlformats.org/officeDocument/2006/relationships/hyperlink" Target="https://open.spotify.com/album/1f4MS80dCpzP9nZ7tPVswM?si=rbPJ8fIYQMqxRblZz92fSQ" TargetMode="External"/><Relationship Id="rId994" Type="http://schemas.openxmlformats.org/officeDocument/2006/relationships/hyperlink" Target="https://open.spotify.com/album/5wgvQDF9oTqScIk0NHK2uj?si=QpPC07q9QzaQNqnBFhM66Q" TargetMode="External"/><Relationship Id="rId1583" Type="http://schemas.openxmlformats.org/officeDocument/2006/relationships/hyperlink" Target="https://centipedeabyss.bandcamp.com/album/k-bi-no-gishiki" TargetMode="External"/><Relationship Id="rId993" Type="http://schemas.openxmlformats.org/officeDocument/2006/relationships/hyperlink" Target="https://troldband.bandcamp.com/album/i-skovens-rige" TargetMode="External"/><Relationship Id="rId1584" Type="http://schemas.openxmlformats.org/officeDocument/2006/relationships/hyperlink" Target="https://sunandmoonrecords.bandcamp.com/album/where-celestial-bodies-guide-not" TargetMode="External"/><Relationship Id="rId992" Type="http://schemas.openxmlformats.org/officeDocument/2006/relationships/hyperlink" Target="https://open.spotify.com/album/0JWaYWMwryqD352PTlKp91?si=tdYFnIn5Qlm7VQZxjBGJVg" TargetMode="External"/><Relationship Id="rId1585" Type="http://schemas.openxmlformats.org/officeDocument/2006/relationships/hyperlink" Target="https://skinthief.bandcamp.com/album/frozen-in-the-act-of-breaking" TargetMode="External"/><Relationship Id="rId4611" Type="http://schemas.openxmlformats.org/officeDocument/2006/relationships/hyperlink" Target="https://roggajohansson.bandcamp.com/album/this-life-is-a-grave" TargetMode="External"/><Relationship Id="rId991" Type="http://schemas.openxmlformats.org/officeDocument/2006/relationships/hyperlink" Target="https://heavypsychsoundsrecords.bandcamp.com/album/nightstalker-return-from-the-point-of-no-return" TargetMode="External"/><Relationship Id="rId1586" Type="http://schemas.openxmlformats.org/officeDocument/2006/relationships/hyperlink" Target="https://open.spotify.com/album/6NlUlMB7rwtEhlm9yW8EDh?si=wYCyHMh7Twyqk4ri9PYWeg" TargetMode="External"/><Relationship Id="rId4610" Type="http://schemas.openxmlformats.org/officeDocument/2006/relationships/hyperlink" Target="https://bloodmouthapocalypse.bandcamp.com/album/carnicidal-necrotactics" TargetMode="External"/><Relationship Id="rId1532" Type="http://schemas.openxmlformats.org/officeDocument/2006/relationships/hyperlink" Target="https://comatosemusic.bandcamp.com/album/aberrant-vaginal-gestation" TargetMode="External"/><Relationship Id="rId2863" Type="http://schemas.openxmlformats.org/officeDocument/2006/relationships/hyperlink" Target="https://everlastingspew.bandcamp.com/album/spiral-crypts" TargetMode="External"/><Relationship Id="rId1533" Type="http://schemas.openxmlformats.org/officeDocument/2006/relationships/hyperlink" Target="https://open.spotify.com/album/6p4R2QCZxOCmj6KstaLrG7?si=MpVWsLNZRKuP86CyynAjsA" TargetMode="External"/><Relationship Id="rId2864" Type="http://schemas.openxmlformats.org/officeDocument/2006/relationships/hyperlink" Target="https://open.spotify.com/album/1LlnOb7N0jzBr42oqw0Gdo?si=OHTYt4EaTQ6EF-aGq8fiFQ" TargetMode="External"/><Relationship Id="rId1534" Type="http://schemas.openxmlformats.org/officeDocument/2006/relationships/hyperlink" Target="https://www.youtube.com/watch?v=w3m8UKmELZA" TargetMode="External"/><Relationship Id="rId2865" Type="http://schemas.openxmlformats.org/officeDocument/2006/relationships/hyperlink" Target="https://starlitpyre.bandcamp.com/album/veins-of-sulfur" TargetMode="External"/><Relationship Id="rId1535" Type="http://schemas.openxmlformats.org/officeDocument/2006/relationships/hyperlink" Target="https://putridoffal.bandcamp.com/album/obliterated-life" TargetMode="External"/><Relationship Id="rId2866" Type="http://schemas.openxmlformats.org/officeDocument/2006/relationships/hyperlink" Target="https://open.spotify.com/album/49RiUGO0Sfq2TTuA9sPGeP?si=WmcHjnLySA2cii4wNBkThA" TargetMode="External"/><Relationship Id="rId1536" Type="http://schemas.openxmlformats.org/officeDocument/2006/relationships/hyperlink" Target="https://open.spotify.com/album/5gCkK22jVuNYWgrW5mBUBP?si=S1SSnKTFR6Od22mNzDcLbQ" TargetMode="External"/><Relationship Id="rId2867" Type="http://schemas.openxmlformats.org/officeDocument/2006/relationships/hyperlink" Target="https://www.youtube.com/watch?v=90LmwS-GByo" TargetMode="External"/><Relationship Id="rId1537" Type="http://schemas.openxmlformats.org/officeDocument/2006/relationships/hyperlink" Target="https://themaneatingtree.bandcamp.com/album/night-verses-2" TargetMode="External"/><Relationship Id="rId2868" Type="http://schemas.openxmlformats.org/officeDocument/2006/relationships/hyperlink" Target="https://decryptal.bandcamp.com/album/simulacre" TargetMode="External"/><Relationship Id="rId1538" Type="http://schemas.openxmlformats.org/officeDocument/2006/relationships/hyperlink" Target="https://open.spotify.com/album/48UqtPHp0pm1B65OvKswRA?si=gZGchTXjSSWsd3LE1kBUsA" TargetMode="External"/><Relationship Id="rId2869" Type="http://schemas.openxmlformats.org/officeDocument/2006/relationships/hyperlink" Target="https://open.spotify.com/album/0DldN35QoVqgiCT2NBmGSg?si=YbS5mZitRv6XIDAn_eO9zg" TargetMode="External"/><Relationship Id="rId1539" Type="http://schemas.openxmlformats.org/officeDocument/2006/relationships/hyperlink" Target="https://www.youtube.com/watch?v=GPGTyExlhwE" TargetMode="External"/><Relationship Id="rId949" Type="http://schemas.openxmlformats.org/officeDocument/2006/relationships/hyperlink" Target="https://open.spotify.com/album/1x9PLShkcX8gdBnex1xoDz?si=PHh6e-2-R_KUXnzh01xJQQ" TargetMode="External"/><Relationship Id="rId948" Type="http://schemas.openxmlformats.org/officeDocument/2006/relationships/hyperlink" Target="https://agoniarecords.bandcamp.com/album/the-unending" TargetMode="External"/><Relationship Id="rId943" Type="http://schemas.openxmlformats.org/officeDocument/2006/relationships/hyperlink" Target="https://open.spotify.com/album/0UGdkUITFfMW8vlXvlgrB3?si=x-v6lzTIS1GnUVykfbi82w" TargetMode="External"/><Relationship Id="rId942" Type="http://schemas.openxmlformats.org/officeDocument/2006/relationships/hyperlink" Target="https://manntra.bandcamp.com/album/titans" TargetMode="External"/><Relationship Id="rId941" Type="http://schemas.openxmlformats.org/officeDocument/2006/relationships/hyperlink" Target="https://www.youtube.com/watch?v=EoGnrPsPlu0" TargetMode="External"/><Relationship Id="rId940" Type="http://schemas.openxmlformats.org/officeDocument/2006/relationships/hyperlink" Target="https://open.spotify.com/album/5mUbbbDwJW9tE061ZlUP3Q?si=s0D9dMJZRCy8dH152aArZA" TargetMode="External"/><Relationship Id="rId947" Type="http://schemas.openxmlformats.org/officeDocument/2006/relationships/hyperlink" Target="https://open.spotify.com/album/5WzooqQkDVMciDXxgvG0Jb?si=h-G1WgWWSWWxKTtMBvMFWw" TargetMode="External"/><Relationship Id="rId946" Type="http://schemas.openxmlformats.org/officeDocument/2006/relationships/hyperlink" Target="https://redfang.bandcamp.com/album/deep-cuts" TargetMode="External"/><Relationship Id="rId945" Type="http://schemas.openxmlformats.org/officeDocument/2006/relationships/hyperlink" Target="https://open.spotify.com/album/1WK3lghvhWd1rLFEEHFqgJ?si=ngYG76uJQ-a3z4SfXhs0GQ" TargetMode="External"/><Relationship Id="rId944" Type="http://schemas.openxmlformats.org/officeDocument/2006/relationships/hyperlink" Target="https://bbbrecords.bandcamp.com/album/black-my-heart" TargetMode="External"/><Relationship Id="rId2860" Type="http://schemas.openxmlformats.org/officeDocument/2006/relationships/hyperlink" Target="https://open.spotify.com/album/3zXbRvUa5RiqdGUeB1Od40?si=sTMHsj38SJe_CzmgbcSoJw" TargetMode="External"/><Relationship Id="rId1530" Type="http://schemas.openxmlformats.org/officeDocument/2006/relationships/hyperlink" Target="https://stander.bandcamp.com/album/collapsing" TargetMode="External"/><Relationship Id="rId2861" Type="http://schemas.openxmlformats.org/officeDocument/2006/relationships/hyperlink" Target="https://ianthin.bandcamp.com/album/pinacles-aust-res" TargetMode="External"/><Relationship Id="rId1531" Type="http://schemas.openxmlformats.org/officeDocument/2006/relationships/hyperlink" Target="https://open.spotify.com/album/4dibixlGtp2j8DnzXWDDvR?si=Daz2dZi4TwWvK12Hg3GT6w" TargetMode="External"/><Relationship Id="rId2862" Type="http://schemas.openxmlformats.org/officeDocument/2006/relationships/hyperlink" Target="https://open.spotify.com/album/7ApuDwhfIKGmgSI8nWhdVY?si=LInrj92tRNaVvtX6nSWXOQ" TargetMode="External"/><Relationship Id="rId1521" Type="http://schemas.openxmlformats.org/officeDocument/2006/relationships/hyperlink" Target="https://open.spotify.com/album/6in7yHRsNUeqUtOoXpTYjg?si=bCRjrvoSRCOOXnjNwkgDNw" TargetMode="External"/><Relationship Id="rId2852" Type="http://schemas.openxmlformats.org/officeDocument/2006/relationships/hyperlink" Target="https://open.spotify.com/album/2rwtOuzSNhMWM3pNLcwq5j?si=1Vv08toFRyi9E6cNeODtQw" TargetMode="External"/><Relationship Id="rId1522" Type="http://schemas.openxmlformats.org/officeDocument/2006/relationships/hyperlink" Target="https://missvain.bandcamp.com/album/sempiternal-drive" TargetMode="External"/><Relationship Id="rId2853" Type="http://schemas.openxmlformats.org/officeDocument/2006/relationships/hyperlink" Target="https://www.youtube.com/watch?v=VMa8xHmx0Uc" TargetMode="External"/><Relationship Id="rId1523" Type="http://schemas.openxmlformats.org/officeDocument/2006/relationships/hyperlink" Target="https://open.spotify.com/album/758gMO4Trh4AixqvPLF3xi?si=4-gjvhLYQgSy5UL8uFJYeg" TargetMode="External"/><Relationship Id="rId2854" Type="http://schemas.openxmlformats.org/officeDocument/2006/relationships/hyperlink" Target="https://sheev.bandcamp.com/album/ates-alchemist" TargetMode="External"/><Relationship Id="rId1524" Type="http://schemas.openxmlformats.org/officeDocument/2006/relationships/hyperlink" Target="https://www.youtube.com/watch?v=EuezL-1s6FI" TargetMode="External"/><Relationship Id="rId2855" Type="http://schemas.openxmlformats.org/officeDocument/2006/relationships/hyperlink" Target="https://open.spotify.com/album/7nyCoNNkG3xhloIYRLlxPj?si=JAB6L7c9TLyn94hRhNKaRg" TargetMode="External"/><Relationship Id="rId1525" Type="http://schemas.openxmlformats.org/officeDocument/2006/relationships/hyperlink" Target="https://ripplemusic.bandcamp.com/album/satanic-panic-attack" TargetMode="External"/><Relationship Id="rId2856" Type="http://schemas.openxmlformats.org/officeDocument/2006/relationships/hyperlink" Target="https://floating-label.bandcamp.com/album/hesitating-lights" TargetMode="External"/><Relationship Id="rId1526" Type="http://schemas.openxmlformats.org/officeDocument/2006/relationships/hyperlink" Target="https://open.spotify.com/album/6sJMaUFs9H63zL1VYn1Hn6?si=t68amNQQQYWmTX4kR42Sqw" TargetMode="External"/><Relationship Id="rId2857" Type="http://schemas.openxmlformats.org/officeDocument/2006/relationships/hyperlink" Target="https://open.spotify.com/album/0L4MvcACSIJ7bwqzqUJmo7?si=YvvlsJJZStW1dS1FjjQ_Kg" TargetMode="External"/><Relationship Id="rId1527" Type="http://schemas.openxmlformats.org/officeDocument/2006/relationships/hyperlink" Target="https://wolvesofhades.bandcamp.com/album/under-the-eternal-shadow" TargetMode="External"/><Relationship Id="rId2858" Type="http://schemas.openxmlformats.org/officeDocument/2006/relationships/hyperlink" Target="https://www.youtube.com/watch?v=2oDh4dq3Ubk" TargetMode="External"/><Relationship Id="rId1528" Type="http://schemas.openxmlformats.org/officeDocument/2006/relationships/hyperlink" Target="https://open.spotify.com/album/5BBsidGFDrNZKucWz8xfO7?si=gEQE4Y8yRG-nat-9hpPPTw" TargetMode="External"/><Relationship Id="rId2859" Type="http://schemas.openxmlformats.org/officeDocument/2006/relationships/hyperlink" Target="https://splitchain.bandcamp.com/album/motionblur" TargetMode="External"/><Relationship Id="rId1529" Type="http://schemas.openxmlformats.org/officeDocument/2006/relationships/hyperlink" Target="https://www.youtube.com/watch?v=aks3CX8TA9c" TargetMode="External"/><Relationship Id="rId939" Type="http://schemas.openxmlformats.org/officeDocument/2006/relationships/hyperlink" Target="https://fange.bandcamp.com/album/purulences" TargetMode="External"/><Relationship Id="rId938" Type="http://schemas.openxmlformats.org/officeDocument/2006/relationships/hyperlink" Target="https://www.youtube.com/watch?v=Ae6cMWr0Eyo" TargetMode="External"/><Relationship Id="rId937" Type="http://schemas.openxmlformats.org/officeDocument/2006/relationships/hyperlink" Target="https://open.spotify.com/album/2Pm9F932Nvlj787Te62bW8?si=N70qL52zQ4OpvNsblrW23A" TargetMode="External"/><Relationship Id="rId932" Type="http://schemas.openxmlformats.org/officeDocument/2006/relationships/hyperlink" Target="https://tentacult.bandcamp.com/album/untamed-revulsion" TargetMode="External"/><Relationship Id="rId931" Type="http://schemas.openxmlformats.org/officeDocument/2006/relationships/hyperlink" Target="https://visionsofatlantis.bandcamp.com/album/armada-live-over-europe" TargetMode="External"/><Relationship Id="rId930" Type="http://schemas.openxmlformats.org/officeDocument/2006/relationships/hyperlink" Target="https://open.spotify.com/album/0o6pPxg3MoDVzZ8FdHeQGn?si=KFSrMYuDR7Kh0kN1iZnBiw" TargetMode="External"/><Relationship Id="rId936" Type="http://schemas.openxmlformats.org/officeDocument/2006/relationships/hyperlink" Target="https://rhun-official.bandcamp.com/album/burial-pact" TargetMode="External"/><Relationship Id="rId935" Type="http://schemas.openxmlformats.org/officeDocument/2006/relationships/hyperlink" Target="https://warhammer-deathdoombrigade.bandcamp.com/album/total-maniac" TargetMode="External"/><Relationship Id="rId934" Type="http://schemas.openxmlformats.org/officeDocument/2006/relationships/hyperlink" Target="https://open.spotify.com/album/5XPNAJkyNIhwafQjZNAwK8?si=gINFJgpZRNqLbPqp4o3_lA" TargetMode="External"/><Relationship Id="rId933" Type="http://schemas.openxmlformats.org/officeDocument/2006/relationships/hyperlink" Target="https://rottingindirt.bandcamp.com/album/anabiosis" TargetMode="External"/><Relationship Id="rId2850" Type="http://schemas.openxmlformats.org/officeDocument/2006/relationships/hyperlink" Target="https://www.youtube.com/watch?v=biXPARiDKVk" TargetMode="External"/><Relationship Id="rId1520" Type="http://schemas.openxmlformats.org/officeDocument/2006/relationships/hyperlink" Target="https://www.youtube.com/watch?v=jEpsbNqoEYg" TargetMode="External"/><Relationship Id="rId2851" Type="http://schemas.openxmlformats.org/officeDocument/2006/relationships/hyperlink" Target="https://imperialcrystallineentombment.bandcamp.com/album/abominable-astral-summoning" TargetMode="External"/><Relationship Id="rId1554" Type="http://schemas.openxmlformats.org/officeDocument/2006/relationships/hyperlink" Target="https://open.spotify.com/album/0z1QfmbJc0XetY2899AHAY?si=wE9CORBNRtyVXkqIlnLwsQ" TargetMode="External"/><Relationship Id="rId2885" Type="http://schemas.openxmlformats.org/officeDocument/2006/relationships/hyperlink" Target="https://open.spotify.com/album/1A7DbgkVDvzz9hQ8Alm5t0?si=gqitnrqBR26I3TGuVtyiag" TargetMode="External"/><Relationship Id="rId1555" Type="http://schemas.openxmlformats.org/officeDocument/2006/relationships/hyperlink" Target="https://nydvind.bandcamp.com/album/tetramental-ii-telluria" TargetMode="External"/><Relationship Id="rId2886" Type="http://schemas.openxmlformats.org/officeDocument/2006/relationships/hyperlink" Target="https://www.youtube.com/watch?v=_CvAjkBQ59Y" TargetMode="External"/><Relationship Id="rId1556" Type="http://schemas.openxmlformats.org/officeDocument/2006/relationships/hyperlink" Target="https://open.spotify.com/album/0YDrZGLh3dCaizQ6Z8s1Fy?si=Qv5NEpHVS5uL1xjiWvQdRA" TargetMode="External"/><Relationship Id="rId2887" Type="http://schemas.openxmlformats.org/officeDocument/2006/relationships/hyperlink" Target="https://dirgeindia.bandcamp.com/album/live-at-antisocial-mumbai" TargetMode="External"/><Relationship Id="rId1557" Type="http://schemas.openxmlformats.org/officeDocument/2006/relationships/hyperlink" Target="https://sumeriantombs-vanrecords.bandcamp.com/album/age-of-eternal-night" TargetMode="External"/><Relationship Id="rId2888" Type="http://schemas.openxmlformats.org/officeDocument/2006/relationships/hyperlink" Target="https://open.spotify.com/album/1msS5utYTAx7HwFmDK8FAy?si=Clc4gt4KSI6RtXXds_6jsA" TargetMode="External"/><Relationship Id="rId1558" Type="http://schemas.openxmlformats.org/officeDocument/2006/relationships/hyperlink" Target="https://open.spotify.com/album/07fQIESux1FYlPrIwwCvFu?si=2z1HBosrTfS2AxwJ_I9wWg" TargetMode="External"/><Relationship Id="rId2889" Type="http://schemas.openxmlformats.org/officeDocument/2006/relationships/hyperlink" Target="https://www.youtube.com/watch?v=f4FDDP_gxpk" TargetMode="External"/><Relationship Id="rId1559" Type="http://schemas.openxmlformats.org/officeDocument/2006/relationships/hyperlink" Target="https://elephantus.bandcamp.com/album/solst-cio" TargetMode="External"/><Relationship Id="rId965" Type="http://schemas.openxmlformats.org/officeDocument/2006/relationships/hyperlink" Target="https://open.spotify.com/album/3LyyS4wgbw9h8bEQrhVNdg?si=vj1bYvNjRHGTLGuWMrzgQA" TargetMode="External"/><Relationship Id="rId964" Type="http://schemas.openxmlformats.org/officeDocument/2006/relationships/hyperlink" Target="https://insideoutmusic.bandcamp.com/album/gods-of-pangaea-24-bit-hd-audio" TargetMode="External"/><Relationship Id="rId963" Type="http://schemas.openxmlformats.org/officeDocument/2006/relationships/hyperlink" Target="https://www.youtube.com/watch?v=u9Qko25Mzas" TargetMode="External"/><Relationship Id="rId962" Type="http://schemas.openxmlformats.org/officeDocument/2006/relationships/hyperlink" Target="https://cursedmonk.bandcamp.com/album/fust" TargetMode="External"/><Relationship Id="rId969" Type="http://schemas.openxmlformats.org/officeDocument/2006/relationships/hyperlink" Target="https://bruisedcoremusic.bandcamp.com/album/cloaked-world-2" TargetMode="External"/><Relationship Id="rId968" Type="http://schemas.openxmlformats.org/officeDocument/2006/relationships/hyperlink" Target="https://www.youtube.com/watch?v=0tO_HKQd8yY" TargetMode="External"/><Relationship Id="rId967" Type="http://schemas.openxmlformats.org/officeDocument/2006/relationships/hyperlink" Target="https://open.spotify.com/album/4kmmFvnV6RrtpN9EXVdZ3x?si=TyFlaaS8S2mcSyG7mOYlsw" TargetMode="External"/><Relationship Id="rId966" Type="http://schemas.openxmlformats.org/officeDocument/2006/relationships/hyperlink" Target="https://dessiderium.bandcamp.com/album/keys-to-the-palace" TargetMode="External"/><Relationship Id="rId2880" Type="http://schemas.openxmlformats.org/officeDocument/2006/relationships/hyperlink" Target="https://open.spotify.com/album/0SGUhw2ZXOZHjU4DFAFqMf?si=4dLBMWhNQP-lWWXWbqxXRQ" TargetMode="External"/><Relationship Id="rId961" Type="http://schemas.openxmlformats.org/officeDocument/2006/relationships/hyperlink" Target="https://open.spotify.com/album/1g8XxxAawSNHgtG7h9CPC4?si=0nuST1yFRvSozNnilOjRTw" TargetMode="External"/><Relationship Id="rId1550" Type="http://schemas.openxmlformats.org/officeDocument/2006/relationships/hyperlink" Target="https://open.spotify.com/album/1SKzZpGb7f5dROhPC7kStB?si=U1_LpNiPR0iGwG543EbZ7g" TargetMode="External"/><Relationship Id="rId2881" Type="http://schemas.openxmlformats.org/officeDocument/2006/relationships/hyperlink" Target="https://grotesquerie.bandcamp.com/album/uninhabited-plane" TargetMode="External"/><Relationship Id="rId960" Type="http://schemas.openxmlformats.org/officeDocument/2006/relationships/hyperlink" Target="https://mikau.bandcamp.com/album/agartha" TargetMode="External"/><Relationship Id="rId1551" Type="http://schemas.openxmlformats.org/officeDocument/2006/relationships/hyperlink" Target="https://darkdescentrecords.bandcamp.com/album/murderous-revelations" TargetMode="External"/><Relationship Id="rId2882" Type="http://schemas.openxmlformats.org/officeDocument/2006/relationships/hyperlink" Target="https://open.spotify.com/album/4Ki8u32hX37kSd846AYD4E?si=-trf8jYDQumz1D1d7JhwvA" TargetMode="External"/><Relationship Id="rId1552" Type="http://schemas.openxmlformats.org/officeDocument/2006/relationships/hyperlink" Target="https://www.youtube.com/watch?v=x5JYwdCeh2U" TargetMode="External"/><Relationship Id="rId2883" Type="http://schemas.openxmlformats.org/officeDocument/2006/relationships/hyperlink" Target="https://www.youtube.com/watch?v=16VWH2qOirw" TargetMode="External"/><Relationship Id="rId1553" Type="http://schemas.openxmlformats.org/officeDocument/2006/relationships/hyperlink" Target="https://cryptofthewizard.bandcamp.com/album/alle-d-r-i-fremtiden" TargetMode="External"/><Relationship Id="rId2884" Type="http://schemas.openxmlformats.org/officeDocument/2006/relationships/hyperlink" Target="https://miserywhippdx.bandcamp.com/album/the-right-to-live-in-peace" TargetMode="External"/><Relationship Id="rId1543" Type="http://schemas.openxmlformats.org/officeDocument/2006/relationships/hyperlink" Target="https://open.spotify.com/album/6l4gGkcdRa7lC6NZUuwGUo?si=5HUhSG2UQXGatNNTW_Tx4w" TargetMode="External"/><Relationship Id="rId2874" Type="http://schemas.openxmlformats.org/officeDocument/2006/relationships/hyperlink" Target="https://open.spotify.com/album/0561DmzXyhQnq5XLFRh64P?si=PHjYFLvvS8KUfTvOL9A03g" TargetMode="External"/><Relationship Id="rId1544" Type="http://schemas.openxmlformats.org/officeDocument/2006/relationships/hyperlink" Target="https://seraphlesh.bandcamp.com/album/effigy" TargetMode="External"/><Relationship Id="rId2875" Type="http://schemas.openxmlformats.org/officeDocument/2006/relationships/hyperlink" Target="https://toescape.bandcamp.com/album/i-wish-to-escape" TargetMode="External"/><Relationship Id="rId1545" Type="http://schemas.openxmlformats.org/officeDocument/2006/relationships/hyperlink" Target="https://open.spotify.com/album/1khafi4SQFnjeHvQkEkfGo?si=c8A0EkY5QJOAUNO_XeS3jw" TargetMode="External"/><Relationship Id="rId2876" Type="http://schemas.openxmlformats.org/officeDocument/2006/relationships/hyperlink" Target="https://open.spotify.com/album/5c738iLTNdpCwgkin5Hzub?si=LjCIYdXERD6aobXbrAvpxw" TargetMode="External"/><Relationship Id="rId1546" Type="http://schemas.openxmlformats.org/officeDocument/2006/relationships/hyperlink" Target="https://www.youtube.com/watch?v=NjvdnYOvS7I" TargetMode="External"/><Relationship Id="rId2877" Type="http://schemas.openxmlformats.org/officeDocument/2006/relationships/hyperlink" Target="https://hpgd.bandcamp.com/album/the-autumnal-decline-and-hermetic-maturation" TargetMode="External"/><Relationship Id="rId1547" Type="http://schemas.openxmlformats.org/officeDocument/2006/relationships/hyperlink" Target="https://normalcreatures.bandcamp.com/album/fluorescent-black" TargetMode="External"/><Relationship Id="rId2878" Type="http://schemas.openxmlformats.org/officeDocument/2006/relationships/hyperlink" Target="https://www.youtube.com/watch?v=Px2A73SfeGQ" TargetMode="External"/><Relationship Id="rId1548" Type="http://schemas.openxmlformats.org/officeDocument/2006/relationships/hyperlink" Target="https://open.spotify.com/album/42kmjO2aQ1YKqu8ps2o42p?si=_mqX29hBRCOCP0MRrWFW_g" TargetMode="External"/><Relationship Id="rId2879" Type="http://schemas.openxmlformats.org/officeDocument/2006/relationships/hyperlink" Target="https://rysmusic.bandcamp.com/album/into-the-abyss-hollow-knight-a-metal-reimagining" TargetMode="External"/><Relationship Id="rId1549" Type="http://schemas.openxmlformats.org/officeDocument/2006/relationships/hyperlink" Target="https://ryrpostmetal.bandcamp.com/album/dislodged-2" TargetMode="External"/><Relationship Id="rId959" Type="http://schemas.openxmlformats.org/officeDocument/2006/relationships/hyperlink" Target="https://open.spotify.com/album/4U4cyb9i2y2hA7HFlAhX8e?si=g1ibaX2iQHOXYreqTV1RIg" TargetMode="External"/><Relationship Id="rId954" Type="http://schemas.openxmlformats.org/officeDocument/2006/relationships/hyperlink" Target="https://open.spotify.com/album/1886T3N5i6EMpvnW04wt1x?si=hpooq6ilTNSumIlplnDHDw" TargetMode="External"/><Relationship Id="rId953" Type="http://schemas.openxmlformats.org/officeDocument/2006/relationships/hyperlink" Target="https://rwake.bandcamp.com/album/the-return-of-magik" TargetMode="External"/><Relationship Id="rId952" Type="http://schemas.openxmlformats.org/officeDocument/2006/relationships/hyperlink" Target="https://www.youtube.com/watch?v=Ww65J-3j7SU" TargetMode="External"/><Relationship Id="rId951" Type="http://schemas.openxmlformats.org/officeDocument/2006/relationships/hyperlink" Target="https://open.spotify.com/album/0nIlUE1WADAQWSQA7qhN6q?si=0sx21qEsRfm_swaS4t3jzQ" TargetMode="External"/><Relationship Id="rId958" Type="http://schemas.openxmlformats.org/officeDocument/2006/relationships/hyperlink" Target="https://gutsclub.bandcamp.com/album/please-come-back-to-the-farm" TargetMode="External"/><Relationship Id="rId957" Type="http://schemas.openxmlformats.org/officeDocument/2006/relationships/hyperlink" Target="https://open.spotify.com/album/7pBuINwzbpi2dplYYcPe0i?si=edhtntD2SDiAT8IdaOS6kg" TargetMode="External"/><Relationship Id="rId956" Type="http://schemas.openxmlformats.org/officeDocument/2006/relationships/hyperlink" Target="https://thebody.bandcamp.com/album/was-i-good-enough" TargetMode="External"/><Relationship Id="rId955" Type="http://schemas.openxmlformats.org/officeDocument/2006/relationships/hyperlink" Target="https://www.youtube.com/watch?v=AKPBm4tHIP4" TargetMode="External"/><Relationship Id="rId950" Type="http://schemas.openxmlformats.org/officeDocument/2006/relationships/hyperlink" Target="https://wolvesofhades.bandcamp.com/album/affection-vengeance" TargetMode="External"/><Relationship Id="rId2870" Type="http://schemas.openxmlformats.org/officeDocument/2006/relationships/hyperlink" Target="https://eldercaius.bandcamp.com/album/elder-caius" TargetMode="External"/><Relationship Id="rId1540" Type="http://schemas.openxmlformats.org/officeDocument/2006/relationships/hyperlink" Target="https://theinfernaldeceit.bandcamp.com/album/the-true-harmful-black" TargetMode="External"/><Relationship Id="rId2871" Type="http://schemas.openxmlformats.org/officeDocument/2006/relationships/hyperlink" Target="https://open.spotify.com/album/5EYSUsAdWX7pSkNelEcQny?si=hLTcjDwQQJurFke0WmNnQg" TargetMode="External"/><Relationship Id="rId1541" Type="http://schemas.openxmlformats.org/officeDocument/2006/relationships/hyperlink" Target="https://open.spotify.com/album/4wtAKV4Io2dcFVtQQPsdnz?si=FD0YeQJERq-lUtJ2lw0IJQ" TargetMode="External"/><Relationship Id="rId2872" Type="http://schemas.openxmlformats.org/officeDocument/2006/relationships/hyperlink" Target="https://www.youtube.com/watch?v=TJYJn8Wmssc" TargetMode="External"/><Relationship Id="rId1542" Type="http://schemas.openxmlformats.org/officeDocument/2006/relationships/hyperlink" Target="https://fuzzripper.bandcamp.com/album/poltergeist-2" TargetMode="External"/><Relationship Id="rId2873" Type="http://schemas.openxmlformats.org/officeDocument/2006/relationships/hyperlink" Target="https://avantgardemusic.bandcamp.com/album/lawgiver" TargetMode="External"/><Relationship Id="rId2027" Type="http://schemas.openxmlformats.org/officeDocument/2006/relationships/hyperlink" Target="https://www.youtube.com/watch?v=xQja4M7-0fM" TargetMode="External"/><Relationship Id="rId3359" Type="http://schemas.openxmlformats.org/officeDocument/2006/relationships/hyperlink" Target="https://open.spotify.com/album/6V3e0q41uzzcDRLD2V9B7s?si=k-vLMJpyRNy8SJDiOzxF4w" TargetMode="External"/><Relationship Id="rId2028" Type="http://schemas.openxmlformats.org/officeDocument/2006/relationships/hyperlink" Target="https://hpgd.bandcamp.com/album/cocaine-culture" TargetMode="External"/><Relationship Id="rId3358" Type="http://schemas.openxmlformats.org/officeDocument/2006/relationships/hyperlink" Target="https://hereliestorso.bandcamp.com/album/annihilation-day" TargetMode="External"/><Relationship Id="rId2029" Type="http://schemas.openxmlformats.org/officeDocument/2006/relationships/hyperlink" Target="https://open.spotify.com/album/0543x7VYfoAdjUjQLwzYJ8?si=ZQgJmGCeTiayNX7AFZntwg" TargetMode="External"/><Relationship Id="rId107" Type="http://schemas.openxmlformats.org/officeDocument/2006/relationships/hyperlink" Target="https://ensomhet.bandcamp.com/album/at-the-forgotten-ruins" TargetMode="External"/><Relationship Id="rId106" Type="http://schemas.openxmlformats.org/officeDocument/2006/relationships/hyperlink" Target="https://fighter-records.bandcamp.com/album/livin-on-the-bad-side" TargetMode="External"/><Relationship Id="rId105" Type="http://schemas.openxmlformats.org/officeDocument/2006/relationships/hyperlink" Target="https://exosphar.bandcamp.com/album/vulpes" TargetMode="External"/><Relationship Id="rId104" Type="http://schemas.openxmlformats.org/officeDocument/2006/relationships/hyperlink" Target="https://www.youtube.com/watch?v=hjDq9PPV47o" TargetMode="External"/><Relationship Id="rId109" Type="http://schemas.openxmlformats.org/officeDocument/2006/relationships/hyperlink" Target="https://www.youtube.com/watch?v=oohEwzNNnO4" TargetMode="External"/><Relationship Id="rId108" Type="http://schemas.openxmlformats.org/officeDocument/2006/relationships/hyperlink" Target="https://synapticmetal.bandcamp.com/album/enter-the-void" TargetMode="External"/><Relationship Id="rId3351" Type="http://schemas.openxmlformats.org/officeDocument/2006/relationships/hyperlink" Target="https://www.youtube.com/watch?v=1szJ718Aogw" TargetMode="External"/><Relationship Id="rId2020" Type="http://schemas.openxmlformats.org/officeDocument/2006/relationships/hyperlink" Target="https://gruesomerecords.bandcamp.com/album/at-the-pyres-of-sin" TargetMode="External"/><Relationship Id="rId3350" Type="http://schemas.openxmlformats.org/officeDocument/2006/relationships/hyperlink" Target="https://open.spotify.com/album/6DrLIqp6nLktzNAeMZmanD?si=OcoLQKRGS2qkVihAhnc3RA" TargetMode="External"/><Relationship Id="rId2021" Type="http://schemas.openxmlformats.org/officeDocument/2006/relationships/hyperlink" Target="https://open.spotify.com/album/2k0THmZfcgPL8DAHE0V40X?si=Fw3zT4SWSjemFu0F4ephAw" TargetMode="External"/><Relationship Id="rId3353" Type="http://schemas.openxmlformats.org/officeDocument/2006/relationships/hyperlink" Target="https://open.spotify.com/album/2gpdyWLlHOfOXR3KSTH3vN?si=4LXfrYFMQNeab4PfOpSDUA" TargetMode="External"/><Relationship Id="rId2022" Type="http://schemas.openxmlformats.org/officeDocument/2006/relationships/hyperlink" Target="https://esoxblack.bandcamp.com/album/watery-grave" TargetMode="External"/><Relationship Id="rId3352" Type="http://schemas.openxmlformats.org/officeDocument/2006/relationships/hyperlink" Target="https://manegarm.bandcamp.com/album/edsvuren" TargetMode="External"/><Relationship Id="rId103" Type="http://schemas.openxmlformats.org/officeDocument/2006/relationships/hyperlink" Target="https://cloudsofficial.bandcamp.com/album/desprins" TargetMode="External"/><Relationship Id="rId2023" Type="http://schemas.openxmlformats.org/officeDocument/2006/relationships/hyperlink" Target="https://open.spotify.com/album/3qfkNxJwfKWvQJRqd4Nj8V?si=KgXCbB12RVqimORM3xStnQ" TargetMode="External"/><Relationship Id="rId3355" Type="http://schemas.openxmlformats.org/officeDocument/2006/relationships/hyperlink" Target="https://open.spotify.com/album/4U7NMaExSJO02zodYFgkAf?si=4CJldJW5QhyP2Xqqc7oiNg" TargetMode="External"/><Relationship Id="rId102" Type="http://schemas.openxmlformats.org/officeDocument/2006/relationships/hyperlink" Target="https://open.spotify.com/album/59lJU2Z9daZkq5uSrLSjpA?si=5pB35lE0Qyq--0i62ktwQw" TargetMode="External"/><Relationship Id="rId2024" Type="http://schemas.openxmlformats.org/officeDocument/2006/relationships/hyperlink" Target="https://www.youtube.com/watch?v=hcQYkmK-tOQ" TargetMode="External"/><Relationship Id="rId3354" Type="http://schemas.openxmlformats.org/officeDocument/2006/relationships/hyperlink" Target="https://viciousrumors.bandcamp.com/album/the-devils-asylum" TargetMode="External"/><Relationship Id="rId101" Type="http://schemas.openxmlformats.org/officeDocument/2006/relationships/hyperlink" Target="https://traumabond1.bandcamp.com/album/summer-ends-some-are-long-gone" TargetMode="External"/><Relationship Id="rId2025" Type="http://schemas.openxmlformats.org/officeDocument/2006/relationships/hyperlink" Target="https://sentientruin.bandcamp.com/album/rivalry-of-thyself" TargetMode="External"/><Relationship Id="rId3357" Type="http://schemas.openxmlformats.org/officeDocument/2006/relationships/hyperlink" Target="https://open.spotify.com/album/0RzkdfMavtl7zJCqbmI4tB?si=_tld-et8QqSNN4Scuc_vsw" TargetMode="External"/><Relationship Id="rId100" Type="http://schemas.openxmlformats.org/officeDocument/2006/relationships/hyperlink" Target="https://forrotian.bandcamp.com/album/lix-tetrax-thy-witchfather-ep" TargetMode="External"/><Relationship Id="rId2026" Type="http://schemas.openxmlformats.org/officeDocument/2006/relationships/hyperlink" Target="https://open.spotify.com/album/35tUljtb8mHPmZD54EAXo5?si=qfbjEMBjTu-Yfyn5ObhC1g" TargetMode="External"/><Relationship Id="rId3356" Type="http://schemas.openxmlformats.org/officeDocument/2006/relationships/hyperlink" Target="https://khnvm.bandcamp.com/album/cosmocrator" TargetMode="External"/><Relationship Id="rId2016" Type="http://schemas.openxmlformats.org/officeDocument/2006/relationships/hyperlink" Target="https://open.spotify.com/album/70cUAP7vd93sR9cgcQ0RtG?si=3N3FY5d-S1GMfJ7TWh5nJw" TargetMode="External"/><Relationship Id="rId3348" Type="http://schemas.openxmlformats.org/officeDocument/2006/relationships/hyperlink" Target="https://open.spotify.com/album/1LHORbi0gszA1P4ZaZx59r?si=Z1D3n5KHSFOso_Cf1MMVOQ" TargetMode="External"/><Relationship Id="rId2017" Type="http://schemas.openxmlformats.org/officeDocument/2006/relationships/hyperlink" Target="https://www.youtube.com/watch?v=3y8VLsGb9Dg" TargetMode="External"/><Relationship Id="rId3347" Type="http://schemas.openxmlformats.org/officeDocument/2006/relationships/hyperlink" Target="https://lowheavenband.bandcamp.com/album/ritual-decay" TargetMode="External"/><Relationship Id="rId2018" Type="http://schemas.openxmlformats.org/officeDocument/2006/relationships/hyperlink" Target="https://roxxcalibur.bandcamp.com/album/nwobhm-from-the-vaults" TargetMode="External"/><Relationship Id="rId2019" Type="http://schemas.openxmlformats.org/officeDocument/2006/relationships/hyperlink" Target="https://open.spotify.com/album/3d1FyH0qdSj1gBDMxI5Dso?si=D0YDoFj1T6CnYYSLLGaX-A" TargetMode="External"/><Relationship Id="rId3349" Type="http://schemas.openxmlformats.org/officeDocument/2006/relationships/hyperlink" Target="https://hexrot-label.bandcamp.com/album/formless-ruin-of-oblivion" TargetMode="External"/><Relationship Id="rId3340" Type="http://schemas.openxmlformats.org/officeDocument/2006/relationships/hyperlink" Target="https://ihlo.bandcamp.com/album/legacy" TargetMode="External"/><Relationship Id="rId2010" Type="http://schemas.openxmlformats.org/officeDocument/2006/relationships/hyperlink" Target="https://mutterlein.bandcamp.com/album/amidst-the-flames-may-our-organs-resound" TargetMode="External"/><Relationship Id="rId3342" Type="http://schemas.openxmlformats.org/officeDocument/2006/relationships/hyperlink" Target="https://inmourning.bandcamp.com/album/the-immortal" TargetMode="External"/><Relationship Id="rId2011" Type="http://schemas.openxmlformats.org/officeDocument/2006/relationships/hyperlink" Target="https://open.spotify.com/album/4tBs6fuKW3CY5aXsGUXSr8?si=NSP_ZvixQhu9sv7M_km7mw" TargetMode="External"/><Relationship Id="rId3341" Type="http://schemas.openxmlformats.org/officeDocument/2006/relationships/hyperlink" Target="https://open.spotify.com/album/5NUdlbnnInX0rQMZ55s4cp?si=py_IahoUQfukaAlfLOBWjA" TargetMode="External"/><Relationship Id="rId2012" Type="http://schemas.openxmlformats.org/officeDocument/2006/relationships/hyperlink" Target="https://www.youtube.com/watch?v=LcrBsyScBMY" TargetMode="External"/><Relationship Id="rId3344" Type="http://schemas.openxmlformats.org/officeDocument/2006/relationships/hyperlink" Target="https://melancoliaexe.bandcamp.com/album/random-access-misery" TargetMode="External"/><Relationship Id="rId2013" Type="http://schemas.openxmlformats.org/officeDocument/2006/relationships/hyperlink" Target="https://svartahavet.bandcamp.com/album/m-nen-ska-lysa-din-v-g" TargetMode="External"/><Relationship Id="rId3343" Type="http://schemas.openxmlformats.org/officeDocument/2006/relationships/hyperlink" Target="https://open.spotify.com/album/5b33s7hfvIGobl5DdFXR1x?si=aGClvMpLQi67OlQ2vPF0fg" TargetMode="External"/><Relationship Id="rId2014" Type="http://schemas.openxmlformats.org/officeDocument/2006/relationships/hyperlink" Target="https://open.spotify.com/album/6PyVkX7HShCQPCSETP3Gnl?si=OfiO960VQMeMLpvRaSYdug" TargetMode="External"/><Relationship Id="rId3346" Type="http://schemas.openxmlformats.org/officeDocument/2006/relationships/hyperlink" Target="https://open.spotify.com/album/5oFAGk4EQNN5uEah2C5HWI?si=gJ1AkTU1QhGxYi5Zsb_6Xg" TargetMode="External"/><Relationship Id="rId2015" Type="http://schemas.openxmlformats.org/officeDocument/2006/relationships/hyperlink" Target="https://everlastingspew.bandcamp.com/album/inexorable-entropy" TargetMode="External"/><Relationship Id="rId3345" Type="http://schemas.openxmlformats.org/officeDocument/2006/relationships/hyperlink" Target="https://open.spotify.com/album/6adZAIAE5dVEE2YHEmazUZ?si=haxl2B4XQmK9snGY6_5Qlg" TargetMode="External"/><Relationship Id="rId2049" Type="http://schemas.openxmlformats.org/officeDocument/2006/relationships/hyperlink" Target="https://open.spotify.com/album/4VtvpHr3oMlHYiNHVIc0x9?si=htZ448-0RqG0d9_tfdCqeA" TargetMode="External"/><Relationship Id="rId129" Type="http://schemas.openxmlformats.org/officeDocument/2006/relationships/hyperlink" Target="https://open.spotify.com/album/3HcKNLwUqCrMcX0fqqkp7W?si=VSjEE11UQI--Wm1np6153Q" TargetMode="External"/><Relationship Id="rId128" Type="http://schemas.openxmlformats.org/officeDocument/2006/relationships/hyperlink" Target="https://www.youtube.com/watch?v=LjjK7HQsi2A" TargetMode="External"/><Relationship Id="rId127" Type="http://schemas.openxmlformats.org/officeDocument/2006/relationships/hyperlink" Target="https://open.spotify.com/album/4JL8cnZPDEpNzsNhAJDKTl?si=oytzrsGnROKaiPKOP8LJcA" TargetMode="External"/><Relationship Id="rId126" Type="http://schemas.openxmlformats.org/officeDocument/2006/relationships/hyperlink" Target="https://open.spotify.com/album/4dp7Ye58gHNEBI65nmHl9s?si=TQXlQ9-uTuyQIL_MevZ-Ew" TargetMode="External"/><Relationship Id="rId3371" Type="http://schemas.openxmlformats.org/officeDocument/2006/relationships/hyperlink" Target="https://www.youtube.com/watch?v=AjZvuM1ytCY" TargetMode="External"/><Relationship Id="rId2040" Type="http://schemas.openxmlformats.org/officeDocument/2006/relationships/hyperlink" Target="https://baan1.bandcamp.com/album/neumann" TargetMode="External"/><Relationship Id="rId3370" Type="http://schemas.openxmlformats.org/officeDocument/2006/relationships/hyperlink" Target="https://open.spotify.com/album/1Mkwp2b2VMMEXL7lrLrGij?si=gbz68orZSq2qEGcTJT-qFg" TargetMode="External"/><Relationship Id="rId121" Type="http://schemas.openxmlformats.org/officeDocument/2006/relationships/hyperlink" Target="https://open.spotify.com/album/6ZOFZwxCFlHgDPwLCfHCBO?si=CVSTJ-cARX-yoVm1t4lVDg" TargetMode="External"/><Relationship Id="rId2041" Type="http://schemas.openxmlformats.org/officeDocument/2006/relationships/hyperlink" Target="https://open.spotify.com/album/3qTGa8dVNDxjjWvmc3ohz5?si=jtAzhBHhTIqqgC2nXMlRhA" TargetMode="External"/><Relationship Id="rId3373" Type="http://schemas.openxmlformats.org/officeDocument/2006/relationships/hyperlink" Target="https://open.spotify.com/album/2YBv6azHmCXbgByvWzWFqA?si=rxnuKvBPTgyywG7jhbfpNA" TargetMode="External"/><Relationship Id="rId120" Type="http://schemas.openxmlformats.org/officeDocument/2006/relationships/hyperlink" Target="https://ckraft.bandcamp.com/album/uncommon-grounds" TargetMode="External"/><Relationship Id="rId2042" Type="http://schemas.openxmlformats.org/officeDocument/2006/relationships/hyperlink" Target="https://alessandrozilio.bandcamp.com/album/here-now" TargetMode="External"/><Relationship Id="rId3372" Type="http://schemas.openxmlformats.org/officeDocument/2006/relationships/hyperlink" Target="https://deathhammer.bandcamp.com/album/crimson-dawn" TargetMode="External"/><Relationship Id="rId2043" Type="http://schemas.openxmlformats.org/officeDocument/2006/relationships/hyperlink" Target="https://open.spotify.com/album/2N1GdPu7q8ufZlOJDidMxW?si=_u65dQ_XTbeBdMLqs6UQcQ" TargetMode="External"/><Relationship Id="rId3375" Type="http://schemas.openxmlformats.org/officeDocument/2006/relationships/hyperlink" Target="https://open.spotify.com/album/2ddd3G4eqtozkXOGEoNGv2?si=hcg-OeSkQa2PEvCwpUf3Xw" TargetMode="External"/><Relationship Id="rId2044" Type="http://schemas.openxmlformats.org/officeDocument/2006/relationships/hyperlink" Target="https://fullofhell.bandcamp.com/album/broken-sword-rotten-shield" TargetMode="External"/><Relationship Id="rId3374" Type="http://schemas.openxmlformats.org/officeDocument/2006/relationships/hyperlink" Target="https://evocatus.bandcamp.com/album/inevitable-death" TargetMode="External"/><Relationship Id="rId125" Type="http://schemas.openxmlformats.org/officeDocument/2006/relationships/hyperlink" Target="https://uploadofficialband.bandcamp.com/album/pain" TargetMode="External"/><Relationship Id="rId2045" Type="http://schemas.openxmlformats.org/officeDocument/2006/relationships/hyperlink" Target="https://open.spotify.com/album/3OZsTlXJjIX9B4SYqwnJVE?si=wxPQ2f3fSIKsk-zYr6CIAA" TargetMode="External"/><Relationship Id="rId3377" Type="http://schemas.openxmlformats.org/officeDocument/2006/relationships/hyperlink" Target="https://darkdescentrecords.bandcamp.com/album/desolate-divine" TargetMode="External"/><Relationship Id="rId124" Type="http://schemas.openxmlformats.org/officeDocument/2006/relationships/hyperlink" Target="https://open.spotify.com/album/0IIwwrPHNR98njNOEkHQlY?si=CNAOEeEDQc6vGUKlEhSfDQ" TargetMode="External"/><Relationship Id="rId2046" Type="http://schemas.openxmlformats.org/officeDocument/2006/relationships/hyperlink" Target="https://lastimamusic.bandcamp.com/album/a-pain-bloomed-from-my-lungs" TargetMode="External"/><Relationship Id="rId3376" Type="http://schemas.openxmlformats.org/officeDocument/2006/relationships/hyperlink" Target="https://www.youtube.com/watch?v=sGhApidfBHA" TargetMode="External"/><Relationship Id="rId123" Type="http://schemas.openxmlformats.org/officeDocument/2006/relationships/hyperlink" Target="https://open.spotify.com/album/5VZyXBOIRs0w7Rh0pWmecI?si=kURjeOqeR0yZN--P7PhuYg" TargetMode="External"/><Relationship Id="rId2047" Type="http://schemas.openxmlformats.org/officeDocument/2006/relationships/hyperlink" Target="https://open.spotify.com/album/02OYwhcv82Mi0ImVz3jJHd?si=B_-LdhNgSp22nI4As1PulA" TargetMode="External"/><Relationship Id="rId3379" Type="http://schemas.openxmlformats.org/officeDocument/2006/relationships/hyperlink" Target="https://deathgoals.bandcamp.com/album/survival-is-an-act-of-defiance" TargetMode="External"/><Relationship Id="rId122" Type="http://schemas.openxmlformats.org/officeDocument/2006/relationships/hyperlink" Target="https://www.youtube.com/watch?v=r1J_q3hv_Wo" TargetMode="External"/><Relationship Id="rId2048" Type="http://schemas.openxmlformats.org/officeDocument/2006/relationships/hyperlink" Target="https://gutrectomy.bandcamp.com/album/angst" TargetMode="External"/><Relationship Id="rId3378" Type="http://schemas.openxmlformats.org/officeDocument/2006/relationships/hyperlink" Target="https://open.spotify.com/album/700EZaGYFqUjyaRU2GXi8r?si=YmMoJ7w1SDy1gbtwOTBESA" TargetMode="External"/><Relationship Id="rId2038" Type="http://schemas.openxmlformats.org/officeDocument/2006/relationships/hyperlink" Target="https://geremiah.bandcamp.com/album/worldtree" TargetMode="External"/><Relationship Id="rId2039" Type="http://schemas.openxmlformats.org/officeDocument/2006/relationships/hyperlink" Target="https://echosoulmusic.bandcamp.com/album/time-of-the-dragon" TargetMode="External"/><Relationship Id="rId3369" Type="http://schemas.openxmlformats.org/officeDocument/2006/relationships/hyperlink" Target="https://pilgrimageofdoom.bandcamp.com/album/from-amber-to-sun-mmr059" TargetMode="External"/><Relationship Id="rId118" Type="http://schemas.openxmlformats.org/officeDocument/2006/relationships/hyperlink" Target="https://open.spotify.com/album/2DKcNeDc5WKlDaDM7i3lDd?si=TeaI6FV1T_WU0uZ6Mb5lbA" TargetMode="External"/><Relationship Id="rId117" Type="http://schemas.openxmlformats.org/officeDocument/2006/relationships/hyperlink" Target="https://hazzerdthrash.bandcamp.com/album/the-3rd-dimension" TargetMode="External"/><Relationship Id="rId116" Type="http://schemas.openxmlformats.org/officeDocument/2006/relationships/hyperlink" Target="https://open.spotify.com/album/2r3rxkKkZUGM05nnBc0LTU?si=XDHtmGDITTiNAaQYMZS7_A" TargetMode="External"/><Relationship Id="rId115" Type="http://schemas.openxmlformats.org/officeDocument/2006/relationships/hyperlink" Target="https://www.youtube.com/watch?v=JbLd8qXhV2U" TargetMode="External"/><Relationship Id="rId3360" Type="http://schemas.openxmlformats.org/officeDocument/2006/relationships/hyperlink" Target="https://www.youtube.com/watch?v=ci4aprgHzOA" TargetMode="External"/><Relationship Id="rId119" Type="http://schemas.openxmlformats.org/officeDocument/2006/relationships/hyperlink" Target="https://open.spotify.com/album/2Da7AV9QjtdCRFSv7Ok6bC?si=OPRNigJMSG-xmuiFN9729Q" TargetMode="External"/><Relationship Id="rId110" Type="http://schemas.openxmlformats.org/officeDocument/2006/relationships/hyperlink" Target="https://theconjuration.bandcamp.com/album/the-trip" TargetMode="External"/><Relationship Id="rId2030" Type="http://schemas.openxmlformats.org/officeDocument/2006/relationships/hyperlink" Target="https://thesunsjourneythroughthenight.bandcamp.com/album/demo-iii" TargetMode="External"/><Relationship Id="rId3362" Type="http://schemas.openxmlformats.org/officeDocument/2006/relationships/hyperlink" Target="https://open.spotify.com/album/6EPAgHe7O1hfIWVV2tcm5t?si=-h-0HXyORyqKoGCE-iX36Q" TargetMode="External"/><Relationship Id="rId2031" Type="http://schemas.openxmlformats.org/officeDocument/2006/relationships/hyperlink" Target="https://open.spotify.com/album/1paD5xIDtzDtYgwGrQyGQi?si=qxpXIcBbR5WpkwHiqxKtiQ" TargetMode="External"/><Relationship Id="rId3361" Type="http://schemas.openxmlformats.org/officeDocument/2006/relationships/hyperlink" Target="https://finnrs-cane.bandcamp.com/album/finnrs-cane" TargetMode="External"/><Relationship Id="rId2032" Type="http://schemas.openxmlformats.org/officeDocument/2006/relationships/hyperlink" Target="https://soldsoulnc.bandcamp.com/album/just-like-that-i-disappear-entirely" TargetMode="External"/><Relationship Id="rId3364" Type="http://schemas.openxmlformats.org/officeDocument/2006/relationships/hyperlink" Target="https://flatspotrecords.bandcamp.com/album/fsr85-wrong-side-of-heaven" TargetMode="External"/><Relationship Id="rId2033" Type="http://schemas.openxmlformats.org/officeDocument/2006/relationships/hyperlink" Target="https://open.spotify.com/album/6CaFuXTuLUS9hWW7Y9QBcf?si=Ig4oun5uS7qXiq439Sl4Pg" TargetMode="External"/><Relationship Id="rId3363" Type="http://schemas.openxmlformats.org/officeDocument/2006/relationships/hyperlink" Target="https://www.youtube.com/watch?v=pJOKe9g3oLM" TargetMode="External"/><Relationship Id="rId114" Type="http://schemas.openxmlformats.org/officeDocument/2006/relationships/hyperlink" Target="https://bewareband.bandcamp.com/album/never-end-for-none-of-us" TargetMode="External"/><Relationship Id="rId2034" Type="http://schemas.openxmlformats.org/officeDocument/2006/relationships/hyperlink" Target="https://godottx.bandcamp.com/album/fever-songs" TargetMode="External"/><Relationship Id="rId3366" Type="http://schemas.openxmlformats.org/officeDocument/2006/relationships/hyperlink" Target="https://everlastingspew.bandcamp.com/album/revelation-in-purity" TargetMode="External"/><Relationship Id="rId113" Type="http://schemas.openxmlformats.org/officeDocument/2006/relationships/hyperlink" Target="https://www.youtube.com/watch?v=2eVVIPWBXaY" TargetMode="External"/><Relationship Id="rId2035" Type="http://schemas.openxmlformats.org/officeDocument/2006/relationships/hyperlink" Target="https://open.spotify.com/album/6hQLtFnMG3GzYHlolWSWeV?si=bj0Z64YfSAKyIFIBWnnJuw" TargetMode="External"/><Relationship Id="rId3365" Type="http://schemas.openxmlformats.org/officeDocument/2006/relationships/hyperlink" Target="https://open.spotify.com/album/2NNdTHYcGC1bmua5ZcG7U2?si=Gf_mar_JQa2M5pAAiYDPrw" TargetMode="External"/><Relationship Id="rId112" Type="http://schemas.openxmlformats.org/officeDocument/2006/relationships/hyperlink" Target="https://open.spotify.com/album/0xcHaw8JAslSjSuOlNWKzp?si=t4gvMDruRB6j_huHnXGrBw" TargetMode="External"/><Relationship Id="rId2036" Type="http://schemas.openxmlformats.org/officeDocument/2006/relationships/hyperlink" Target="https://wealder.bandcamp.com/album/a-long-awaited-arrival" TargetMode="External"/><Relationship Id="rId3368" Type="http://schemas.openxmlformats.org/officeDocument/2006/relationships/hyperlink" Target="https://www.youtube.com/watch?v=MQceAFzQ3PY" TargetMode="External"/><Relationship Id="rId111" Type="http://schemas.openxmlformats.org/officeDocument/2006/relationships/hyperlink" Target="https://besna.bandcamp.com/album/kr-sno" TargetMode="External"/><Relationship Id="rId2037" Type="http://schemas.openxmlformats.org/officeDocument/2006/relationships/hyperlink" Target="https://open.spotify.com/album/22gYaXQPXqe9VwelIJ2aCH?si=_JhKPc8dTaS4xnhcHU4dfQ" TargetMode="External"/><Relationship Id="rId3367" Type="http://schemas.openxmlformats.org/officeDocument/2006/relationships/hyperlink" Target="https://open.spotify.com/album/3L94yt2UI4hZ4PNaUplhAJ?si=0hkIWvL7RtudzS7gSsEzDg" TargetMode="External"/><Relationship Id="rId3315" Type="http://schemas.openxmlformats.org/officeDocument/2006/relationships/hyperlink" Target="https://illusia.bandcamp.com/album/mind-over-matter" TargetMode="External"/><Relationship Id="rId3314" Type="http://schemas.openxmlformats.org/officeDocument/2006/relationships/hyperlink" Target="https://open.spotify.com/album/1YGRblSLWzeWD2DbCa3Zf6?si=x3YIBpXgRmWM1HsrLkFDxA" TargetMode="External"/><Relationship Id="rId3317" Type="http://schemas.openxmlformats.org/officeDocument/2006/relationships/hyperlink" Target="https://hebephrenique.bandcamp.com/album/decathexis" TargetMode="External"/><Relationship Id="rId3316" Type="http://schemas.openxmlformats.org/officeDocument/2006/relationships/hyperlink" Target="https://open.spotify.com/album/7EyWaArEFlW0SPWa2RreIo?si=PQJwbZoHQZaHU7RuYU_jaw" TargetMode="External"/><Relationship Id="rId3319" Type="http://schemas.openxmlformats.org/officeDocument/2006/relationships/hyperlink" Target="https://silentmillenia.bandcamp.com/album/celestial-twilight-beyond-the-scarlet-veil" TargetMode="External"/><Relationship Id="rId3318" Type="http://schemas.openxmlformats.org/officeDocument/2006/relationships/hyperlink" Target="https://eveclaret.bandcamp.com/album/lace" TargetMode="External"/><Relationship Id="rId3311" Type="http://schemas.openxmlformats.org/officeDocument/2006/relationships/hyperlink" Target="https://solaninma.bandcamp.com/album/bitterblossom" TargetMode="External"/><Relationship Id="rId3310" Type="http://schemas.openxmlformats.org/officeDocument/2006/relationships/hyperlink" Target="https://open.spotify.com/album/1K1v1NQzm6sTty32UaxMlL?si=U5ThLZgFQpKv62bCnztPvw" TargetMode="External"/><Relationship Id="rId3313" Type="http://schemas.openxmlformats.org/officeDocument/2006/relationships/hyperlink" Target="https://detritivore-norway.bandcamp.com/album/pakt" TargetMode="External"/><Relationship Id="rId3312" Type="http://schemas.openxmlformats.org/officeDocument/2006/relationships/hyperlink" Target="https://open.spotify.com/album/4NMzpeGy3NlBbZlFoKx4la?si=qpDGlfnKQRG1nxU3bcclGg" TargetMode="External"/><Relationship Id="rId3304" Type="http://schemas.openxmlformats.org/officeDocument/2006/relationships/hyperlink" Target="https://open.spotify.com/album/5LGQ3lFoByFJsCeDbLWhgp?si=Hvp7CVF0TJOctZeiEN1EBg" TargetMode="External"/><Relationship Id="rId3303" Type="http://schemas.openxmlformats.org/officeDocument/2006/relationships/hyperlink" Target="https://gravehex.bandcamp.com/album/vermian-death" TargetMode="External"/><Relationship Id="rId3306" Type="http://schemas.openxmlformats.org/officeDocument/2006/relationships/hyperlink" Target="https://visitant1.bandcamp.com/album/rubidium" TargetMode="External"/><Relationship Id="rId3305" Type="http://schemas.openxmlformats.org/officeDocument/2006/relationships/hyperlink" Target="https://www.youtube.com/watch?v=c7Jk3dC7ux0" TargetMode="External"/><Relationship Id="rId3308" Type="http://schemas.openxmlformats.org/officeDocument/2006/relationships/hyperlink" Target="https://open.spotify.com/album/0Hfa4Ul1Di43vSlJvnYZQp?si=UTEpwwP4SgC4n7RXagGGhw" TargetMode="External"/><Relationship Id="rId3307" Type="http://schemas.openxmlformats.org/officeDocument/2006/relationships/hyperlink" Target="https://open.spotify.com/album/0sHNf7f60jERwXuLrfzc4n?si=Jnt7sLjCQ_ibHmF9Msw8xQ" TargetMode="External"/><Relationship Id="rId3309" Type="http://schemas.openxmlformats.org/officeDocument/2006/relationships/hyperlink" Target="https://antimere.bandcamp.com/album/one-with-the-stream" TargetMode="External"/><Relationship Id="rId3300" Type="http://schemas.openxmlformats.org/officeDocument/2006/relationships/hyperlink" Target="https://open.spotify.com/album/6VebkO2lmOf3aopG1J239d?si=vb3j6yPARbCc6fEmjj3otQ" TargetMode="External"/><Relationship Id="rId3302" Type="http://schemas.openxmlformats.org/officeDocument/2006/relationships/hyperlink" Target="https://open.spotify.com/album/1IsyMU4g3EBjL5vjIaRP8k?si=jAh0nGhOQyyXONT0HqwJ0A" TargetMode="External"/><Relationship Id="rId3301" Type="http://schemas.openxmlformats.org/officeDocument/2006/relationships/hyperlink" Target="https://unholyaltar666.bandcamp.com/album/a-sullen-dark-sky-2" TargetMode="External"/><Relationship Id="rId2005" Type="http://schemas.openxmlformats.org/officeDocument/2006/relationships/hyperlink" Target="https://open.spotify.com/album/7q2gpsAJxFr7nJWffqhhGw?si=A-5XmfZ_TFuxXnrpDC2tJw" TargetMode="External"/><Relationship Id="rId3337" Type="http://schemas.openxmlformats.org/officeDocument/2006/relationships/hyperlink" Target="https://www.youtube.com/watch?v=LlVCGtHrt7A" TargetMode="External"/><Relationship Id="rId2006" Type="http://schemas.openxmlformats.org/officeDocument/2006/relationships/hyperlink" Target="https://www.youtube.com/watch?v=rAkmegZnfek" TargetMode="External"/><Relationship Id="rId3336" Type="http://schemas.openxmlformats.org/officeDocument/2006/relationships/hyperlink" Target="https://open.spotify.com/album/2HnlKJ3nYkRotALaSxE9Bf?si=Zkm94v9DQxWmBGKnCqM0KQ" TargetMode="External"/><Relationship Id="rId2007" Type="http://schemas.openxmlformats.org/officeDocument/2006/relationships/hyperlink" Target="https://sleeptokenrock.bandcamp.com/album/even-in-arcadia" TargetMode="External"/><Relationship Id="rId3339" Type="http://schemas.openxmlformats.org/officeDocument/2006/relationships/hyperlink" Target="https://open.spotify.com/album/2aY5TejixE2NrimJMuLAAb?si=n2BmDmAZR2GyGidr_m2Llw" TargetMode="External"/><Relationship Id="rId2008" Type="http://schemas.openxmlformats.org/officeDocument/2006/relationships/hyperlink" Target="https://open.spotify.com/album/1lS7FeRcSUuIGqyg99UGpj?si=MepSoirxQ3iqtxvBjU4FQQ" TargetMode="External"/><Relationship Id="rId3338" Type="http://schemas.openxmlformats.org/officeDocument/2006/relationships/hyperlink" Target="https://ursawrath.bandcamp.com/album/emergence" TargetMode="External"/><Relationship Id="rId2009" Type="http://schemas.openxmlformats.org/officeDocument/2006/relationships/hyperlink" Target="https://elusivegod.bandcamp.com/album/ambis" TargetMode="External"/><Relationship Id="rId3331" Type="http://schemas.openxmlformats.org/officeDocument/2006/relationships/hyperlink" Target="https://open.spotify.com/album/2tezmewLURKIzEl38AFgrV?si=1Q-BJi-XT5K3nWJINC_wSw" TargetMode="External"/><Relationship Id="rId2000" Type="http://schemas.openxmlformats.org/officeDocument/2006/relationships/hyperlink" Target="https://open.spotify.com/album/4tlCJFUXQzUhLvfnBKkSiL?si=fVVq5eIGTlKgyMO4tiX0yw" TargetMode="External"/><Relationship Id="rId3330" Type="http://schemas.openxmlformats.org/officeDocument/2006/relationships/hyperlink" Target="https://trudger.bandcamp.com/album/void-quest" TargetMode="External"/><Relationship Id="rId2001" Type="http://schemas.openxmlformats.org/officeDocument/2006/relationships/hyperlink" Target="https://www.youtube.com/watch?v=19tcDHn1e6A" TargetMode="External"/><Relationship Id="rId3333" Type="http://schemas.openxmlformats.org/officeDocument/2006/relationships/hyperlink" Target="https://asymmetricuniverse.bandcamp.com/album/a-memory-and-what-came-after" TargetMode="External"/><Relationship Id="rId2002" Type="http://schemas.openxmlformats.org/officeDocument/2006/relationships/hyperlink" Target="https://meatwound.bandcamp.com/album/macho" TargetMode="External"/><Relationship Id="rId3332" Type="http://schemas.openxmlformats.org/officeDocument/2006/relationships/hyperlink" Target="https://open.spotify.com/album/78ja72Y2TrtpBQ50NiHB62?si=v9v3E77nREmDWUr6iM9CeA" TargetMode="External"/><Relationship Id="rId2003" Type="http://schemas.openxmlformats.org/officeDocument/2006/relationships/hyperlink" Target="https://open.spotify.com/album/7j29coJoOCZiQ95YpU7pua?si=gbtuACMCQPiHTmSEIyopmw" TargetMode="External"/><Relationship Id="rId3335" Type="http://schemas.openxmlformats.org/officeDocument/2006/relationships/hyperlink" Target="https://zatokrev.bandcamp.com/album/brings-mirrors-to-the-surface" TargetMode="External"/><Relationship Id="rId2004" Type="http://schemas.openxmlformats.org/officeDocument/2006/relationships/hyperlink" Target="https://devinedefilement.bandcamp.com/album/ruthless" TargetMode="External"/><Relationship Id="rId3334" Type="http://schemas.openxmlformats.org/officeDocument/2006/relationships/hyperlink" Target="https://open.spotify.com/album/4m51Hj521KBEA3wt4oWaAa?si=fce8lKvQSOmetTQ5UwuRhg" TargetMode="External"/><Relationship Id="rId3326" Type="http://schemas.openxmlformats.org/officeDocument/2006/relationships/hyperlink" Target="https://lavadome.bandcamp.com/album/po-ovoci-pozn-te-je" TargetMode="External"/><Relationship Id="rId3325" Type="http://schemas.openxmlformats.org/officeDocument/2006/relationships/hyperlink" Target="https://oldanimals.bandcamp.com/album/old-animals" TargetMode="External"/><Relationship Id="rId3328" Type="http://schemas.openxmlformats.org/officeDocument/2006/relationships/hyperlink" Target="https://uboa.bandcamp.com/album/the-dissolution-of-eternity" TargetMode="External"/><Relationship Id="rId3327" Type="http://schemas.openxmlformats.org/officeDocument/2006/relationships/hyperlink" Target="https://www.youtube.com/watch?v=q942mywwhNQ" TargetMode="External"/><Relationship Id="rId3329" Type="http://schemas.openxmlformats.org/officeDocument/2006/relationships/hyperlink" Target="https://open.spotify.com/album/1nGDVYGyUCZlwHFfhPCLh3?si=aoMMBgsaStiQPjT5Uz7C_Q" TargetMode="External"/><Relationship Id="rId3320" Type="http://schemas.openxmlformats.org/officeDocument/2006/relationships/hyperlink" Target="https://arrovvs.bandcamp.com/album/yearning-arrows-cloven-suns" TargetMode="External"/><Relationship Id="rId3322" Type="http://schemas.openxmlformats.org/officeDocument/2006/relationships/hyperlink" Target="https://open.spotify.com/album/45mHBRlSxiii1fmNICSbuN?si=PlXyfJmcReCVQNgjgwAkUQ" TargetMode="External"/><Relationship Id="rId3321" Type="http://schemas.openxmlformats.org/officeDocument/2006/relationships/hyperlink" Target="https://suotana.bandcamp.com/album/ounas-ii" TargetMode="External"/><Relationship Id="rId3324" Type="http://schemas.openxmlformats.org/officeDocument/2006/relationships/hyperlink" Target="https://open.spotify.com/album/3gjdJq4baWAqNi3vtlCqnu?si=-_X7XTuYTM6ywKb4RcFHsA" TargetMode="External"/><Relationship Id="rId3323" Type="http://schemas.openxmlformats.org/officeDocument/2006/relationships/hyperlink" Target="https://anatidaephobiaband.bandcamp.com/album/ouroboros-ep" TargetMode="External"/><Relationship Id="rId2090" Type="http://schemas.openxmlformats.org/officeDocument/2006/relationships/hyperlink" Target="https://open.spotify.com/album/5GtI1DO2OMn36WHNEQsrQ9?si=0u12rhp7SwCkBf8eCNXLXA" TargetMode="External"/><Relationship Id="rId2091" Type="http://schemas.openxmlformats.org/officeDocument/2006/relationships/hyperlink" Target="https://ondfodtofficial.bandcamp.com/album/dimsvall" TargetMode="External"/><Relationship Id="rId2092" Type="http://schemas.openxmlformats.org/officeDocument/2006/relationships/hyperlink" Target="https://open.spotify.com/album/7sYgPPj2t0mRjqJK9uKzXd?si=N5wt4rymQaiQ4CxsSliO-A" TargetMode="External"/><Relationship Id="rId2093" Type="http://schemas.openxmlformats.org/officeDocument/2006/relationships/hyperlink" Target="https://www.youtube.com/watch?v=3x4iVLMi8NA" TargetMode="External"/><Relationship Id="rId2094" Type="http://schemas.openxmlformats.org/officeDocument/2006/relationships/hyperlink" Target="https://nvageband.bandcamp.com/album/self-titled" TargetMode="External"/><Relationship Id="rId2095" Type="http://schemas.openxmlformats.org/officeDocument/2006/relationships/hyperlink" Target="https://open.spotify.com/album/4712CRpTX7VoqGlJHJvgHc?si=irYM2_WWQfevVKYpYE5hew" TargetMode="External"/><Relationship Id="rId2096" Type="http://schemas.openxmlformats.org/officeDocument/2006/relationships/hyperlink" Target="https://www.youtube.com/watch?v=u8jmV62MuFU" TargetMode="External"/><Relationship Id="rId2097" Type="http://schemas.openxmlformats.org/officeDocument/2006/relationships/hyperlink" Target="https://deathwhore.bandcamp.com/album/blood-washes-everything-away" TargetMode="External"/><Relationship Id="rId2098" Type="http://schemas.openxmlformats.org/officeDocument/2006/relationships/hyperlink" Target="https://open.spotify.com/album/3yv65kWUHEHSaVX9xSU1nD?si=fLC5u_rJRFK78cECZD_eEw" TargetMode="External"/><Relationship Id="rId2099" Type="http://schemas.openxmlformats.org/officeDocument/2006/relationships/hyperlink" Target="https://www.youtube.com/watch?v=MN0n4_0ISvk" TargetMode="External"/><Relationship Id="rId3391" Type="http://schemas.openxmlformats.org/officeDocument/2006/relationships/hyperlink" Target="https://open.spotify.com/album/71ZrCjiBNeyJrlZxMLCth7?si=zNT_dxGiSI-ePnG9_cKyYg" TargetMode="External"/><Relationship Id="rId2060" Type="http://schemas.openxmlformats.org/officeDocument/2006/relationships/hyperlink" Target="https://open.spotify.com/album/6KMDgRONdi8wElXixvTFOV?si=gaEIaMOCThqG-rxHJGSbAQ" TargetMode="External"/><Relationship Id="rId3390" Type="http://schemas.openxmlformats.org/officeDocument/2006/relationships/hyperlink" Target="https://glyphmetal.bandcamp.com/album/invictus" TargetMode="External"/><Relationship Id="rId2061" Type="http://schemas.openxmlformats.org/officeDocument/2006/relationships/hyperlink" Target="https://www.youtube.com/watch?v=o1fdU7KfgnY" TargetMode="External"/><Relationship Id="rId3393" Type="http://schemas.openxmlformats.org/officeDocument/2006/relationships/hyperlink" Target="https://open.spotify.com/album/3B7WR91hGi5WIYxLJLG5s8?si=4P3IOYaMQNSmG39moE5xlA" TargetMode="External"/><Relationship Id="rId2062" Type="http://schemas.openxmlformats.org/officeDocument/2006/relationships/hyperlink" Target="https://maresofthrace.bandcamp.com/album/the-loss" TargetMode="External"/><Relationship Id="rId3392" Type="http://schemas.openxmlformats.org/officeDocument/2006/relationships/hyperlink" Target="https://tentacult.bandcamp.com/album/synaptic-perfidy" TargetMode="External"/><Relationship Id="rId2063" Type="http://schemas.openxmlformats.org/officeDocument/2006/relationships/hyperlink" Target="https://open.spotify.com/album/0fYQL2YmgOPe1y32HUBPXk?si=WQo2O3DrQU2V2rRHveJ5cQ" TargetMode="External"/><Relationship Id="rId3395" Type="http://schemas.openxmlformats.org/officeDocument/2006/relationships/hyperlink" Target="https://open.spotify.com/album/4vrI8AY2VCRJ3yT5u6Pysu?si=2h9z0yy8R9usI3AlDtqYjw" TargetMode="External"/><Relationship Id="rId2064" Type="http://schemas.openxmlformats.org/officeDocument/2006/relationships/hyperlink" Target="https://www.youtube.com/watch?v=02EPSRnKNUI" TargetMode="External"/><Relationship Id="rId3394" Type="http://schemas.openxmlformats.org/officeDocument/2006/relationships/hyperlink" Target="https://spireoflazarus.bandcamp.com/album/those-who-live-in-death" TargetMode="External"/><Relationship Id="rId2065" Type="http://schemas.openxmlformats.org/officeDocument/2006/relationships/hyperlink" Target="https://open.spotify.com/album/1OESBdYYfEHfTbhsNKLpXD?si=ayBlrOS8QbOrxjoKsy1HNQ" TargetMode="External"/><Relationship Id="rId3397" Type="http://schemas.openxmlformats.org/officeDocument/2006/relationships/hyperlink" Target="https://open.spotify.com/album/0Z2Usia5wQnumwZsO7f9DY?si=O9BbgrWZS7GGpaRRP7j5jA" TargetMode="External"/><Relationship Id="rId2066" Type="http://schemas.openxmlformats.org/officeDocument/2006/relationships/hyperlink" Target="https://joviac.bandcamp.com/album/autofiction-pt-1-shards-2" TargetMode="External"/><Relationship Id="rId3396" Type="http://schemas.openxmlformats.org/officeDocument/2006/relationships/hyperlink" Target="https://liminoid.bandcamp.com/album/constellations" TargetMode="External"/><Relationship Id="rId2067" Type="http://schemas.openxmlformats.org/officeDocument/2006/relationships/hyperlink" Target="https://open.spotify.com/album/3NPrqmRfIZDJLvMXezFZwl?si=85KQq_E9S_iQHWdIQs7v7g" TargetMode="External"/><Relationship Id="rId3399" Type="http://schemas.openxmlformats.org/officeDocument/2006/relationships/hyperlink" Target="https://thegreatwhitenothing.bandcamp.com/album/passage-i-melancholia" TargetMode="External"/><Relationship Id="rId2068" Type="http://schemas.openxmlformats.org/officeDocument/2006/relationships/hyperlink" Target="https://www.youtube.com/watch?v=ooMXhGtH33c" TargetMode="External"/><Relationship Id="rId3398" Type="http://schemas.openxmlformats.org/officeDocument/2006/relationships/hyperlink" Target="https://transylvanianrecordings.bandcamp.com/album/in-shame-looming" TargetMode="External"/><Relationship Id="rId2069" Type="http://schemas.openxmlformats.org/officeDocument/2006/relationships/hyperlink" Target="https://open.spotify.com/album/1y3G3ozQ3CTRkBMi2N8QAn?si=rKeebZdJQiiGCI9T0_J4GQ" TargetMode="External"/><Relationship Id="rId3380" Type="http://schemas.openxmlformats.org/officeDocument/2006/relationships/hyperlink" Target="https://open.spotify.com/album/6qmMTbaI4W9q9And4sZspC?si=3YTvNZlSS5S0g0DORIVkKw" TargetMode="External"/><Relationship Id="rId2050" Type="http://schemas.openxmlformats.org/officeDocument/2006/relationships/hyperlink" Target="https://woundedtouch.bandcamp.com/album/a-vivid-depiction-of-collapse" TargetMode="External"/><Relationship Id="rId3382" Type="http://schemas.openxmlformats.org/officeDocument/2006/relationships/hyperlink" Target="https://exoneration.bandcamp.com/album/monuments-to-nothing" TargetMode="External"/><Relationship Id="rId2051" Type="http://schemas.openxmlformats.org/officeDocument/2006/relationships/hyperlink" Target="https://open.spotify.com/album/5JcbshaLhtkysVpAbTd7z7?si=S7zGGVf4SmmBFfoxcfrvmQ" TargetMode="External"/><Relationship Id="rId3381" Type="http://schemas.openxmlformats.org/officeDocument/2006/relationships/hyperlink" Target="https://www.youtube.com/watch?v=UFAhiqw7JOs" TargetMode="External"/><Relationship Id="rId2052" Type="http://schemas.openxmlformats.org/officeDocument/2006/relationships/hyperlink" Target="https://bloodmonolith.bandcamp.com/album/the-calling-of-fire" TargetMode="External"/><Relationship Id="rId3384" Type="http://schemas.openxmlformats.org/officeDocument/2006/relationships/hyperlink" Target="https://indrennp.bandcamp.com/album/duskborn" TargetMode="External"/><Relationship Id="rId2053" Type="http://schemas.openxmlformats.org/officeDocument/2006/relationships/hyperlink" Target="https://open.spotify.com/album/2WdCnWvZFhqbDvfdgupddN?si=ziUvv2PqRp2QUbIymiLxnw" TargetMode="External"/><Relationship Id="rId3383" Type="http://schemas.openxmlformats.org/officeDocument/2006/relationships/hyperlink" Target="https://open.spotify.com/album/0kD0bMveiOji2HaonR5oVy?si=QRWQnccFTgqbcYXX4RFsdQ" TargetMode="External"/><Relationship Id="rId2054" Type="http://schemas.openxmlformats.org/officeDocument/2006/relationships/hyperlink" Target="https://www.youtube.com/watch?v=1SzkbihewjM" TargetMode="External"/><Relationship Id="rId3386" Type="http://schemas.openxmlformats.org/officeDocument/2006/relationships/hyperlink" Target="https://www.youtube.com/watch?v=p90RMsPvcEA" TargetMode="External"/><Relationship Id="rId2055" Type="http://schemas.openxmlformats.org/officeDocument/2006/relationships/hyperlink" Target="https://pridianmusic.bandcamp.com/album/venetian-dark-24-bit-hd-audio" TargetMode="External"/><Relationship Id="rId3385" Type="http://schemas.openxmlformats.org/officeDocument/2006/relationships/hyperlink" Target="https://open.spotify.com/album/7renf4xAs9e5h78oXvT20o?si=gsplJ-o2TmidNKLIaQGe8A" TargetMode="External"/><Relationship Id="rId2056" Type="http://schemas.openxmlformats.org/officeDocument/2006/relationships/hyperlink" Target="https://open.spotify.com/album/020SyyclpgKvwhzSDpghUf?si=FGdi2k0VT7K80a3OTW8kDQ" TargetMode="External"/><Relationship Id="rId3388" Type="http://schemas.openxmlformats.org/officeDocument/2006/relationships/hyperlink" Target="https://open.spotify.com/album/6lrpWVe37fK2OO4LSSkUD9?si=BQA9I_OvQa21DzNWYFfKag" TargetMode="External"/><Relationship Id="rId2057" Type="http://schemas.openxmlformats.org/officeDocument/2006/relationships/hyperlink" Target="https://thecallousdaoboys.bandcamp.com/album/i-don-t-want-to-see-you-in-heaven" TargetMode="External"/><Relationship Id="rId3387" Type="http://schemas.openxmlformats.org/officeDocument/2006/relationships/hyperlink" Target="https://porenut.bandcamp.com/album/v-stup-k-sv-tej-kunde" TargetMode="External"/><Relationship Id="rId2058" Type="http://schemas.openxmlformats.org/officeDocument/2006/relationships/hyperlink" Target="https://open.spotify.com/album/3jTNWEwxFDdNCuHjc3CuHi?si=0IqUwYYbRuq_i_mA7VmF9g" TargetMode="External"/><Relationship Id="rId2059" Type="http://schemas.openxmlformats.org/officeDocument/2006/relationships/hyperlink" Target="https://pelican.bandcamp.com/album/flickering-resonance" TargetMode="External"/><Relationship Id="rId3389" Type="http://schemas.openxmlformats.org/officeDocument/2006/relationships/hyperlink" Target="https://spesia.bandcamp.com/album/until-the-roots-heal" TargetMode="External"/><Relationship Id="rId2080" Type="http://schemas.openxmlformats.org/officeDocument/2006/relationships/hyperlink" Target="https://wearerootzero.bandcamp.com/album/dark-rainbow" TargetMode="External"/><Relationship Id="rId2081" Type="http://schemas.openxmlformats.org/officeDocument/2006/relationships/hyperlink" Target="https://open.spotify.com/album/3U3pvb1WQ28lYJo8Yuw7FT?si=STN1wpMbRuSQnwX7ZBb4dQ" TargetMode="External"/><Relationship Id="rId2082" Type="http://schemas.openxmlformats.org/officeDocument/2006/relationships/hyperlink" Target="https://drouth.bandcamp.com/album/the-teeth-of-time" TargetMode="External"/><Relationship Id="rId2083" Type="http://schemas.openxmlformats.org/officeDocument/2006/relationships/hyperlink" Target="https://open.spotify.com/album/2Pu1AAXdmL9rR16bnZM8Bj?si=kd3ipDFPTp2CGxeFPygB2Q" TargetMode="External"/><Relationship Id="rId2084" Type="http://schemas.openxmlformats.org/officeDocument/2006/relationships/hyperlink" Target="https://hammerheart.bandcamp.com/album/darkened-devotion" TargetMode="External"/><Relationship Id="rId2085" Type="http://schemas.openxmlformats.org/officeDocument/2006/relationships/hyperlink" Target="https://open.spotify.com/album/5KTi0TLk4na0m9wg5bkwVu?si=2Dyi8SUjQ8COaEnmJ7kaYQ" TargetMode="External"/><Relationship Id="rId2086" Type="http://schemas.openxmlformats.org/officeDocument/2006/relationships/hyperlink" Target="https://www.youtube.com/watch?v=nec2c1gnyAU" TargetMode="External"/><Relationship Id="rId2087" Type="http://schemas.openxmlformats.org/officeDocument/2006/relationships/hyperlink" Target="https://hellgrammites.bandcamp.com/album/ethos" TargetMode="External"/><Relationship Id="rId2088" Type="http://schemas.openxmlformats.org/officeDocument/2006/relationships/hyperlink" Target="https://open.spotify.com/album/6X2DtcspGEMGN0c25GIYG5?si=zJwL0v-VSvaPz5EbWe2nHg" TargetMode="External"/><Relationship Id="rId2089" Type="http://schemas.openxmlformats.org/officeDocument/2006/relationships/hyperlink" Target="https://clamfight.bandcamp.com/album/clamfight" TargetMode="External"/><Relationship Id="rId2070" Type="http://schemas.openxmlformats.org/officeDocument/2006/relationships/hyperlink" Target="https://www.youtube.com/watch?v=wnw3tiZYhm4" TargetMode="External"/><Relationship Id="rId2071" Type="http://schemas.openxmlformats.org/officeDocument/2006/relationships/hyperlink" Target="https://antropomorphia.bandcamp.com/album/devoid-of-light" TargetMode="External"/><Relationship Id="rId2072" Type="http://schemas.openxmlformats.org/officeDocument/2006/relationships/hyperlink" Target="https://open.spotify.com/album/4cSeVuPr1kHGjAFn3bgcPK?si=cdXF_s_xQW6ITXlruJizpQ" TargetMode="External"/><Relationship Id="rId2073" Type="http://schemas.openxmlformats.org/officeDocument/2006/relationships/hyperlink" Target="https://www.youtube.com/watch?v=OlWosHaiZhQ" TargetMode="External"/><Relationship Id="rId2074" Type="http://schemas.openxmlformats.org/officeDocument/2006/relationships/hyperlink" Target="https://deadchasm-label.bandcamp.com/album/spectral-tyranny" TargetMode="External"/><Relationship Id="rId2075" Type="http://schemas.openxmlformats.org/officeDocument/2006/relationships/hyperlink" Target="https://open.spotify.com/album/78V1EFJsnvGRXurKtHErv4?si=kDy5EWDjQ-aC_90KZ9RWJQ" TargetMode="External"/><Relationship Id="rId2076" Type="http://schemas.openxmlformats.org/officeDocument/2006/relationships/hyperlink" Target="https://www.youtube.com/watch?v=HIOTMIkShxY" TargetMode="External"/><Relationship Id="rId2077" Type="http://schemas.openxmlformats.org/officeDocument/2006/relationships/hyperlink" Target="https://open.spotify.com/album/5VFCZaivqUDRJq34ylEbt5?si=wlHQglVrR7WnXLeZdK5SAw" TargetMode="External"/><Relationship Id="rId2078" Type="http://schemas.openxmlformats.org/officeDocument/2006/relationships/hyperlink" Target="https://uniqueleaderrecords.bandcamp.com/album/extraction" TargetMode="External"/><Relationship Id="rId2079" Type="http://schemas.openxmlformats.org/officeDocument/2006/relationships/hyperlink" Target="https://open.spotify.com/album/2UYMVHDDn7kwm8YQy40ndu?si=hXVcFLS2QHKefAGxcLgY4w" TargetMode="External"/><Relationship Id="rId2940" Type="http://schemas.openxmlformats.org/officeDocument/2006/relationships/hyperlink" Target="https://recorruptor.bandcamp.com/album/sorrow-will-drown-us-all" TargetMode="External"/><Relationship Id="rId1610" Type="http://schemas.openxmlformats.org/officeDocument/2006/relationships/hyperlink" Target="https://www.youtube.com/watch?v=WvoFX-M1K6g" TargetMode="External"/><Relationship Id="rId2941" Type="http://schemas.openxmlformats.org/officeDocument/2006/relationships/hyperlink" Target="https://open.spotify.com/album/6jmSQqmg9JJMqlfulPsFjY?si=NNlkFlgqQy2zSG4zaOsJ_g" TargetMode="External"/><Relationship Id="rId1611" Type="http://schemas.openxmlformats.org/officeDocument/2006/relationships/hyperlink" Target="https://empyreansanctum.bandcamp.com/album/detachment-from-reality" TargetMode="External"/><Relationship Id="rId2942" Type="http://schemas.openxmlformats.org/officeDocument/2006/relationships/hyperlink" Target="https://hammerheart.bandcamp.com/album/grip-of-ancient-evil" TargetMode="External"/><Relationship Id="rId1612" Type="http://schemas.openxmlformats.org/officeDocument/2006/relationships/hyperlink" Target="https://open.spotify.com/album/28KxELyoeTsR7r1WBy15fn?si=6eBtopDQRW23MV8435CjLQ" TargetMode="External"/><Relationship Id="rId2943" Type="http://schemas.openxmlformats.org/officeDocument/2006/relationships/hyperlink" Target="https://open.spotify.com/album/2ZStQRhyYh7avVmxzIScDG?si=-GaG7ioFTx2vzRwGEhCd-Q" TargetMode="External"/><Relationship Id="rId1613" Type="http://schemas.openxmlformats.org/officeDocument/2006/relationships/hyperlink" Target="https://www.youtube.com/watch?v=5K1yeWWhoB8" TargetMode="External"/><Relationship Id="rId2944" Type="http://schemas.openxmlformats.org/officeDocument/2006/relationships/hyperlink" Target="https://www.youtube.com/watch?v=kjjrjOf9ZjY" TargetMode="External"/><Relationship Id="rId1614" Type="http://schemas.openxmlformats.org/officeDocument/2006/relationships/hyperlink" Target="https://teramaze.bandcamp.com/album/the-harmony-machine" TargetMode="External"/><Relationship Id="rId2945" Type="http://schemas.openxmlformats.org/officeDocument/2006/relationships/hyperlink" Target="https://thelonghunt.bandcamp.com/album/natural-order" TargetMode="External"/><Relationship Id="rId1615" Type="http://schemas.openxmlformats.org/officeDocument/2006/relationships/hyperlink" Target="https://open.spotify.com/album/6xTkBYrCOCv1YgMl7YQiYG?si=FpXWQIR_RbOC0voKvYHA-A" TargetMode="External"/><Relationship Id="rId2946" Type="http://schemas.openxmlformats.org/officeDocument/2006/relationships/hyperlink" Target="https://open.spotify.com/album/4nEAW98B7QPmo0bkop8YDk?si=gWvSwAcrRWWcSfUDG7PzEQ" TargetMode="External"/><Relationship Id="rId1616" Type="http://schemas.openxmlformats.org/officeDocument/2006/relationships/hyperlink" Target="https://20buckspin.bandcamp.com/album/in-penitence-and-ruin" TargetMode="External"/><Relationship Id="rId2947" Type="http://schemas.openxmlformats.org/officeDocument/2006/relationships/hyperlink" Target="https://rottedlife.bandcamp.com/album/time-to-rot" TargetMode="External"/><Relationship Id="rId907" Type="http://schemas.openxmlformats.org/officeDocument/2006/relationships/hyperlink" Target="https://ironyoffate.bandcamp.com/album/equinox" TargetMode="External"/><Relationship Id="rId1617" Type="http://schemas.openxmlformats.org/officeDocument/2006/relationships/hyperlink" Target="https://open.spotify.com/album/7kOuWVwCSpPDw7YNfhj4mf?si=_Ljo9Cs5SAWxiYvF4lrGCg" TargetMode="External"/><Relationship Id="rId2948" Type="http://schemas.openxmlformats.org/officeDocument/2006/relationships/hyperlink" Target="https://open.spotify.com/album/3cvBerq8yC9fjifN4GtYrF?si=2jOc-cVCR-yit6WZr0UgDA" TargetMode="External"/><Relationship Id="rId906" Type="http://schemas.openxmlformats.org/officeDocument/2006/relationships/hyperlink" Target="https://selvforakt.bandcamp.com/album/ormstukken" TargetMode="External"/><Relationship Id="rId1618" Type="http://schemas.openxmlformats.org/officeDocument/2006/relationships/hyperlink" Target="https://www.youtube.com/watch?v=wVOTl8olZCc" TargetMode="External"/><Relationship Id="rId2949" Type="http://schemas.openxmlformats.org/officeDocument/2006/relationships/hyperlink" Target="https://warchief.bandcamp.com/album/toil-trouble" TargetMode="External"/><Relationship Id="rId905" Type="http://schemas.openxmlformats.org/officeDocument/2006/relationships/hyperlink" Target="https://open.spotify.com/album/0vJDLULgfITIpXMvriz7fG?si=3HRuQKjySnO6gSyLlMsa0A" TargetMode="External"/><Relationship Id="rId1619" Type="http://schemas.openxmlformats.org/officeDocument/2006/relationships/hyperlink" Target="https://likofficial.bandcamp.com/album/necro" TargetMode="External"/><Relationship Id="rId904" Type="http://schemas.openxmlformats.org/officeDocument/2006/relationships/hyperlink" Target="https://mykingdommusic.bandcamp.com/album/pantheon" TargetMode="External"/><Relationship Id="rId909" Type="http://schemas.openxmlformats.org/officeDocument/2006/relationships/hyperlink" Target="https://theviceonline.bandcamp.com/album/a-great-unrest-ep" TargetMode="External"/><Relationship Id="rId908" Type="http://schemas.openxmlformats.org/officeDocument/2006/relationships/hyperlink" Target="https://open.spotify.com/album/1oAGSRFsoPypQwBGCoDvRT?si=Sfg0uqiiRxS97nxUy_DuZQ" TargetMode="External"/><Relationship Id="rId903" Type="http://schemas.openxmlformats.org/officeDocument/2006/relationships/hyperlink" Target="https://open.spotify.com/album/3OarnS841I5n3XETE8vLrV?si=b8VBqD16TA2u_Qy7vR5Wnw" TargetMode="External"/><Relationship Id="rId902" Type="http://schemas.openxmlformats.org/officeDocument/2006/relationships/hyperlink" Target="https://nekyros.bandcamp.com/album/nyxian-path" TargetMode="External"/><Relationship Id="rId901" Type="http://schemas.openxmlformats.org/officeDocument/2006/relationships/hyperlink" Target="https://open.spotify.com/album/1jdO7BnRWaPUqOmJs9NErn?si=KyG1u5SRRdqSNB4o3Shgeg" TargetMode="External"/><Relationship Id="rId900" Type="http://schemas.openxmlformats.org/officeDocument/2006/relationships/hyperlink" Target="https://thedeathwheelers.bandcamp.com/album/the-ecstasy-of-m-ld" TargetMode="External"/><Relationship Id="rId2930" Type="http://schemas.openxmlformats.org/officeDocument/2006/relationships/hyperlink" Target="https://www.youtube.com/watch?v=r9jQ4f9UXJ0" TargetMode="External"/><Relationship Id="rId1600" Type="http://schemas.openxmlformats.org/officeDocument/2006/relationships/hyperlink" Target="https://open.spotify.com/album/5KEDxnCKa0N5YVgohjjzJU?si=wAlxbwG3SW6xW5ZyE4W-mw" TargetMode="External"/><Relationship Id="rId2931" Type="http://schemas.openxmlformats.org/officeDocument/2006/relationships/hyperlink" Target="https://re-buried.bandcamp.com/album/flesh-mourning" TargetMode="External"/><Relationship Id="rId1601" Type="http://schemas.openxmlformats.org/officeDocument/2006/relationships/hyperlink" Target="https://gamabomb.bandcamp.com/album/gama-bomb-necronomicon-automaton" TargetMode="External"/><Relationship Id="rId2932" Type="http://schemas.openxmlformats.org/officeDocument/2006/relationships/hyperlink" Target="https://open.spotify.com/album/6V2ZT2XoyIQvIaFbt2fPAU?si=pOsU3o95T3a3hH5qhFo7ig" TargetMode="External"/><Relationship Id="rId1602" Type="http://schemas.openxmlformats.org/officeDocument/2006/relationships/hyperlink" Target="https://open.spotify.com/album/4XjmSiDgWjzzzz0kHYeZFV?si=M9MJlZU_SyWpOoA3nW_laA" TargetMode="External"/><Relationship Id="rId2933" Type="http://schemas.openxmlformats.org/officeDocument/2006/relationships/hyperlink" Target="https://droughtsounds.bandcamp.com/album/souvenir" TargetMode="External"/><Relationship Id="rId1603" Type="http://schemas.openxmlformats.org/officeDocument/2006/relationships/hyperlink" Target="https://www.youtube.com/watch?v=YnnUz4032Us" TargetMode="External"/><Relationship Id="rId2934" Type="http://schemas.openxmlformats.org/officeDocument/2006/relationships/hyperlink" Target="https://open.spotify.com/album/24fnUuyiKzy96BDsxAsAFv?si=G7kM_bI4RJmD6yaT0XMMfQ" TargetMode="External"/><Relationship Id="rId1604" Type="http://schemas.openxmlformats.org/officeDocument/2006/relationships/hyperlink" Target="https://coldceiling.bandcamp.com/album/i-must-be-closer" TargetMode="External"/><Relationship Id="rId2935" Type="http://schemas.openxmlformats.org/officeDocument/2006/relationships/hyperlink" Target="https://heavypsychsoundsrecords.bandcamp.com/album/margarita-witch-cult-strung-out-in-hell" TargetMode="External"/><Relationship Id="rId1605" Type="http://schemas.openxmlformats.org/officeDocument/2006/relationships/hyperlink" Target="https://open.spotify.com/album/2uBU0KuHiUP7A7ucahdTUd?si=f-pujxGPSqKgUhCzDwLxlA" TargetMode="External"/><Relationship Id="rId2936" Type="http://schemas.openxmlformats.org/officeDocument/2006/relationships/hyperlink" Target="https://open.spotify.com/album/3Q1e0BDK5RAO4jzwNRXJQo?si=AbIgkK7KQ9SqA2ZEQaXQvA" TargetMode="External"/><Relationship Id="rId1606" Type="http://schemas.openxmlformats.org/officeDocument/2006/relationships/hyperlink" Target="https://couchslut.bandcamp.com/album/live-at-roadburn-2024-the-couch-slut-brunch-hour" TargetMode="External"/><Relationship Id="rId2937" Type="http://schemas.openxmlformats.org/officeDocument/2006/relationships/hyperlink" Target="https://www.youtube.com/watch?v=l2Ky-DnuRtA" TargetMode="External"/><Relationship Id="rId1607" Type="http://schemas.openxmlformats.org/officeDocument/2006/relationships/hyperlink" Target="https://open.spotify.com/album/4X9dgRXUlVkadvwYQ6o3Cr?si=ve6eIWRDRTKtOL4SC-VDpA" TargetMode="External"/><Relationship Id="rId2938" Type="http://schemas.openxmlformats.org/officeDocument/2006/relationships/hyperlink" Target="https://stomachdoom.bandcamp.com/album/low-demon" TargetMode="External"/><Relationship Id="rId1608" Type="http://schemas.openxmlformats.org/officeDocument/2006/relationships/hyperlink" Target="https://chatpile.bandcamp.com/album/live-at-roadburn-2023" TargetMode="External"/><Relationship Id="rId2939" Type="http://schemas.openxmlformats.org/officeDocument/2006/relationships/hyperlink" Target="https://open.spotify.com/album/7JULpbZ0v9DuLzAGsA0ipK?si=HcxaJuEHTQaPwUcADDNXbw" TargetMode="External"/><Relationship Id="rId1609" Type="http://schemas.openxmlformats.org/officeDocument/2006/relationships/hyperlink" Target="https://open.spotify.com/album/1yXoGKoh8eOOAjeKOf0aoo?si=kmSP2sfpR66WIR3vh7-mNA" TargetMode="External"/><Relationship Id="rId1631" Type="http://schemas.openxmlformats.org/officeDocument/2006/relationships/hyperlink" Target="https://open.spotify.com/album/2jskrnvgwiQjCAhpuZvPZM?si=adNOOcRwT3yIXOhZjgrUtg" TargetMode="External"/><Relationship Id="rId2962" Type="http://schemas.openxmlformats.org/officeDocument/2006/relationships/hyperlink" Target="https://lunatic-thrash.bandcamp.com/album/eaten-alive" TargetMode="External"/><Relationship Id="rId1632" Type="http://schemas.openxmlformats.org/officeDocument/2006/relationships/hyperlink" Target="https://www.youtube.com/watch?v=YHMa9lZRzG4" TargetMode="External"/><Relationship Id="rId2963" Type="http://schemas.openxmlformats.org/officeDocument/2006/relationships/hyperlink" Target="https://allisviolent.bandcamp.com/album/monolith-of-becoming-2" TargetMode="External"/><Relationship Id="rId1633" Type="http://schemas.openxmlformats.org/officeDocument/2006/relationships/hyperlink" Target="https://cryptsofdespairdeath.bandcamp.com/album/we-belong-in-the-grave" TargetMode="External"/><Relationship Id="rId2964" Type="http://schemas.openxmlformats.org/officeDocument/2006/relationships/hyperlink" Target="https://open.spotify.com/album/0968kclxKF0qacBPLqbCSV?si=X72XtqKmQyy2fsr7HkKd2Q" TargetMode="External"/><Relationship Id="rId1634" Type="http://schemas.openxmlformats.org/officeDocument/2006/relationships/hyperlink" Target="https://open.spotify.com/album/0CximVB153DU2unB74ex1o?si=AnuRLAnmRgegihQ6293ySA" TargetMode="External"/><Relationship Id="rId2965" Type="http://schemas.openxmlformats.org/officeDocument/2006/relationships/hyperlink" Target="https://anthill.bandcamp.com/album/volume-iii-climbing-the-bone-mountain" TargetMode="External"/><Relationship Id="rId1635" Type="http://schemas.openxmlformats.org/officeDocument/2006/relationships/hyperlink" Target="https://www.youtube.com/watch?v=yKi7V_21JfI" TargetMode="External"/><Relationship Id="rId2966" Type="http://schemas.openxmlformats.org/officeDocument/2006/relationships/hyperlink" Target="https://afterus.bandcamp.com/album/offerings" TargetMode="External"/><Relationship Id="rId1636" Type="http://schemas.openxmlformats.org/officeDocument/2006/relationships/hyperlink" Target="https://divideanddissolve.bandcamp.com/album/insatiable" TargetMode="External"/><Relationship Id="rId2967" Type="http://schemas.openxmlformats.org/officeDocument/2006/relationships/hyperlink" Target="https://open.spotify.com/album/5YPZwuSnrUL8ymsJTlMsO6?si=Y2vXdA6tRceZgyPX0mur-A" TargetMode="External"/><Relationship Id="rId1637" Type="http://schemas.openxmlformats.org/officeDocument/2006/relationships/hyperlink" Target="https://open.spotify.com/album/5174DaPHbMVAzmnWR1CQ0b?si=rSphuGC1QUyDMXsbSJPPfg" TargetMode="External"/><Relationship Id="rId2968" Type="http://schemas.openxmlformats.org/officeDocument/2006/relationships/hyperlink" Target="https://captureorbit.bandcamp.com/album/mission-log-gaia" TargetMode="External"/><Relationship Id="rId1638" Type="http://schemas.openxmlformats.org/officeDocument/2006/relationships/hyperlink" Target="https://svnth.bandcamp.com/album/pink-noise-youth" TargetMode="External"/><Relationship Id="rId2969" Type="http://schemas.openxmlformats.org/officeDocument/2006/relationships/hyperlink" Target="https://open.spotify.com/album/5kX9dUeIBehXn83eCTv1gN?si=NoZJBDQYRFSZJeMEpbiqCA" TargetMode="External"/><Relationship Id="rId929" Type="http://schemas.openxmlformats.org/officeDocument/2006/relationships/hyperlink" Target="https://idreamttheseali.bandcamp.com/album/self-titled" TargetMode="External"/><Relationship Id="rId1639" Type="http://schemas.openxmlformats.org/officeDocument/2006/relationships/hyperlink" Target="https://open.spotify.com/album/5bbAhBS1xkDjNPrFQeVY6r?si=QXIrmEdZRROf5w0ghcYF6w" TargetMode="External"/><Relationship Id="rId928" Type="http://schemas.openxmlformats.org/officeDocument/2006/relationships/hyperlink" Target="https://open.spotify.com/album/5l1MHa5dSJnpHLbFJIE15r?si=O8U2WCrQQ9ujoy0D9GVIEg" TargetMode="External"/><Relationship Id="rId927" Type="http://schemas.openxmlformats.org/officeDocument/2006/relationships/hyperlink" Target="https://irradiantband.bandcamp.com/album/chapter-iii-conditioning" TargetMode="External"/><Relationship Id="rId926" Type="http://schemas.openxmlformats.org/officeDocument/2006/relationships/hyperlink" Target="https://terrorcorpse.bandcamp.com/album/systems-of-apocalypse" TargetMode="External"/><Relationship Id="rId921" Type="http://schemas.openxmlformats.org/officeDocument/2006/relationships/hyperlink" Target="https://open.spotify.com/album/3rjqJ95Rdf0cDieBOcl2T3?si=JvggzRFES1qFTHoBbx2PhA" TargetMode="External"/><Relationship Id="rId920" Type="http://schemas.openxmlformats.org/officeDocument/2006/relationships/hyperlink" Target="https://idmonsaegis.bandcamp.com/album/under-the-auspices-of-idmon" TargetMode="External"/><Relationship Id="rId925" Type="http://schemas.openxmlformats.org/officeDocument/2006/relationships/hyperlink" Target="https://open.spotify.com/album/282DP0iFRc7eUhg78qCfAB?si=MZdPlL94T_WG6BwnZAykCQ" TargetMode="External"/><Relationship Id="rId924" Type="http://schemas.openxmlformats.org/officeDocument/2006/relationships/hyperlink" Target="https://obsidianfall.bandcamp.com/album/elegy-from-a-dying-world" TargetMode="External"/><Relationship Id="rId923" Type="http://schemas.openxmlformats.org/officeDocument/2006/relationships/hyperlink" Target="https://open.spotify.com/album/33tLbKy4KDHQAZbEuzRqQg?si=AFlNbjjRQDi9qgwd9bb1mg" TargetMode="External"/><Relationship Id="rId922" Type="http://schemas.openxmlformats.org/officeDocument/2006/relationships/hyperlink" Target="https://myriaddrone.bandcamp.com/album/a-world-without-us-2" TargetMode="External"/><Relationship Id="rId2960" Type="http://schemas.openxmlformats.org/officeDocument/2006/relationships/hyperlink" Target="https://hypomanicdaydream.bandcamp.com/album/the-yearning" TargetMode="External"/><Relationship Id="rId1630" Type="http://schemas.openxmlformats.org/officeDocument/2006/relationships/hyperlink" Target="https://dormantordeal.bandcamp.com/album/tooth-and-nail" TargetMode="External"/><Relationship Id="rId2961" Type="http://schemas.openxmlformats.org/officeDocument/2006/relationships/hyperlink" Target="https://open.spotify.com/album/0WdBaJLsWy62LtCzaZF9ps?si=YrYWtQDhSA6Eiqsf9tmpAw" TargetMode="External"/><Relationship Id="rId1620" Type="http://schemas.openxmlformats.org/officeDocument/2006/relationships/hyperlink" Target="https://open.spotify.com/album/29T8qlzUqSTOIYKsNXUBRD?si=VqFAYtpLQ5yWeCMoulMbMA" TargetMode="External"/><Relationship Id="rId2951" Type="http://schemas.openxmlformats.org/officeDocument/2006/relationships/hyperlink" Target="https://carbonizedrecords.bandcamp.com/album/chasm-of-immurement" TargetMode="External"/><Relationship Id="rId1621" Type="http://schemas.openxmlformats.org/officeDocument/2006/relationships/hyperlink" Target="https://www.youtube.com/watch?v=eLGdVxk8hwU" TargetMode="External"/><Relationship Id="rId2952" Type="http://schemas.openxmlformats.org/officeDocument/2006/relationships/hyperlink" Target="https://open.spotify.com/album/4xgjfaFCUBHvhOIvaYH1Ol?si=GAw7q2M6Tqu57qqwvRWwAA" TargetMode="External"/><Relationship Id="rId1622" Type="http://schemas.openxmlformats.org/officeDocument/2006/relationships/hyperlink" Target="https://ostraca.bandcamp.com/album/eventualities" TargetMode="External"/><Relationship Id="rId2953" Type="http://schemas.openxmlformats.org/officeDocument/2006/relationships/hyperlink" Target="https://www.youtube.com/watch?v=o7V7bloEd_c" TargetMode="External"/><Relationship Id="rId1623" Type="http://schemas.openxmlformats.org/officeDocument/2006/relationships/hyperlink" Target="https://luxterminus.bandcamp.com/album/cinder" TargetMode="External"/><Relationship Id="rId2954" Type="http://schemas.openxmlformats.org/officeDocument/2006/relationships/hyperlink" Target="https://pulverised.bandcamp.com/album/eternal-darkness" TargetMode="External"/><Relationship Id="rId1624" Type="http://schemas.openxmlformats.org/officeDocument/2006/relationships/hyperlink" Target="https://open.spotify.com/album/4MxbRuLNbxf0RERbT8OHsU?si=imJAl_f3QGCMPY8_iDpWmA" TargetMode="External"/><Relationship Id="rId2955" Type="http://schemas.openxmlformats.org/officeDocument/2006/relationships/hyperlink" Target="https://open.spotify.com/album/0JGZbnpZCs9bPFd1vaOMB3?si=ak1mrM_dTa-HfHxubiIRUQ" TargetMode="External"/><Relationship Id="rId1625" Type="http://schemas.openxmlformats.org/officeDocument/2006/relationships/hyperlink" Target="https://ancient-death.bandcamp.com/album/ego-dissolution" TargetMode="External"/><Relationship Id="rId2956" Type="http://schemas.openxmlformats.org/officeDocument/2006/relationships/hyperlink" Target="https://oskoreien.bandcamp.com/album/hollow-fangs" TargetMode="External"/><Relationship Id="rId1626" Type="http://schemas.openxmlformats.org/officeDocument/2006/relationships/hyperlink" Target="https://open.spotify.com/album/2te194YCteNanPaBcvjnMN?si=fWz5dr5rQX2KoO3CM0cL0w" TargetMode="External"/><Relationship Id="rId2957" Type="http://schemas.openxmlformats.org/officeDocument/2006/relationships/hyperlink" Target="https://open.spotify.com/album/7vH0zHDEMxttwwOzzd5TR3?si=sYDu4iEmRLC4IQUqjmFFNw" TargetMode="External"/><Relationship Id="rId1627" Type="http://schemas.openxmlformats.org/officeDocument/2006/relationships/hyperlink" Target="https://www.youtube.com/watch?v=N6n0zT_ZqG8" TargetMode="External"/><Relationship Id="rId2958" Type="http://schemas.openxmlformats.org/officeDocument/2006/relationships/hyperlink" Target="https://dazestyle.bandcamp.com/album/devout" TargetMode="External"/><Relationship Id="rId918" Type="http://schemas.openxmlformats.org/officeDocument/2006/relationships/hyperlink" Target="https://hypermass.bandcamp.com/album/apparition-day" TargetMode="External"/><Relationship Id="rId1628" Type="http://schemas.openxmlformats.org/officeDocument/2006/relationships/hyperlink" Target="https://melvinsofficial.bandcamp.com/album/thunderball" TargetMode="External"/><Relationship Id="rId2959" Type="http://schemas.openxmlformats.org/officeDocument/2006/relationships/hyperlink" Target="https://open.spotify.com/album/1sXnDkT2DXjauaEcvAuXQ5?si=Rq3m7GiZSSuFdEHU-DsWrw" TargetMode="External"/><Relationship Id="rId917" Type="http://schemas.openxmlformats.org/officeDocument/2006/relationships/hyperlink" Target="https://www.youtube.com/watch?v=CjUcqjwXkgo" TargetMode="External"/><Relationship Id="rId1629" Type="http://schemas.openxmlformats.org/officeDocument/2006/relationships/hyperlink" Target="https://open.spotify.com/album/16gfOp5NEgFPpPKJQJbE0M?si=C5lUbOm3RIeNZO5ckxPnJw" TargetMode="External"/><Relationship Id="rId916" Type="http://schemas.openxmlformats.org/officeDocument/2006/relationships/hyperlink" Target="https://open.spotify.com/album/4P8n1M0halnMT4eJxli8TU?si=fqtXpvR-R5y1d0Oo7z81lw" TargetMode="External"/><Relationship Id="rId915" Type="http://schemas.openxmlformats.org/officeDocument/2006/relationships/hyperlink" Target="https://erocis.bandcamp.com/album/the-sunken-lands" TargetMode="External"/><Relationship Id="rId919" Type="http://schemas.openxmlformats.org/officeDocument/2006/relationships/hyperlink" Target="https://open.spotify.com/album/4IHzsmsBlwyvs3dDGQb7pM?si=i-ftXLdvSBCPSVgB5fm1yQ" TargetMode="External"/><Relationship Id="rId910" Type="http://schemas.openxmlformats.org/officeDocument/2006/relationships/hyperlink" Target="https://open.spotify.com/album/7zWzX3wh3uYu4Zd51tCGie?si=Q14A5F6QQIuEyylwSk6NLw" TargetMode="External"/><Relationship Id="rId914" Type="http://schemas.openxmlformats.org/officeDocument/2006/relationships/hyperlink" Target="https://open.spotify.com/album/7l6a7bqIr02UpptVFggRjs?si=oEGohNiHSwK9Vp1v54-pNA" TargetMode="External"/><Relationship Id="rId913" Type="http://schemas.openxmlformats.org/officeDocument/2006/relationships/hyperlink" Target="https://niveous-blackmetal.bandcamp.com/album/endless-snowfall" TargetMode="External"/><Relationship Id="rId912" Type="http://schemas.openxmlformats.org/officeDocument/2006/relationships/hyperlink" Target="https://deadhournoise.bandcamp.com/album/slow-burn" TargetMode="External"/><Relationship Id="rId911" Type="http://schemas.openxmlformats.org/officeDocument/2006/relationships/hyperlink" Target="https://ninkharsag.bandcamp.com/album/the-black-swords-of-winter" TargetMode="External"/><Relationship Id="rId2950" Type="http://schemas.openxmlformats.org/officeDocument/2006/relationships/hyperlink" Target="https://open.spotify.com/album/5a48RxFwOcBPAKNiwavZiv?si=AO6DrKW7RWipA5d_qN644g" TargetMode="External"/><Relationship Id="rId2900" Type="http://schemas.openxmlformats.org/officeDocument/2006/relationships/hyperlink" Target="https://open.spotify.com/album/1K3SxXleW7eC0DrZVCo69Y?si=orcsUyF6SNSK45hyOUTZqQ" TargetMode="External"/><Relationship Id="rId2901" Type="http://schemas.openxmlformats.org/officeDocument/2006/relationships/hyperlink" Target="https://mouthofmadnessdarknessshallrise.bandcamp.com/album/event-horizon" TargetMode="External"/><Relationship Id="rId2902" Type="http://schemas.openxmlformats.org/officeDocument/2006/relationships/hyperlink" Target="https://open.spotify.com/album/5NRfumfTo8HA5Idl9wkUPS?si=X1KcMFzkQ1a7gk1xWF-B4Q" TargetMode="External"/><Relationship Id="rId2903" Type="http://schemas.openxmlformats.org/officeDocument/2006/relationships/hyperlink" Target="https://newmoralityzine.bandcamp.com/album/under-the-altar" TargetMode="External"/><Relationship Id="rId2904" Type="http://schemas.openxmlformats.org/officeDocument/2006/relationships/hyperlink" Target="https://open.spotify.com/album/6P9qD0TI4EIX1swq2QRwYU?si=smyDfNAeQKKxzfLSQtbmpw" TargetMode="External"/><Relationship Id="rId2905" Type="http://schemas.openxmlformats.org/officeDocument/2006/relationships/hyperlink" Target="https://darko.bandcamp.com/album/canvas" TargetMode="External"/><Relationship Id="rId2906" Type="http://schemas.openxmlformats.org/officeDocument/2006/relationships/hyperlink" Target="https://open.spotify.com/album/6ynGLqH40giFjYU2N1761k?si=NPAeWTT2RzeV8u1Z4xnkFw" TargetMode="External"/><Relationship Id="rId2907" Type="http://schemas.openxmlformats.org/officeDocument/2006/relationships/hyperlink" Target="https://babyonarampage.bandcamp.com/album/fall-with-disgrace" TargetMode="External"/><Relationship Id="rId2908" Type="http://schemas.openxmlformats.org/officeDocument/2006/relationships/hyperlink" Target="https://sumerianrecords.bandcamp.com/album/grizzly" TargetMode="External"/><Relationship Id="rId2909" Type="http://schemas.openxmlformats.org/officeDocument/2006/relationships/hyperlink" Target="https://open.spotify.com/album/6RIsDIL38i8Z0ftmRChVf2?si=tsMdfbEwTz-NIG9U4pIH3g" TargetMode="External"/><Relationship Id="rId2920" Type="http://schemas.openxmlformats.org/officeDocument/2006/relationships/hyperlink" Target="https://www.youtube.com/watch?v=xBLzXYFAZe4" TargetMode="External"/><Relationship Id="rId2921" Type="http://schemas.openxmlformats.org/officeDocument/2006/relationships/hyperlink" Target="https://open.spotify.com/album/5bRBPbquc0lVk3iWMCyBfG?si=n9oX0LifT8ih1GyrQAvlTw" TargetMode="External"/><Relationship Id="rId2922" Type="http://schemas.openxmlformats.org/officeDocument/2006/relationships/hyperlink" Target="https://mawizakvlt.bandcamp.com/album/l" TargetMode="External"/><Relationship Id="rId2923" Type="http://schemas.openxmlformats.org/officeDocument/2006/relationships/hyperlink" Target="https://open.spotify.com/album/2JRZT0ilDVfGtWuv6PxAvf?si=B5mTX8HoRNGCRU7LSBemUw" TargetMode="External"/><Relationship Id="rId2924" Type="http://schemas.openxmlformats.org/officeDocument/2006/relationships/hyperlink" Target="https://www.youtube.com/watch?v=mNdske4A3Co" TargetMode="External"/><Relationship Id="rId2925" Type="http://schemas.openxmlformats.org/officeDocument/2006/relationships/hyperlink" Target="https://agoniarecords.bandcamp.com/album/a-void-within-existence" TargetMode="External"/><Relationship Id="rId2926" Type="http://schemas.openxmlformats.org/officeDocument/2006/relationships/hyperlink" Target="https://open.spotify.com/album/7oIuED1EVw5vL4dHG7SaU6?si=5SzKMPL6SdqGMtIdTqObWg" TargetMode="External"/><Relationship Id="rId2927" Type="http://schemas.openxmlformats.org/officeDocument/2006/relationships/hyperlink" Target="https://www.youtube.com/watch?v=XnIEpeYDWP8" TargetMode="External"/><Relationship Id="rId2928" Type="http://schemas.openxmlformats.org/officeDocument/2006/relationships/hyperlink" Target="https://baalbanduk.bandcamp.com/album/the-fine-line-between-heaven-and-here" TargetMode="External"/><Relationship Id="rId2929" Type="http://schemas.openxmlformats.org/officeDocument/2006/relationships/hyperlink" Target="https://open.spotify.com/album/2Tlz5Sj2qSX0G1TthPtatU?si=PubxAGcfScmLTjEiBESdpA" TargetMode="External"/><Relationship Id="rId2910" Type="http://schemas.openxmlformats.org/officeDocument/2006/relationships/hyperlink" Target="https://www.youtube.com/watch?v=a4MT_YH5r3E" TargetMode="External"/><Relationship Id="rId2911" Type="http://schemas.openxmlformats.org/officeDocument/2006/relationships/hyperlink" Target="https://open.spotify.com/album/5DX6OC6rhaLyYJUvgTzZyA?si=lYGwYiNDSuG3otQVzLO0Iw" TargetMode="External"/><Relationship Id="rId2912" Type="http://schemas.openxmlformats.org/officeDocument/2006/relationships/hyperlink" Target="https://effuseatl.bandcamp.com/album/on-others" TargetMode="External"/><Relationship Id="rId2913" Type="http://schemas.openxmlformats.org/officeDocument/2006/relationships/hyperlink" Target="https://open.spotify.com/album/15ZsiNYmxAGhI4sZTAkvAP?si=_jCM2KG8TrOzSFl9LG8Mog" TargetMode="External"/><Relationship Id="rId2914" Type="http://schemas.openxmlformats.org/officeDocument/2006/relationships/hyperlink" Target="https://dephosphorus.bandcamp.com/album/planetoktonos" TargetMode="External"/><Relationship Id="rId2915" Type="http://schemas.openxmlformats.org/officeDocument/2006/relationships/hyperlink" Target="https://open.spotify.com/album/1RSj5jakB6NwJzn6hRGdwc?si=z0iZJc8USqS_uff8UCcuBw" TargetMode="External"/><Relationship Id="rId2916" Type="http://schemas.openxmlformats.org/officeDocument/2006/relationships/hyperlink" Target="https://daronmalakianandscarsonbroadway.bandcamp.com/album/addicted-to-the-violence" TargetMode="External"/><Relationship Id="rId2917" Type="http://schemas.openxmlformats.org/officeDocument/2006/relationships/hyperlink" Target="https://open.spotify.com/album/6CWO5GdXfUd6mjbDDD5Hln?si=icfS1jZPRqCDH71e6iGq6Q" TargetMode="External"/><Relationship Id="rId2918" Type="http://schemas.openxmlformats.org/officeDocument/2006/relationships/hyperlink" Target="https://blindequation.bandcamp.com/album/a-funeral-in-purgatory" TargetMode="External"/><Relationship Id="rId2919" Type="http://schemas.openxmlformats.org/officeDocument/2006/relationships/hyperlink" Target="https://open.spotify.com/album/4XxJKq2qsau3lCHIjE7sB4?si=_z5fWZlKRBC4IUDxn7gDeA" TargetMode="External"/><Relationship Id="rId1697" Type="http://schemas.openxmlformats.org/officeDocument/2006/relationships/hyperlink" Target="https://capitanmusic.bandcamp.com/album/facing-currents" TargetMode="External"/><Relationship Id="rId1698" Type="http://schemas.openxmlformats.org/officeDocument/2006/relationships/hyperlink" Target="https://open.spotify.com/album/3nl26mpszZFiz3Qc4zgYiD?si=T36753N1QQWdvYtpyxg5KQ" TargetMode="External"/><Relationship Id="rId1699" Type="http://schemas.openxmlformats.org/officeDocument/2006/relationships/hyperlink" Target="https://monarchist.bandcamp.com/album/life-noir" TargetMode="External"/><Relationship Id="rId866" Type="http://schemas.openxmlformats.org/officeDocument/2006/relationships/hyperlink" Target="https://open.spotify.com/album/5UxjSkeqKMwi0zn4zkpuTL?si=1PNcR7tcSQiIoucXhiGdJw" TargetMode="External"/><Relationship Id="rId865" Type="http://schemas.openxmlformats.org/officeDocument/2006/relationships/hyperlink" Target="https://voidchaser.bandcamp.com/album/trust-ep" TargetMode="External"/><Relationship Id="rId864" Type="http://schemas.openxmlformats.org/officeDocument/2006/relationships/hyperlink" Target="https://www.youtube.com/watch?v=hzBDoD1-MlQ" TargetMode="External"/><Relationship Id="rId863" Type="http://schemas.openxmlformats.org/officeDocument/2006/relationships/hyperlink" Target="https://open.spotify.com/album/4yLRpR24etNkJc2pxjzbu7?si=rYeAjl9MTEqAANQHUlMtUQ" TargetMode="External"/><Relationship Id="rId869" Type="http://schemas.openxmlformats.org/officeDocument/2006/relationships/hyperlink" Target="https://open.spotify.com/album/0ZKCqzkoFgBKHTFeKBVf8x?si=59qKTaSaQLKqgO-5Pn9Gwg" TargetMode="External"/><Relationship Id="rId868" Type="http://schemas.openxmlformats.org/officeDocument/2006/relationships/hyperlink" Target="https://corporalpunishmentfr.bandcamp.com/album/inverted-demise" TargetMode="External"/><Relationship Id="rId867" Type="http://schemas.openxmlformats.org/officeDocument/2006/relationships/hyperlink" Target="https://www.youtube.com/watch?v=6gjXaEWKiKg" TargetMode="External"/><Relationship Id="rId1690" Type="http://schemas.openxmlformats.org/officeDocument/2006/relationships/hyperlink" Target="https://morbific.bandcamp.com/album/bloom-of-the-abnormal-flesh" TargetMode="External"/><Relationship Id="rId1691" Type="http://schemas.openxmlformats.org/officeDocument/2006/relationships/hyperlink" Target="https://open.spotify.com/album/0l781kifIuII4BiLoSex8l?si=ePedE814Tc6VK9gjk39jnw" TargetMode="External"/><Relationship Id="rId1692" Type="http://schemas.openxmlformats.org/officeDocument/2006/relationships/hyperlink" Target="https://rottedlife.bandcamp.com/album/irreverence-of-the-divine" TargetMode="External"/><Relationship Id="rId862" Type="http://schemas.openxmlformats.org/officeDocument/2006/relationships/hyperlink" Target="https://agoniarecords.bandcamp.com/album/something-to-pierce" TargetMode="External"/><Relationship Id="rId1693" Type="http://schemas.openxmlformats.org/officeDocument/2006/relationships/hyperlink" Target="https://sunpocrisy.bandcamp.com/album/live-at-bloom" TargetMode="External"/><Relationship Id="rId861" Type="http://schemas.openxmlformats.org/officeDocument/2006/relationships/hyperlink" Target="https://open.spotify.com/album/1ov50RMr2hGNykPFks0ZeE?si=1Oa3FLAOTpWPyCFSbhrfZQ" TargetMode="External"/><Relationship Id="rId1694" Type="http://schemas.openxmlformats.org/officeDocument/2006/relationships/hyperlink" Target="https://open.spotify.com/album/1sry04AIu7HK7pBKF42utN?si=V_rOjxkqQl2JBplef1ae8g" TargetMode="External"/><Relationship Id="rId860" Type="http://schemas.openxmlformats.org/officeDocument/2006/relationships/hyperlink" Target="https://dronieyeomi.bandcamp.com/album/liminal-mass" TargetMode="External"/><Relationship Id="rId1695" Type="http://schemas.openxmlformats.org/officeDocument/2006/relationships/hyperlink" Target="https://epicdeath.bandcamp.com/album/the-seer" TargetMode="External"/><Relationship Id="rId1696" Type="http://schemas.openxmlformats.org/officeDocument/2006/relationships/hyperlink" Target="https://tribaldjent.bandcamp.com/album/totem" TargetMode="External"/><Relationship Id="rId1686" Type="http://schemas.openxmlformats.org/officeDocument/2006/relationships/hyperlink" Target="https://crossfacehardcore.bandcamp.com/album/crossface" TargetMode="External"/><Relationship Id="rId1687" Type="http://schemas.openxmlformats.org/officeDocument/2006/relationships/hyperlink" Target="https://open.spotify.com/album/4MHCYai0nYiQBpqllTHKC5?si=dGSdq2jgSuWq0JvMYEblQw" TargetMode="External"/><Relationship Id="rId1688" Type="http://schemas.openxmlformats.org/officeDocument/2006/relationships/hyperlink" Target="https://vakker.bandcamp.com/album/what-will-become-of-our-pain" TargetMode="External"/><Relationship Id="rId1689" Type="http://schemas.openxmlformats.org/officeDocument/2006/relationships/hyperlink" Target="https://carianband.bandcamp.com/album/saranhedra-2" TargetMode="External"/><Relationship Id="rId855" Type="http://schemas.openxmlformats.org/officeDocument/2006/relationships/hyperlink" Target="https://open.spotify.com/album/2Hs2f2ybNizwMh3hKFZPML?si=3dKBJQ16TmypjiHUnDO8mA" TargetMode="External"/><Relationship Id="rId854" Type="http://schemas.openxmlformats.org/officeDocument/2006/relationships/hyperlink" Target="https://holydeathdoom.bandcamp.com/album/paradice" TargetMode="External"/><Relationship Id="rId853" Type="http://schemas.openxmlformats.org/officeDocument/2006/relationships/hyperlink" Target="https://greymountain.bandcamp.com/album/grey-mountain" TargetMode="External"/><Relationship Id="rId852" Type="http://schemas.openxmlformats.org/officeDocument/2006/relationships/hyperlink" Target="https://www.youtube.com/watch?v=fqNuWr7KpP4" TargetMode="External"/><Relationship Id="rId859" Type="http://schemas.openxmlformats.org/officeDocument/2006/relationships/hyperlink" Target="https://open.spotify.com/album/2e1Tl2CL7cxvwm8xSTh1Vo?si=844JCJpcSNaD84ggQGW7LQ" TargetMode="External"/><Relationship Id="rId858" Type="http://schemas.openxmlformats.org/officeDocument/2006/relationships/hyperlink" Target="https://edgeofparadise.bandcamp.com/album/prophecy" TargetMode="External"/><Relationship Id="rId857" Type="http://schemas.openxmlformats.org/officeDocument/2006/relationships/hyperlink" Target="https://open.spotify.com/album/3YNs8ibbbuu2P3nK4X40XU?si=JMUdRoBTRFaAJyxnDgCLfg" TargetMode="External"/><Relationship Id="rId856" Type="http://schemas.openxmlformats.org/officeDocument/2006/relationships/hyperlink" Target="https://uniqueleaderrecords.bandcamp.com/album/punishment" TargetMode="External"/><Relationship Id="rId1680" Type="http://schemas.openxmlformats.org/officeDocument/2006/relationships/hyperlink" Target="https://open.spotify.com/album/42U1BlF0uOqtHDGRITbDkO?si=a2aSNAAGTJ2U8DwFtuRmrw" TargetMode="External"/><Relationship Id="rId1681" Type="http://schemas.openxmlformats.org/officeDocument/2006/relationships/hyperlink" Target="https://archdruid.bandcamp.com/album/archdruid-3" TargetMode="External"/><Relationship Id="rId851" Type="http://schemas.openxmlformats.org/officeDocument/2006/relationships/hyperlink" Target="https://open.spotify.com/album/2aTZ4k2r7hEzqqA7iWG4gw?si=eEDiRHpQRgW5NoQcj6kdVQ" TargetMode="External"/><Relationship Id="rId1682" Type="http://schemas.openxmlformats.org/officeDocument/2006/relationships/hyperlink" Target="https://aortes.bandcamp.com/album/carrion" TargetMode="External"/><Relationship Id="rId850" Type="http://schemas.openxmlformats.org/officeDocument/2006/relationships/hyperlink" Target="https://hammerheart.bandcamp.com/album/the-eternal-sleep" TargetMode="External"/><Relationship Id="rId1683" Type="http://schemas.openxmlformats.org/officeDocument/2006/relationships/hyperlink" Target="https://open.spotify.com/album/1FmtBwX1xgJYiWvN3tMg3g?si=UMS5OLt-Qh2acsIhk4Xa8g" TargetMode="External"/><Relationship Id="rId1684" Type="http://schemas.openxmlformats.org/officeDocument/2006/relationships/hyperlink" Target="https://teraset.bandcamp.com/album/burden" TargetMode="External"/><Relationship Id="rId1685" Type="http://schemas.openxmlformats.org/officeDocument/2006/relationships/hyperlink" Target="https://open.spotify.com/album/5rgrShTIsZPbG41iZtjSfW?si=CgRr2zjVTq2B8QthdBeNrA" TargetMode="External"/><Relationship Id="rId3414" Type="http://schemas.openxmlformats.org/officeDocument/2006/relationships/hyperlink" Target="https://ropanuganti.bandcamp.com/album/the-ocean" TargetMode="External"/><Relationship Id="rId3413" Type="http://schemas.openxmlformats.org/officeDocument/2006/relationships/hyperlink" Target="https://open.spotify.com/album/5YK4hJbwJhKXmAGal16FMz?si=SRK-5nUmQ623YmYK8T2tqQ" TargetMode="External"/><Relationship Id="rId3416" Type="http://schemas.openxmlformats.org/officeDocument/2006/relationships/hyperlink" Target="https://open.spotify.com/album/0e1vsCTLa5R7y7nwrATd4A?si=LpFXxgoVQvaaoeM14NQrlQ" TargetMode="External"/><Relationship Id="rId3415" Type="http://schemas.openxmlformats.org/officeDocument/2006/relationships/hyperlink" Target="https://cryptmonarch.bandcamp.com/album/codex-pestilentia" TargetMode="External"/><Relationship Id="rId3418" Type="http://schemas.openxmlformats.org/officeDocument/2006/relationships/hyperlink" Target="https://open.spotify.com/album/2ENInltULO9gkNUU7aBh0n?si=rBvOzkwbTiaUPv7EyvBG2w" TargetMode="External"/><Relationship Id="rId3417" Type="http://schemas.openxmlformats.org/officeDocument/2006/relationships/hyperlink" Target="https://fallingleavesband.bandcamp.com/album/the-silence-that-binds-us" TargetMode="External"/><Relationship Id="rId3419" Type="http://schemas.openxmlformats.org/officeDocument/2006/relationships/hyperlink" Target="https://www.youtube.com/watch?v=9b9s9UshtJA" TargetMode="External"/><Relationship Id="rId888" Type="http://schemas.openxmlformats.org/officeDocument/2006/relationships/hyperlink" Target="https://www.youtube.com/watch?v=pAKNnyYMLVQ" TargetMode="External"/><Relationship Id="rId887" Type="http://schemas.openxmlformats.org/officeDocument/2006/relationships/hyperlink" Target="https://open.spotify.com/album/5Q3sm0skYpP07nGLwIp9a7?si=LDzOFRxfTDOjyUTmcYYNOw" TargetMode="External"/><Relationship Id="rId886" Type="http://schemas.openxmlformats.org/officeDocument/2006/relationships/hyperlink" Target="https://hypaethralrecords.bandcamp.com/album/yun" TargetMode="External"/><Relationship Id="rId885" Type="http://schemas.openxmlformats.org/officeDocument/2006/relationships/hyperlink" Target="https://open.spotify.com/album/621Q7c3Kb5nN0GR91myUw0?si=mf_2p-4eRL6F0ps9isAKdw" TargetMode="External"/><Relationship Id="rId889" Type="http://schemas.openxmlformats.org/officeDocument/2006/relationships/hyperlink" Target="https://bleedingedgemetal.bandcamp.com/album/the-devils-door" TargetMode="External"/><Relationship Id="rId880" Type="http://schemas.openxmlformats.org/officeDocument/2006/relationships/hyperlink" Target="https://www.youtube.com/watch?v=C2ia-jxowis" TargetMode="External"/><Relationship Id="rId884" Type="http://schemas.openxmlformats.org/officeDocument/2006/relationships/hyperlink" Target="https://balancebreach.bandcamp.com/album/save-our-souls" TargetMode="External"/><Relationship Id="rId3410" Type="http://schemas.openxmlformats.org/officeDocument/2006/relationships/hyperlink" Target="https://www.youtube.com/watch?v=CdI94C1nkGs" TargetMode="External"/><Relationship Id="rId883" Type="http://schemas.openxmlformats.org/officeDocument/2006/relationships/hyperlink" Target="https://www.youtube.com/watch?v=rd_8NUR41Qc" TargetMode="External"/><Relationship Id="rId882" Type="http://schemas.openxmlformats.org/officeDocument/2006/relationships/hyperlink" Target="https://open.spotify.com/album/76Nvnk5IMKLuMEAqI2vx50?si=ndN3z7ShSzSanlqzQ1DjwQ" TargetMode="External"/><Relationship Id="rId3412" Type="http://schemas.openxmlformats.org/officeDocument/2006/relationships/hyperlink" Target="https://open.spotify.com/album/0PNd6yeQMF0XzySp9dbMMS?si=R0dYv8JQRTSkVbDW6DNzVg" TargetMode="External"/><Relationship Id="rId881" Type="http://schemas.openxmlformats.org/officeDocument/2006/relationships/hyperlink" Target="https://reekmind.bandcamp.com/album/mired-in-the-reek-of-grief" TargetMode="External"/><Relationship Id="rId3411" Type="http://schemas.openxmlformats.org/officeDocument/2006/relationships/hyperlink" Target="https://prospectiveband.bandcamp.com/album/the-weight-of-what-ive-become" TargetMode="External"/><Relationship Id="rId3403" Type="http://schemas.openxmlformats.org/officeDocument/2006/relationships/hyperlink" Target="https://open.spotify.com/album/1CwR13btJuljir0NanMCCl?si=gmzTi_RaTl-40UW51YSiGg" TargetMode="External"/><Relationship Id="rId3402" Type="http://schemas.openxmlformats.org/officeDocument/2006/relationships/hyperlink" Target="https://astellia.bandcamp.com/album/still-becoming" TargetMode="External"/><Relationship Id="rId3405" Type="http://schemas.openxmlformats.org/officeDocument/2006/relationships/hyperlink" Target="https://stumptail.bandcamp.com/album/sonder-down-yonder" TargetMode="External"/><Relationship Id="rId3404" Type="http://schemas.openxmlformats.org/officeDocument/2006/relationships/hyperlink" Target="https://anglerfish-collective.bandcamp.com/album/khidr" TargetMode="External"/><Relationship Id="rId3407" Type="http://schemas.openxmlformats.org/officeDocument/2006/relationships/hyperlink" Target="https://open.spotify.com/album/3AbL2Y4cGSi3ntGQUO4si4?si=slhYyBkHSfuPz3kGr-JqnA" TargetMode="External"/><Relationship Id="rId3406" Type="http://schemas.openxmlformats.org/officeDocument/2006/relationships/hyperlink" Target="https://synestia.bandcamp.com/album/premonitions" TargetMode="External"/><Relationship Id="rId3409" Type="http://schemas.openxmlformats.org/officeDocument/2006/relationships/hyperlink" Target="https://open.spotify.com/album/7jcC7erlgmd9QbhooPY4bt?si=dIUSBkP9R2m9_Xw665kcow" TargetMode="External"/><Relationship Id="rId3408" Type="http://schemas.openxmlformats.org/officeDocument/2006/relationships/hyperlink" Target="https://kolbitrdk.bandcamp.com/album/n-r-bjerge-bliver-til-st-v" TargetMode="External"/><Relationship Id="rId877" Type="http://schemas.openxmlformats.org/officeDocument/2006/relationships/hyperlink" Target="https://open.spotify.com/album/0AB11mtNyhhtnZaaqCWPJ8?si=PK8FR8TuSvmaLgsZbVKSdw" TargetMode="External"/><Relationship Id="rId876" Type="http://schemas.openxmlformats.org/officeDocument/2006/relationships/hyperlink" Target="https://bbbrecords.bandcamp.com/album/belly-of-the-beast" TargetMode="External"/><Relationship Id="rId875" Type="http://schemas.openxmlformats.org/officeDocument/2006/relationships/hyperlink" Target="https://open.spotify.com/album/6WxQ67xM3j8yzSk7dcxToM?si=NHPTlLHETriq3JSvc5vvTA" TargetMode="External"/><Relationship Id="rId874" Type="http://schemas.openxmlformats.org/officeDocument/2006/relationships/hyperlink" Target="https://scarletrecords.bandcamp.com/album/damnatio-aeterna" TargetMode="External"/><Relationship Id="rId879" Type="http://schemas.openxmlformats.org/officeDocument/2006/relationships/hyperlink" Target="https://open.spotify.com/album/7zzEB7soCGjE4w0JtTCurk?si=qTreT0a8TR2ylQ-KOG5eqw" TargetMode="External"/><Relationship Id="rId878" Type="http://schemas.openxmlformats.org/officeDocument/2006/relationships/hyperlink" Target="https://moros-666.bandcamp.com/album/recrudescent-horror" TargetMode="External"/><Relationship Id="rId873" Type="http://schemas.openxmlformats.org/officeDocument/2006/relationships/hyperlink" Target="https://open.spotify.com/album/6BW3YP9QYpPJwHe4mhd4P8?si=7MyOh03WRHG8Tjl0BPWrNQ" TargetMode="External"/><Relationship Id="rId872" Type="http://schemas.openxmlformats.org/officeDocument/2006/relationships/hyperlink" Target="https://gorehouseproductions.bandcamp.com/album/upheaval-of-malignant-necrambulance" TargetMode="External"/><Relationship Id="rId871" Type="http://schemas.openxmlformats.org/officeDocument/2006/relationships/hyperlink" Target="https://open.spotify.com/album/0QXZtFELIRCAPSPYil0pHB?si=Uiu5qcu4Q9KsIuHKQN8mUw" TargetMode="External"/><Relationship Id="rId3401" Type="http://schemas.openxmlformats.org/officeDocument/2006/relationships/hyperlink" Target="https://onigumo.bandcamp.com/album/the-marrow-mirror" TargetMode="External"/><Relationship Id="rId870" Type="http://schemas.openxmlformats.org/officeDocument/2006/relationships/hyperlink" Target="https://ingrownhc.bandcamp.com/album/idaho" TargetMode="External"/><Relationship Id="rId3400" Type="http://schemas.openxmlformats.org/officeDocument/2006/relationships/hyperlink" Target="https://open.spotify.com/album/0mPBTFlU4yLgSyEtnAR6cB?si=zkupPXGxRpODSYyL0pL-Ag" TargetMode="External"/><Relationship Id="rId1653" Type="http://schemas.openxmlformats.org/officeDocument/2006/relationships/hyperlink" Target="https://exterminatus.bandcamp.com/album/echoes-from-a-distant-star-part-i" TargetMode="External"/><Relationship Id="rId2984" Type="http://schemas.openxmlformats.org/officeDocument/2006/relationships/hyperlink" Target="https://hpgd.bandcamp.com/album/thrown" TargetMode="External"/><Relationship Id="rId1654" Type="http://schemas.openxmlformats.org/officeDocument/2006/relationships/hyperlink" Target="https://open.spotify.com/album/0fPVXhAsJLqqkgFApoaeQo?si=Jgzg74eKTDuGPQHGpH7jaQ" TargetMode="External"/><Relationship Id="rId2985" Type="http://schemas.openxmlformats.org/officeDocument/2006/relationships/hyperlink" Target="https://open.spotify.com/album/22Akp1oOqLSZCuZ1kNokR7?si=sJN7LWYuQnOob93tslj21Q" TargetMode="External"/><Relationship Id="rId1655" Type="http://schemas.openxmlformats.org/officeDocument/2006/relationships/hyperlink" Target="https://www.youtube.com/watch?v=cAyGLCp855k" TargetMode="External"/><Relationship Id="rId2986" Type="http://schemas.openxmlformats.org/officeDocument/2006/relationships/hyperlink" Target="https://www.youtube.com/watch?v=2bVqPUnRc-E" TargetMode="External"/><Relationship Id="rId1656" Type="http://schemas.openxmlformats.org/officeDocument/2006/relationships/hyperlink" Target="https://tetramorpheimpure.bandcamp.com/album/the-sunset-of-being" TargetMode="External"/><Relationship Id="rId2987" Type="http://schemas.openxmlformats.org/officeDocument/2006/relationships/hyperlink" Target="https://boneflower.bandcamp.com/album/reveries-2" TargetMode="External"/><Relationship Id="rId1657" Type="http://schemas.openxmlformats.org/officeDocument/2006/relationships/hyperlink" Target="https://zuband.bandcamp.com/album/jazzisdead-live" TargetMode="External"/><Relationship Id="rId2988" Type="http://schemas.openxmlformats.org/officeDocument/2006/relationships/hyperlink" Target="https://open.spotify.com/album/6WwVhoHDfdvaOkRXVzBUVE?si=-9pHEpZeSDiVzCqkQU3-2w" TargetMode="External"/><Relationship Id="rId1658" Type="http://schemas.openxmlformats.org/officeDocument/2006/relationships/hyperlink" Target="https://hpgd.bandcamp.com/album/animal-ritual" TargetMode="External"/><Relationship Id="rId2989" Type="http://schemas.openxmlformats.org/officeDocument/2006/relationships/hyperlink" Target="https://open.spotify.com/album/0dHQH04nSGugSUSQOHOUpF?si=7s0767gOTpa_O_xbKq7MZg" TargetMode="External"/><Relationship Id="rId1659" Type="http://schemas.openxmlformats.org/officeDocument/2006/relationships/hyperlink" Target="https://www.youtube.com/watch?v=LRKGEbo4W7Y" TargetMode="External"/><Relationship Id="rId829" Type="http://schemas.openxmlformats.org/officeDocument/2006/relationships/hyperlink" Target="https://open.spotify.com/album/6qQENKqmnuIRmNG2d8iOX4?si=-NpuVpiyTJaz3xOd0C1MAw" TargetMode="External"/><Relationship Id="rId828" Type="http://schemas.openxmlformats.org/officeDocument/2006/relationships/hyperlink" Target="https://guiltless.bandcamp.com/album/teeth-to-sky" TargetMode="External"/><Relationship Id="rId827" Type="http://schemas.openxmlformats.org/officeDocument/2006/relationships/hyperlink" Target="https://open.spotify.com/album/0UhK3wADGDUrtVP8PomqiW?si=mFs-F0hwS6en4I8fHRY4iw" TargetMode="External"/><Relationship Id="rId822" Type="http://schemas.openxmlformats.org/officeDocument/2006/relationships/hyperlink" Target="https://open.spotify.com/album/7iK6m2IYzHHi9h960nUALX?si=wdDVQ4A4TGCq_JEON-pj6A" TargetMode="External"/><Relationship Id="rId821" Type="http://schemas.openxmlformats.org/officeDocument/2006/relationships/hyperlink" Target="https://adamantismetal.bandcamp.com/album/reforged" TargetMode="External"/><Relationship Id="rId820" Type="http://schemas.openxmlformats.org/officeDocument/2006/relationships/hyperlink" Target="https://open.spotify.com/album/02uyJEcyks3o7suEMuwTOp?si=LNZZf3rOQAOo7CIpxQZ0fA" TargetMode="External"/><Relationship Id="rId826" Type="http://schemas.openxmlformats.org/officeDocument/2006/relationships/hyperlink" Target="https://dawnofouroboros.bandcamp.com/album/bioluminescence" TargetMode="External"/><Relationship Id="rId825" Type="http://schemas.openxmlformats.org/officeDocument/2006/relationships/hyperlink" Target="https://open.spotify.com/album/7uYlEWkZYwb9PqVsE7Drq7?si=tydbdRSJT4ab3D6806xIsg" TargetMode="External"/><Relationship Id="rId824" Type="http://schemas.openxmlformats.org/officeDocument/2006/relationships/hyperlink" Target="https://open.spotify.com/album/6mirOvrSuQ2YRPyF54vwex?si=p3EZ0tk5TMK5VBz3BCIgwQ" TargetMode="External"/><Relationship Id="rId823" Type="http://schemas.openxmlformats.org/officeDocument/2006/relationships/hyperlink" Target="https://nephylimnl.bandcamp.com/album/circuition" TargetMode="External"/><Relationship Id="rId2980" Type="http://schemas.openxmlformats.org/officeDocument/2006/relationships/hyperlink" Target="https://beannachdleibh.bandcamp.com/album/walking-in-his-works" TargetMode="External"/><Relationship Id="rId1650" Type="http://schemas.openxmlformats.org/officeDocument/2006/relationships/hyperlink" Target="https://www.youtube.com/watch?v=mMJFZCQeZGQ" TargetMode="External"/><Relationship Id="rId2981" Type="http://schemas.openxmlformats.org/officeDocument/2006/relationships/hyperlink" Target="https://demonsmoke.bandcamp.com/album/resin-wrought" TargetMode="External"/><Relationship Id="rId1651" Type="http://schemas.openxmlformats.org/officeDocument/2006/relationships/hyperlink" Target="https://horridhumancondition.bandcamp.com/album/perpetual-imbalance" TargetMode="External"/><Relationship Id="rId2982" Type="http://schemas.openxmlformats.org/officeDocument/2006/relationships/hyperlink" Target="https://gloomboundband.bandcamp.com/album/dreaming-delusion" TargetMode="External"/><Relationship Id="rId1652" Type="http://schemas.openxmlformats.org/officeDocument/2006/relationships/hyperlink" Target="https://open.spotify.com/album/1B1qVvj7vPeCWilXjKUDpu?si=4SUImTxzTDyDGEenjXAeQQ" TargetMode="External"/><Relationship Id="rId2983" Type="http://schemas.openxmlformats.org/officeDocument/2006/relationships/hyperlink" Target="https://open.spotify.com/album/43o45YelCG9c5drnak5lsz?si=3sjAAkbRRRKmnU3_EqfoXg" TargetMode="External"/><Relationship Id="rId1642" Type="http://schemas.openxmlformats.org/officeDocument/2006/relationships/hyperlink" Target="https://ashenheart.bandcamp.com/album/tales-from-eternal-dusk" TargetMode="External"/><Relationship Id="rId2973" Type="http://schemas.openxmlformats.org/officeDocument/2006/relationships/hyperlink" Target="https://open.spotify.com/album/29zagERagurBpKPH7iBaGQ?si=hKx79WoFQoqV4AG5vDlwIQ" TargetMode="External"/><Relationship Id="rId1643" Type="http://schemas.openxmlformats.org/officeDocument/2006/relationships/hyperlink" Target="https://open.spotify.com/album/2Dq3KBiFbObBUm8Y81olKr?si=uGy73f9PRtqqwLzrQYVO6w" TargetMode="External"/><Relationship Id="rId2974" Type="http://schemas.openxmlformats.org/officeDocument/2006/relationships/hyperlink" Target="https://sepulchreband.bandcamp.com/album/psalms-unto-caesar" TargetMode="External"/><Relationship Id="rId1644" Type="http://schemas.openxmlformats.org/officeDocument/2006/relationships/hyperlink" Target="https://heavypsychsoundsrecords.bandcamp.com/album/ungraven-hollows-made-homes-in-their-sunken-cheeks" TargetMode="External"/><Relationship Id="rId2975" Type="http://schemas.openxmlformats.org/officeDocument/2006/relationships/hyperlink" Target="https://open.spotify.com/album/3UigaPbbD53pc7OuUi9HJO?si=XymOdgtrQbeQl-qXOUwmwg" TargetMode="External"/><Relationship Id="rId1645" Type="http://schemas.openxmlformats.org/officeDocument/2006/relationships/hyperlink" Target="https://open.spotify.com/album/1frnUa00vqD9NlrXFZ8Tkf?si=nr_vsSgET-itN2gxCVs1Bg" TargetMode="External"/><Relationship Id="rId2976" Type="http://schemas.openxmlformats.org/officeDocument/2006/relationships/hyperlink" Target="https://rionas-path.bandcamp.com/album/book-i-a-raven-never-bites-the-eye-of-another" TargetMode="External"/><Relationship Id="rId1646" Type="http://schemas.openxmlformats.org/officeDocument/2006/relationships/hyperlink" Target="https://www.youtube.com/watch?v=ILzTXrGT7l8" TargetMode="External"/><Relationship Id="rId2977" Type="http://schemas.openxmlformats.org/officeDocument/2006/relationships/hyperlink" Target="https://open.spotify.com/album/17SraQDcAUqBKFB7WQDnWQ?si=F-6xadcfRiKVd_BoGw9mOg" TargetMode="External"/><Relationship Id="rId1647" Type="http://schemas.openxmlformats.org/officeDocument/2006/relationships/hyperlink" Target="https://kexelur.bandcamp.com/album/epigrama-de-un-pasado-perdido" TargetMode="External"/><Relationship Id="rId2978" Type="http://schemas.openxmlformats.org/officeDocument/2006/relationships/hyperlink" Target="https://telesismd.bandcamp.com/album/divide" TargetMode="External"/><Relationship Id="rId1648" Type="http://schemas.openxmlformats.org/officeDocument/2006/relationships/hyperlink" Target="https://artofpropaganda.bandcamp.com/album/marodeur" TargetMode="External"/><Relationship Id="rId2979" Type="http://schemas.openxmlformats.org/officeDocument/2006/relationships/hyperlink" Target="https://open.spotify.com/album/5f8xIwROCtDOHUjQ0fujkX?si=PJthl9LQRKmhE4i5UsbAMQ" TargetMode="External"/><Relationship Id="rId1649" Type="http://schemas.openxmlformats.org/officeDocument/2006/relationships/hyperlink" Target="https://open.spotify.com/album/0UxeQCeLW0x4I4R1bZqOGA?si=flzcefviRqWH919Tl9_qNQ" TargetMode="External"/><Relationship Id="rId819" Type="http://schemas.openxmlformats.org/officeDocument/2006/relationships/hyperlink" Target="https://throneofiron.bandcamp.com/album/adventure-two" TargetMode="External"/><Relationship Id="rId818" Type="http://schemas.openxmlformats.org/officeDocument/2006/relationships/hyperlink" Target="https://open.spotify.com/album/332V6ofHJ8pAcPVg3fP1eW?si=-XXyUou4QpGHVcTmoxjKlA" TargetMode="External"/><Relationship Id="rId817" Type="http://schemas.openxmlformats.org/officeDocument/2006/relationships/hyperlink" Target="https://hermyth.bandcamp.com/album/aether" TargetMode="External"/><Relationship Id="rId816" Type="http://schemas.openxmlformats.org/officeDocument/2006/relationships/hyperlink" Target="https://open.spotify.com/album/0cdJqDqEP4pFWCFoLrk7sR?si=XBo0cF6_QtSuAJphuwff_g" TargetMode="External"/><Relationship Id="rId811" Type="http://schemas.openxmlformats.org/officeDocument/2006/relationships/hyperlink" Target="https://open.spotify.com/album/03raopU84B4OdVeWbgc39W?si=6Dn21uffSFOwHgugSLIG_A" TargetMode="External"/><Relationship Id="rId810" Type="http://schemas.openxmlformats.org/officeDocument/2006/relationships/hyperlink" Target="https://skloss.bandcamp.com/album/the-pattern-speaks" TargetMode="External"/><Relationship Id="rId815" Type="http://schemas.openxmlformats.org/officeDocument/2006/relationships/hyperlink" Target="https://drumametal.bandcamp.com/album/sores-of-our-time" TargetMode="External"/><Relationship Id="rId814" Type="http://schemas.openxmlformats.org/officeDocument/2006/relationships/hyperlink" Target="https://www.youtube.com/watch?v=AKLaQ6dtdKQ" TargetMode="External"/><Relationship Id="rId813" Type="http://schemas.openxmlformats.org/officeDocument/2006/relationships/hyperlink" Target="https://open.spotify.com/album/3MNRSdrsjZjvfD63Xdnc88?si=H_5pl8KNQDWX68FMMMqmyw" TargetMode="External"/><Relationship Id="rId812" Type="http://schemas.openxmlformats.org/officeDocument/2006/relationships/hyperlink" Target="https://froggofficial.bandcamp.com/album/eclipse" TargetMode="External"/><Relationship Id="rId2970" Type="http://schemas.openxmlformats.org/officeDocument/2006/relationships/hyperlink" Target="https://gorthon.bandcamp.com/album/a-barren-emptiness" TargetMode="External"/><Relationship Id="rId1640" Type="http://schemas.openxmlformats.org/officeDocument/2006/relationships/hyperlink" Target="https://ayreon.bandcamp.com/album/the-human-equation-remixed-remastered" TargetMode="External"/><Relationship Id="rId2971" Type="http://schemas.openxmlformats.org/officeDocument/2006/relationships/hyperlink" Target="https://open.spotify.com/album/7A7jyMPxfEO0kAAdkEB9CO?si=nIbrwUlBTTWfnJMIwKFI0w" TargetMode="External"/><Relationship Id="rId1641" Type="http://schemas.openxmlformats.org/officeDocument/2006/relationships/hyperlink" Target="https://open.spotify.com/album/5yMR2FVVg4n7VM8OrhUh2f?si=FeY-8lDaSMWr26uhw6XVjQ" TargetMode="External"/><Relationship Id="rId2972" Type="http://schemas.openxmlformats.org/officeDocument/2006/relationships/hyperlink" Target="https://slowcutband.bandcamp.com/album/flesh" TargetMode="External"/><Relationship Id="rId1675" Type="http://schemas.openxmlformats.org/officeDocument/2006/relationships/hyperlink" Target="https://open.spotify.com/album/0Fa5obymqKDZ6ZlNwsmKSU?si=XUPp4xkHSLCwXQ8J1IF1Ow" TargetMode="External"/><Relationship Id="rId1676" Type="http://schemas.openxmlformats.org/officeDocument/2006/relationships/hyperlink" Target="https://strandhemmusic.bandcamp.com/album/the-silence-of-snow" TargetMode="External"/><Relationship Id="rId1677" Type="http://schemas.openxmlformats.org/officeDocument/2006/relationships/hyperlink" Target="https://open.spotify.com/album/2bzlkYOGW2fgIWYzI2t0In?si=Klacv2xnTfm8CY8z-eyM9g" TargetMode="External"/><Relationship Id="rId1678" Type="http://schemas.openxmlformats.org/officeDocument/2006/relationships/hyperlink" Target="https://hhll38.bandcamp.com/album/pain-olympics" TargetMode="External"/><Relationship Id="rId1679" Type="http://schemas.openxmlformats.org/officeDocument/2006/relationships/hyperlink" Target="https://parthian.bandcamp.com/album/mortuorum" TargetMode="External"/><Relationship Id="rId849" Type="http://schemas.openxmlformats.org/officeDocument/2006/relationships/hyperlink" Target="https://www.youtube.com/watch?v=vBDKKGszVdQ" TargetMode="External"/><Relationship Id="rId844" Type="http://schemas.openxmlformats.org/officeDocument/2006/relationships/hyperlink" Target="https://www.youtube.com/watch?v=0O6XLAxsjxw" TargetMode="External"/><Relationship Id="rId843" Type="http://schemas.openxmlformats.org/officeDocument/2006/relationships/hyperlink" Target="https://open.spotify.com/album/44Hy9Mt7f130Ad4MlivcBd?si=zHeYH_UHTaClShBsvNZWHw" TargetMode="External"/><Relationship Id="rId842" Type="http://schemas.openxmlformats.org/officeDocument/2006/relationships/hyperlink" Target="https://thisgiftisacurse.bandcamp.com/album/heir" TargetMode="External"/><Relationship Id="rId841" Type="http://schemas.openxmlformats.org/officeDocument/2006/relationships/hyperlink" Target="https://open.spotify.com/album/3CMMw6dBnHqaYVAD1HW3Ct?si=i4NXFK1gRIWLeGI-EVQ3Mg" TargetMode="External"/><Relationship Id="rId848" Type="http://schemas.openxmlformats.org/officeDocument/2006/relationships/hyperlink" Target="https://open.spotify.com/album/5yTTw3jpvpBLNvthmxwOad?si=qDhMwXaASLiFz0rro68LOQ" TargetMode="External"/><Relationship Id="rId847" Type="http://schemas.openxmlformats.org/officeDocument/2006/relationships/hyperlink" Target="https://shrineofdenial.bandcamp.com/album/i-moloch" TargetMode="External"/><Relationship Id="rId846" Type="http://schemas.openxmlformats.org/officeDocument/2006/relationships/hyperlink" Target="https://open.spotify.com/album/1LyLH8iSQkTZTgDZNcXwvd?si=SOCxJWEuSEK-xcBMcF9Enw" TargetMode="External"/><Relationship Id="rId845" Type="http://schemas.openxmlformats.org/officeDocument/2006/relationships/hyperlink" Target="https://destruction.bandcamp.com/album/birth-of-malice" TargetMode="External"/><Relationship Id="rId1670" Type="http://schemas.openxmlformats.org/officeDocument/2006/relationships/hyperlink" Target="https://silverknife.bandcamp.com/album/silver-knife" TargetMode="External"/><Relationship Id="rId840" Type="http://schemas.openxmlformats.org/officeDocument/2006/relationships/hyperlink" Target="https://scalpture.bandcamp.com/album/landkrieg" TargetMode="External"/><Relationship Id="rId1671" Type="http://schemas.openxmlformats.org/officeDocument/2006/relationships/hyperlink" Target="https://thenoxentity.bandcamp.com/album/lha-d-beyond" TargetMode="External"/><Relationship Id="rId1672" Type="http://schemas.openxmlformats.org/officeDocument/2006/relationships/hyperlink" Target="https://open.spotify.com/album/2vkyVQgaQrNrM1zmlP0IZq?si=zAwJvYsKT-yqUODyIDgCLw" TargetMode="External"/><Relationship Id="rId1673" Type="http://schemas.openxmlformats.org/officeDocument/2006/relationships/hyperlink" Target="https://breathsunboneblood.bandcamp.com/album/autumnal-mould" TargetMode="External"/><Relationship Id="rId1674" Type="http://schemas.openxmlformats.org/officeDocument/2006/relationships/hyperlink" Target="https://parityband.bandcamp.com/album/zero-sum-game" TargetMode="External"/><Relationship Id="rId1664" Type="http://schemas.openxmlformats.org/officeDocument/2006/relationships/hyperlink" Target="https://open.spotify.com/album/0aMgJFfiQtCNo5aJFpCfXQ?si=JJ1lEc16SCqzcH1gIOX3FQ" TargetMode="External"/><Relationship Id="rId2995" Type="http://schemas.openxmlformats.org/officeDocument/2006/relationships/hyperlink" Target="https://open.spotify.com/album/1dB69b4FbPUwj8f5mCuQCQ?si=miiF73aKQFyIlrl53Td1jg" TargetMode="External"/><Relationship Id="rId1665" Type="http://schemas.openxmlformats.org/officeDocument/2006/relationships/hyperlink" Target="https://serpentes.bandcamp.com/album/desert-psalms" TargetMode="External"/><Relationship Id="rId2996" Type="http://schemas.openxmlformats.org/officeDocument/2006/relationships/hyperlink" Target="https://www.youtube.com/watch?v=3rlPMfVd4mA" TargetMode="External"/><Relationship Id="rId1666" Type="http://schemas.openxmlformats.org/officeDocument/2006/relationships/hyperlink" Target="https://open.spotify.com/album/2S2aJ4Kx1BxVckDdmQmAXu?si=RODQPsClS2C4-WL3oHhzWw" TargetMode="External"/><Relationship Id="rId2997" Type="http://schemas.openxmlformats.org/officeDocument/2006/relationships/hyperlink" Target="https://hemelbestormer.bandcamp.com/album/the-radiant-veil" TargetMode="External"/><Relationship Id="rId1667" Type="http://schemas.openxmlformats.org/officeDocument/2006/relationships/hyperlink" Target="https://www.youtube.com/watch?v=zNLHkRjfZgE" TargetMode="External"/><Relationship Id="rId2998" Type="http://schemas.openxmlformats.org/officeDocument/2006/relationships/hyperlink" Target="https://open.spotify.com/album/0qThlVnl6zz8w0tX56C1pi?si=ZBVQqE1GSmS3aN9e-u-BIw" TargetMode="External"/><Relationship Id="rId1668" Type="http://schemas.openxmlformats.org/officeDocument/2006/relationships/hyperlink" Target="https://backgroundsmusicmn.bandcamp.com/album/pale-empathy" TargetMode="External"/><Relationship Id="rId2999" Type="http://schemas.openxmlformats.org/officeDocument/2006/relationships/hyperlink" Target="https://www.youtube.com/watch?v=Qd-Wj6qlYf8" TargetMode="External"/><Relationship Id="rId1669" Type="http://schemas.openxmlformats.org/officeDocument/2006/relationships/hyperlink" Target="https://open.spotify.com/album/4Cw5Xn56QH3JgdSF2DlWsa?si=Ppmtk85mRBON4JL2IKQgtg" TargetMode="External"/><Relationship Id="rId839" Type="http://schemas.openxmlformats.org/officeDocument/2006/relationships/hyperlink" Target="https://open.spotify.com/album/0t9K0WpCCyMkhEhpszAUs3?si=eozYcaquRR6IV3Twsy3Muw" TargetMode="External"/><Relationship Id="rId838" Type="http://schemas.openxmlformats.org/officeDocument/2006/relationships/hyperlink" Target="https://centurymedia.bandcamp.com/album/celestial-death-24-bit-hd-audio" TargetMode="External"/><Relationship Id="rId833" Type="http://schemas.openxmlformats.org/officeDocument/2006/relationships/hyperlink" Target="https://kollapsemusic.bandcamp.com/album/k-l-p-s" TargetMode="External"/><Relationship Id="rId832" Type="http://schemas.openxmlformats.org/officeDocument/2006/relationships/hyperlink" Target="https://www.youtube.com/watch?v=C1JVtEPbcpM" TargetMode="External"/><Relationship Id="rId831" Type="http://schemas.openxmlformats.org/officeDocument/2006/relationships/hyperlink" Target="https://open.spotify.com/album/7lnkxd7w0YcE18CZ6COEJj?si=tP9yFxnaRViRiw4ffmNR3w" TargetMode="External"/><Relationship Id="rId830" Type="http://schemas.openxmlformats.org/officeDocument/2006/relationships/hyperlink" Target="https://whitechapelmetal.bandcamp.com/album/hymns-in-dissonance" TargetMode="External"/><Relationship Id="rId837" Type="http://schemas.openxmlformats.org/officeDocument/2006/relationships/hyperlink" Target="https://open.spotify.com/album/40Ec3N6neimnIOtSsGuL6o?si=5jDUWOOOSn6rXrOH4-yeVQ" TargetMode="External"/><Relationship Id="rId836" Type="http://schemas.openxmlformats.org/officeDocument/2006/relationships/hyperlink" Target="https://theunguided.bandcamp.com/album/hellven" TargetMode="External"/><Relationship Id="rId835" Type="http://schemas.openxmlformats.org/officeDocument/2006/relationships/hyperlink" Target="https://open.spotify.com/album/79sg58t1vRpcxudpP9uPtg?si=1JkomMe8TcqWqbRsYTVNfQ" TargetMode="External"/><Relationship Id="rId834" Type="http://schemas.openxmlformats.org/officeDocument/2006/relationships/hyperlink" Target="https://open.spotify.com/album/5TBBlMEtWjQEabI5ZDslAU?si=9q63VGVcQUSrIz62tGx5Qg" TargetMode="External"/><Relationship Id="rId2990" Type="http://schemas.openxmlformats.org/officeDocument/2006/relationships/hyperlink" Target="https://silentpendulumrecords.bandcamp.com/album/genesis-of-error" TargetMode="External"/><Relationship Id="rId1660" Type="http://schemas.openxmlformats.org/officeDocument/2006/relationships/hyperlink" Target="https://moynoq.bandcamp.com/album/moynoq-x-urocyon-split-2025" TargetMode="External"/><Relationship Id="rId2991" Type="http://schemas.openxmlformats.org/officeDocument/2006/relationships/hyperlink" Target="https://open.spotify.com/album/1es61dJvMjqggRfHputNYI?si=m1Wvr0zxQ5-RtC9V-9ciOA" TargetMode="External"/><Relationship Id="rId1661" Type="http://schemas.openxmlformats.org/officeDocument/2006/relationships/hyperlink" Target="https://open.spotify.com/album/5gz5SOvEupuMXxxAzBUIHT?si=72xcOuymRx-D4-NAUikNBQ" TargetMode="External"/><Relationship Id="rId2992" Type="http://schemas.openxmlformats.org/officeDocument/2006/relationships/hyperlink" Target="https://grayceon.bandcamp.com/album/then-the-darkness" TargetMode="External"/><Relationship Id="rId1662" Type="http://schemas.openxmlformats.org/officeDocument/2006/relationships/hyperlink" Target="https://www.youtube.com/watch?v=A5nwFuSuUzk" TargetMode="External"/><Relationship Id="rId2993" Type="http://schemas.openxmlformats.org/officeDocument/2006/relationships/hyperlink" Target="https://open.spotify.com/album/33WCf7mEgfY7chb3F91A2l?si=0-U5WZjARcuXiqtTGPp33w" TargetMode="External"/><Relationship Id="rId1663" Type="http://schemas.openxmlformats.org/officeDocument/2006/relationships/hyperlink" Target="https://chop7times.bandcamp.com/album/become-nothing" TargetMode="External"/><Relationship Id="rId2994" Type="http://schemas.openxmlformats.org/officeDocument/2006/relationships/hyperlink" Target="https://azureemote.bandcamp.com/album/cryptic-aura-2" TargetMode="External"/><Relationship Id="rId2148" Type="http://schemas.openxmlformats.org/officeDocument/2006/relationships/hyperlink" Target="https://open.spotify.com/album/2SoYFmUFKJ2e4t9DmBldng?si=FmaBG9_GQwaTIQ8rKeyTEA" TargetMode="External"/><Relationship Id="rId2149" Type="http://schemas.openxmlformats.org/officeDocument/2006/relationships/hyperlink" Target="https://signumregis.bandcamp.com/album/the-eyes-of-power" TargetMode="External"/><Relationship Id="rId3479" Type="http://schemas.openxmlformats.org/officeDocument/2006/relationships/hyperlink" Target="https://trypanon.bandcamp.com/album/through-the-portal-of-flesh-to-achieve-divinity" TargetMode="External"/><Relationship Id="rId3470" Type="http://schemas.openxmlformats.org/officeDocument/2006/relationships/hyperlink" Target="https://www.youtube.com/watch?v=OWq36BS1a4A" TargetMode="External"/><Relationship Id="rId2140" Type="http://schemas.openxmlformats.org/officeDocument/2006/relationships/hyperlink" Target="https://unentity.bandcamp.com/album/unentity" TargetMode="External"/><Relationship Id="rId3472" Type="http://schemas.openxmlformats.org/officeDocument/2006/relationships/hyperlink" Target="https://open.spotify.com/album/1xePclwfoyHtZTIIbPjCKK?si=VRxytq0uRXyS1gGFzzA9Ng" TargetMode="External"/><Relationship Id="rId2141" Type="http://schemas.openxmlformats.org/officeDocument/2006/relationships/hyperlink" Target="https://demonhead.bandcamp.com/album/ride-the-wilderness-10th-anniversary-remaster" TargetMode="External"/><Relationship Id="rId3471" Type="http://schemas.openxmlformats.org/officeDocument/2006/relationships/hyperlink" Target="https://connorkaminski.bandcamp.com/album/tapestry" TargetMode="External"/><Relationship Id="rId2142" Type="http://schemas.openxmlformats.org/officeDocument/2006/relationships/hyperlink" Target="https://agonize912.bandcamp.com/album/highest-form-2" TargetMode="External"/><Relationship Id="rId3474" Type="http://schemas.openxmlformats.org/officeDocument/2006/relationships/hyperlink" Target="https://cultburial.bandcamp.com/album/collapse-of-pattern-reverence-of-dust" TargetMode="External"/><Relationship Id="rId2143" Type="http://schemas.openxmlformats.org/officeDocument/2006/relationships/hyperlink" Target="https://open.spotify.com/album/0WxzexNIv81nUwwUgjOXwU?si=Yh2pamUCSqqyR4yVSPTXgA" TargetMode="External"/><Relationship Id="rId3473" Type="http://schemas.openxmlformats.org/officeDocument/2006/relationships/hyperlink" Target="https://www.youtube.com/watch?v=7zT826lqTWE" TargetMode="External"/><Relationship Id="rId2144" Type="http://schemas.openxmlformats.org/officeDocument/2006/relationships/hyperlink" Target="https://niknocturnal.bandcamp.com/album/the-lost-chapters" TargetMode="External"/><Relationship Id="rId3476" Type="http://schemas.openxmlformats.org/officeDocument/2006/relationships/hyperlink" Target="https://beurreband.bandcamp.com/album/resonate-and-amplify" TargetMode="External"/><Relationship Id="rId2145" Type="http://schemas.openxmlformats.org/officeDocument/2006/relationships/hyperlink" Target="https://open.spotify.com/album/6cBVH7zzUPXhYFHm7y5noS?si=JLUn_FetSMGN-7B-VfmANA" TargetMode="External"/><Relationship Id="rId3475" Type="http://schemas.openxmlformats.org/officeDocument/2006/relationships/hyperlink" Target="https://open.spotify.com/album/5tEOreUjUEXuXH0Usgsotb?si=gPX9E5IRTuaChEKALmyU2A" TargetMode="External"/><Relationship Id="rId2146" Type="http://schemas.openxmlformats.org/officeDocument/2006/relationships/hyperlink" Target="https://turborockproductions.bandcamp.com/album/chains-of-crystal" TargetMode="External"/><Relationship Id="rId3478" Type="http://schemas.openxmlformats.org/officeDocument/2006/relationships/hyperlink" Target="https://www.youtube.com/watch?v=C7p28QYihnA" TargetMode="External"/><Relationship Id="rId2147" Type="http://schemas.openxmlformats.org/officeDocument/2006/relationships/hyperlink" Target="https://psudoku.bandcamp.com/album/psudoktrination" TargetMode="External"/><Relationship Id="rId3477" Type="http://schemas.openxmlformats.org/officeDocument/2006/relationships/hyperlink" Target="https://open.spotify.com/album/1oFAFWsvVsJrnswMvZMXlf?si=thw_DrthR12b2bgDzXm6eg" TargetMode="External"/><Relationship Id="rId2137" Type="http://schemas.openxmlformats.org/officeDocument/2006/relationships/hyperlink" Target="https://anatomyofamurder1.bandcamp.com/album/love-like-misanthropy" TargetMode="External"/><Relationship Id="rId3469" Type="http://schemas.openxmlformats.org/officeDocument/2006/relationships/hyperlink" Target="https://open.spotify.com/album/74vxktVyzVyvJZIWi6abIB?si=7FG-agDoQo25-pWlOBtxqw" TargetMode="External"/><Relationship Id="rId2138" Type="http://schemas.openxmlformats.org/officeDocument/2006/relationships/hyperlink" Target="https://thorndike.bandcamp.com/album/scrimshaw-talisman" TargetMode="External"/><Relationship Id="rId3468" Type="http://schemas.openxmlformats.org/officeDocument/2006/relationships/hyperlink" Target="https://furyofficial.bandcamp.com/album/interceptor" TargetMode="External"/><Relationship Id="rId2139" Type="http://schemas.openxmlformats.org/officeDocument/2006/relationships/hyperlink" Target="https://open.spotify.com/album/662mGMxUd8Yitj0kb5dpVT?si=ypCpknW_SSq23Bc9ttiFkg" TargetMode="External"/><Relationship Id="rId3461" Type="http://schemas.openxmlformats.org/officeDocument/2006/relationships/hyperlink" Target="https://nailedtoobscurity.bandcamp.com/album/generation-of-the-void" TargetMode="External"/><Relationship Id="rId2130" Type="http://schemas.openxmlformats.org/officeDocument/2006/relationships/hyperlink" Target="https://www.youtube.com/watch?v=thTZuSLQWek" TargetMode="External"/><Relationship Id="rId3460" Type="http://schemas.openxmlformats.org/officeDocument/2006/relationships/hyperlink" Target="https://open.spotify.com/album/0rDUko1is2wE1U9oscCQhU?si=ert-Sk3FTluSvLizlljDNg" TargetMode="External"/><Relationship Id="rId2131" Type="http://schemas.openxmlformats.org/officeDocument/2006/relationships/hyperlink" Target="https://genune.bandcamp.com/album/infinite-presence" TargetMode="External"/><Relationship Id="rId3463" Type="http://schemas.openxmlformats.org/officeDocument/2006/relationships/hyperlink" Target="https://stillinlovehc.bandcamp.com/album/recovery-language" TargetMode="External"/><Relationship Id="rId2132" Type="http://schemas.openxmlformats.org/officeDocument/2006/relationships/hyperlink" Target="https://open.spotify.com/album/2u6HVxx51PQbjhlGIQONfP?si=KkDV4Y-RQ6KV5HGwRW6ybQ" TargetMode="External"/><Relationship Id="rId3462" Type="http://schemas.openxmlformats.org/officeDocument/2006/relationships/hyperlink" Target="https://open.spotify.com/album/54pBkAw4GlNeXMy1tIICVW?si=mivNTG3VTcS9mgaElKLlzw" TargetMode="External"/><Relationship Id="rId2133" Type="http://schemas.openxmlformats.org/officeDocument/2006/relationships/hyperlink" Target="https://martikor.bandcamp.com/album/a-portrait" TargetMode="External"/><Relationship Id="rId3465" Type="http://schemas.openxmlformats.org/officeDocument/2006/relationships/hyperlink" Target="https://hammerheart.bandcamp.com/album/emellan-tr-den" TargetMode="External"/><Relationship Id="rId2134" Type="http://schemas.openxmlformats.org/officeDocument/2006/relationships/hyperlink" Target="https://okuribi.bandcamp.com/album/--3" TargetMode="External"/><Relationship Id="rId3464" Type="http://schemas.openxmlformats.org/officeDocument/2006/relationships/hyperlink" Target="https://open.spotify.com/album/3Yl482Sg4Lm7jxLa12y83o?si=axcDHd0NQYiV_CvzuFDhkA" TargetMode="External"/><Relationship Id="rId2135" Type="http://schemas.openxmlformats.org/officeDocument/2006/relationships/hyperlink" Target="https://suddendeathofficial.bandcamp.com/album/in-sinner-hate" TargetMode="External"/><Relationship Id="rId3467" Type="http://schemas.openxmlformats.org/officeDocument/2006/relationships/hyperlink" Target="https://www.youtube.com/watch?v=Io3ygK515KA" TargetMode="External"/><Relationship Id="rId2136" Type="http://schemas.openxmlformats.org/officeDocument/2006/relationships/hyperlink" Target="https://wherewatersmingle.bandcamp.com/album/where-waters-mingle" TargetMode="External"/><Relationship Id="rId3466" Type="http://schemas.openxmlformats.org/officeDocument/2006/relationships/hyperlink" Target="https://open.spotify.com/album/2VSIqhK48xB0qFIMlUF8yq?si=WChyRFOZSE6nZLW1Fw0IsQ" TargetMode="External"/><Relationship Id="rId3490" Type="http://schemas.openxmlformats.org/officeDocument/2006/relationships/hyperlink" Target="https://open.spotify.com/album/0b0Wwfrz986F8SZLyRGXnb?si=TTnzbRlGRz69aeiFTvcrzg" TargetMode="External"/><Relationship Id="rId2160" Type="http://schemas.openxmlformats.org/officeDocument/2006/relationships/hyperlink" Target="https://open.spotify.com/album/5kvVjpvY9LqIaFwdVLITOn?si=doipnyY1R92avCoNxSFquw" TargetMode="External"/><Relationship Id="rId3492" Type="http://schemas.openxmlformats.org/officeDocument/2006/relationships/hyperlink" Target="https://hypnosinosis.bandcamp.com/album/--3" TargetMode="External"/><Relationship Id="rId2161" Type="http://schemas.openxmlformats.org/officeDocument/2006/relationships/hyperlink" Target="https://drifterriffs.bandcamp.com/album/grigori" TargetMode="External"/><Relationship Id="rId3491" Type="http://schemas.openxmlformats.org/officeDocument/2006/relationships/hyperlink" Target="https://www.youtube.com/watch?v=Ei6f5TRjAL0" TargetMode="External"/><Relationship Id="rId2162" Type="http://schemas.openxmlformats.org/officeDocument/2006/relationships/hyperlink" Target="https://open.spotify.com/album/2H6TEOEePMretOYeRlVtfw?si=z57GSfKSTKiFQJ00qSWpOA" TargetMode="External"/><Relationship Id="rId3494" Type="http://schemas.openxmlformats.org/officeDocument/2006/relationships/hyperlink" Target="https://deathmeta.bandcamp.com/album/malware" TargetMode="External"/><Relationship Id="rId2163" Type="http://schemas.openxmlformats.org/officeDocument/2006/relationships/hyperlink" Target="https://feverseaband.bandcamp.com/album/man-under-erasure" TargetMode="External"/><Relationship Id="rId3493" Type="http://schemas.openxmlformats.org/officeDocument/2006/relationships/hyperlink" Target="https://open.spotify.com/album/3xFA7qfr6efNxRLTUKzOTz?si=RiZ4dAKCQcCnTBP4Zy0bOw" TargetMode="External"/><Relationship Id="rId2164" Type="http://schemas.openxmlformats.org/officeDocument/2006/relationships/hyperlink" Target="https://open.spotify.com/album/5oOvANPebNNPHQl17e1F6P?si=0OLyXvqCS0a3YtvEp9AqIg" TargetMode="External"/><Relationship Id="rId3496" Type="http://schemas.openxmlformats.org/officeDocument/2006/relationships/hyperlink" Target="https://thecrawlingchaosrecords.bandcamp.com/album/endura" TargetMode="External"/><Relationship Id="rId2165" Type="http://schemas.openxmlformats.org/officeDocument/2006/relationships/hyperlink" Target="https://midnight-ohio.bandcamp.com/album/steel-rust-and-disgust" TargetMode="External"/><Relationship Id="rId3495" Type="http://schemas.openxmlformats.org/officeDocument/2006/relationships/hyperlink" Target="https://open.spotify.com/album/36iWWIBtHpBUZgncjFWaPZ?si=HnzHS2hUSfWnCelw1Mcwtw" TargetMode="External"/><Relationship Id="rId2166" Type="http://schemas.openxmlformats.org/officeDocument/2006/relationships/hyperlink" Target="https://open.spotify.com/album/6JH5sUBAgnFQavboZwslPG?si=iJfYLwFASB-s2IW3gdxWrw" TargetMode="External"/><Relationship Id="rId3498" Type="http://schemas.openxmlformats.org/officeDocument/2006/relationships/hyperlink" Target="https://www.youtube.com/watch?v=MhEkn2S8R2E" TargetMode="External"/><Relationship Id="rId2167" Type="http://schemas.openxmlformats.org/officeDocument/2006/relationships/hyperlink" Target="https://www.youtube.com/watch?v=9_LQ99Bxbwo" TargetMode="External"/><Relationship Id="rId3497" Type="http://schemas.openxmlformats.org/officeDocument/2006/relationships/hyperlink" Target="https://open.spotify.com/album/40meT6c7411FV4vG6nqi4z?si=gisyG1FuSV6256CoFfZ_5g" TargetMode="External"/><Relationship Id="rId2168" Type="http://schemas.openxmlformats.org/officeDocument/2006/relationships/hyperlink" Target="https://mesacounojo.bandcamp.com/album/abhorrent-worship" TargetMode="External"/><Relationship Id="rId2169" Type="http://schemas.openxmlformats.org/officeDocument/2006/relationships/hyperlink" Target="https://www.youtube.com/watch?v=DSK0scjl_nU" TargetMode="External"/><Relationship Id="rId3499" Type="http://schemas.openxmlformats.org/officeDocument/2006/relationships/hyperlink" Target="https://indisciplinarian.bandcamp.com/album/80-years" TargetMode="External"/><Relationship Id="rId2159" Type="http://schemas.openxmlformats.org/officeDocument/2006/relationships/hyperlink" Target="https://chepang.bandcamp.com/album/jhyappa" TargetMode="External"/><Relationship Id="rId3481" Type="http://schemas.openxmlformats.org/officeDocument/2006/relationships/hyperlink" Target="https://chasingdemonsnorway.bandcamp.com/album/echos-from-the-past" TargetMode="External"/><Relationship Id="rId2150" Type="http://schemas.openxmlformats.org/officeDocument/2006/relationships/hyperlink" Target="https://open.spotify.com/album/2SPvTa8mNaoqfn6rdIDRay?si=jGRiKZtIT2yrfxst72lkgA" TargetMode="External"/><Relationship Id="rId3480" Type="http://schemas.openxmlformats.org/officeDocument/2006/relationships/hyperlink" Target="https://open.spotify.com/album/2V9B3dujiMIFm5LI25n9Fp?si=fBarWSkmQXacQKz1qKdGxg" TargetMode="External"/><Relationship Id="rId2151" Type="http://schemas.openxmlformats.org/officeDocument/2006/relationships/hyperlink" Target="https://sylvanshine.bandcamp.com/album/the-offering" TargetMode="External"/><Relationship Id="rId3483" Type="http://schemas.openxmlformats.org/officeDocument/2006/relationships/hyperlink" Target="https://20buckspin.bandcamp.com/album/cascading-misery" TargetMode="External"/><Relationship Id="rId2152" Type="http://schemas.openxmlformats.org/officeDocument/2006/relationships/hyperlink" Target="https://open.spotify.com/album/3hBIVICZ1Xzm5FsYCJ9qxM?si=87F2lHJ-QfywogfWmwpPvA" TargetMode="External"/><Relationship Id="rId3482" Type="http://schemas.openxmlformats.org/officeDocument/2006/relationships/hyperlink" Target="https://open.spotify.com/album/2rq8kMbr7JLTqZMd8ePmoz?si=JGyi0X6ISViXJDnHxIzRkg" TargetMode="External"/><Relationship Id="rId2153" Type="http://schemas.openxmlformats.org/officeDocument/2006/relationships/hyperlink" Target="https://mythofi.bandcamp.com/album/stream" TargetMode="External"/><Relationship Id="rId3485" Type="http://schemas.openxmlformats.org/officeDocument/2006/relationships/hyperlink" Target="https://www.youtube.com/watch?v=10yhciDPwD0" TargetMode="External"/><Relationship Id="rId2154" Type="http://schemas.openxmlformats.org/officeDocument/2006/relationships/hyperlink" Target="https://open.spotify.com/album/4AUone6cb4RoccEGzFxOcO?si=6oCB7oDwT22hCHDK95OCfA" TargetMode="External"/><Relationship Id="rId3484" Type="http://schemas.openxmlformats.org/officeDocument/2006/relationships/hyperlink" Target="https://open.spotify.com/album/4sw2QvPNrgwxuScx6n297q?si=Ova49m4LQQqHqEXFPgyrjg" TargetMode="External"/><Relationship Id="rId2155" Type="http://schemas.openxmlformats.org/officeDocument/2006/relationships/hyperlink" Target="https://hangmoon.bandcamp.com/album/horizon" TargetMode="External"/><Relationship Id="rId3487" Type="http://schemas.openxmlformats.org/officeDocument/2006/relationships/hyperlink" Target="https://brilliantemperor.bandcamp.com/album/wretch" TargetMode="External"/><Relationship Id="rId2156" Type="http://schemas.openxmlformats.org/officeDocument/2006/relationships/hyperlink" Target="https://open.spotify.com/album/2FFEDQBOGzH3zaqlIYNT2O?si=vgBeMLdIRgiIcQKVqijmxA" TargetMode="External"/><Relationship Id="rId3486" Type="http://schemas.openxmlformats.org/officeDocument/2006/relationships/hyperlink" Target="https://chewthru.bandcamp.com/album/curb-cuts" TargetMode="External"/><Relationship Id="rId2157" Type="http://schemas.openxmlformats.org/officeDocument/2006/relationships/hyperlink" Target="https://yearofnolight.bandcamp.com/album/les-ma-tres-fous" TargetMode="External"/><Relationship Id="rId3489" Type="http://schemas.openxmlformats.org/officeDocument/2006/relationships/hyperlink" Target="https://sentientruin.bandcamp.com/album/devour-2" TargetMode="External"/><Relationship Id="rId2158" Type="http://schemas.openxmlformats.org/officeDocument/2006/relationships/hyperlink" Target="https://www.youtube.com/watch?v=P2Ww6ZkjgIk" TargetMode="External"/><Relationship Id="rId3488" Type="http://schemas.openxmlformats.org/officeDocument/2006/relationships/hyperlink" Target="https://open.spotify.com/album/5GR9Y1oRgFU4KIqg76L4zy?si=s3ewr8qiRnePoCEJXOkWPQ" TargetMode="External"/><Relationship Id="rId2104" Type="http://schemas.openxmlformats.org/officeDocument/2006/relationships/hyperlink" Target="https://open.spotify.com/album/5SQWw5R8lCmlrEEUvCnS4b?si=qvuvC9trS6SYZFv5GKQJ4A" TargetMode="External"/><Relationship Id="rId3436" Type="http://schemas.openxmlformats.org/officeDocument/2006/relationships/hyperlink" Target="https://www.youtube.com/watch?v=SlEQWpLLTAU" TargetMode="External"/><Relationship Id="rId2105" Type="http://schemas.openxmlformats.org/officeDocument/2006/relationships/hyperlink" Target="https://norazametal.bandcamp.com/album/tyrona" TargetMode="External"/><Relationship Id="rId3435" Type="http://schemas.openxmlformats.org/officeDocument/2006/relationships/hyperlink" Target="https://open.spotify.com/album/2RJttoIphditrfgq3FEq3j?si=hRg9wWSGQ-Kv-T9Ycnbhng" TargetMode="External"/><Relationship Id="rId2106" Type="http://schemas.openxmlformats.org/officeDocument/2006/relationships/hyperlink" Target="https://open.spotify.com/album/1kBixXoGsCKhQi4pHwW5rC?si=jBOp0FtOQ3eQPVDOfVtOVA" TargetMode="External"/><Relationship Id="rId3438" Type="http://schemas.openxmlformats.org/officeDocument/2006/relationships/hyperlink" Target="https://open.spotify.com/album/0FgYnH1nzNwuYXLq8NHA9z?si=fmM56gcERb2RHK7Ou7grKQ" TargetMode="External"/><Relationship Id="rId2107" Type="http://schemas.openxmlformats.org/officeDocument/2006/relationships/hyperlink" Target="https://reigncoat.bandcamp.com/album/r-ignco-t" TargetMode="External"/><Relationship Id="rId3437" Type="http://schemas.openxmlformats.org/officeDocument/2006/relationships/hyperlink" Target="https://greencarnationsom.bandcamp.com/album/a-dark-poem-part-i-the-shores-of-melancholia" TargetMode="External"/><Relationship Id="rId2108" Type="http://schemas.openxmlformats.org/officeDocument/2006/relationships/hyperlink" Target="https://pitchblackrecords.bandcamp.com/album/gate-of-gaiabeta" TargetMode="External"/><Relationship Id="rId2109" Type="http://schemas.openxmlformats.org/officeDocument/2006/relationships/hyperlink" Target="https://open.spotify.com/album/1h88Z1vJWScL7Sr4dYfg4G?si=FXxQwgLiRtCPxzenKNdkzg" TargetMode="External"/><Relationship Id="rId3439" Type="http://schemas.openxmlformats.org/officeDocument/2006/relationships/hyperlink" Target="https://www.youtube.com/watch?v=W09t-onM9-4" TargetMode="External"/><Relationship Id="rId3430" Type="http://schemas.openxmlformats.org/officeDocument/2006/relationships/hyperlink" Target="https://i-voidhangerrecords.bandcamp.com/album/ghostigmatah-spiritual-rites-of-the-psychopomp-abxulo-m" TargetMode="External"/><Relationship Id="rId2100" Type="http://schemas.openxmlformats.org/officeDocument/2006/relationships/hyperlink" Target="https://ephemeraldarkfolk.bandcamp.com/album/of-pine-and-oak-split-ep" TargetMode="External"/><Relationship Id="rId3432" Type="http://schemas.openxmlformats.org/officeDocument/2006/relationships/hyperlink" Target="https://autrest.bandcamp.com/album/burning-embers-forgotten-wolves" TargetMode="External"/><Relationship Id="rId2101" Type="http://schemas.openxmlformats.org/officeDocument/2006/relationships/hyperlink" Target="https://darkdescentrecords.bandcamp.com/album/reviving-tehom" TargetMode="External"/><Relationship Id="rId3431" Type="http://schemas.openxmlformats.org/officeDocument/2006/relationships/hyperlink" Target="https://open.spotify.com/album/3aNOckyDV8SL6hmOdVPqvx?si=P4CbhyvnRaaTAP1_OO-fFQ" TargetMode="External"/><Relationship Id="rId2102" Type="http://schemas.openxmlformats.org/officeDocument/2006/relationships/hyperlink" Target="https://open.spotify.com/album/2MbLbnIAVP85kALRpRkr43?si=TTkPAbZ7TpWIvoLZnW4aMQ" TargetMode="External"/><Relationship Id="rId3434" Type="http://schemas.openxmlformats.org/officeDocument/2006/relationships/hyperlink" Target="https://ten56.bandcamp.com/album/io" TargetMode="External"/><Relationship Id="rId2103" Type="http://schemas.openxmlformats.org/officeDocument/2006/relationships/hyperlink" Target="https://stresspositions.bandcamp.com/album/human-zoo" TargetMode="External"/><Relationship Id="rId3433" Type="http://schemas.openxmlformats.org/officeDocument/2006/relationships/hyperlink" Target="https://open.spotify.com/album/7how56Cn7cHTt28u4cGYL8?si=BTuuRDopSLWfLPKOcLxe-w" TargetMode="External"/><Relationship Id="rId3425" Type="http://schemas.openxmlformats.org/officeDocument/2006/relationships/hyperlink" Target="https://ripcordrecords.bandcamp.com/album/this-is-a-record-called-self-titled-by-a-band-called-wolves" TargetMode="External"/><Relationship Id="rId3424" Type="http://schemas.openxmlformats.org/officeDocument/2006/relationships/hyperlink" Target="https://open.spotify.com/album/4RS0kCR2jDIF4pULU3gzS1?si=UmaQ0JVMQjWCeI-7YQdRhw" TargetMode="External"/><Relationship Id="rId3427" Type="http://schemas.openxmlformats.org/officeDocument/2006/relationships/hyperlink" Target="https://open.spotify.com/album/7lfmJvIDQVQaNADF48E58d?si=P80dbNeQSrG4NT3LdCkl4A" TargetMode="External"/><Relationship Id="rId3426" Type="http://schemas.openxmlformats.org/officeDocument/2006/relationships/hyperlink" Target="https://fleshwater.bandcamp.com/album/2000-in-search-of-the-endless-sky" TargetMode="External"/><Relationship Id="rId3429" Type="http://schemas.openxmlformats.org/officeDocument/2006/relationships/hyperlink" Target="https://open.spotify.com/album/4lpTf78NdHJR3IK7Fktp0z?si=OimwQO8ySWOs_e7FvPUHtw" TargetMode="External"/><Relationship Id="rId3428" Type="http://schemas.openxmlformats.org/officeDocument/2006/relationships/hyperlink" Target="https://i-voidhangerrecords.bandcamp.com/album/abgnose" TargetMode="External"/><Relationship Id="rId899" Type="http://schemas.openxmlformats.org/officeDocument/2006/relationships/hyperlink" Target="https://rifft.bandcamp.com/album/death-peace" TargetMode="External"/><Relationship Id="rId898" Type="http://schemas.openxmlformats.org/officeDocument/2006/relationships/hyperlink" Target="https://arsenicsolaris.bandcamp.com/album/lade-las" TargetMode="External"/><Relationship Id="rId897" Type="http://schemas.openxmlformats.org/officeDocument/2006/relationships/hyperlink" Target="https://www.youtube.com/watch?v=l7HmBf1YrVI" TargetMode="External"/><Relationship Id="rId896" Type="http://schemas.openxmlformats.org/officeDocument/2006/relationships/hyperlink" Target="https://open.spotify.com/album/38TuhkYPKFlVscgm9ZXkaM?si=QnuFdGs2SLCegFUzvql3ZQ" TargetMode="External"/><Relationship Id="rId891" Type="http://schemas.openxmlformats.org/officeDocument/2006/relationships/hyperlink" Target="https://war-magic.bandcamp.com/album/atomic-rites" TargetMode="External"/><Relationship Id="rId890" Type="http://schemas.openxmlformats.org/officeDocument/2006/relationships/hyperlink" Target="https://open.spotify.com/album/6GuFd59onEF49AgFdpqCtD?si=6NZhg3KMRhmdS2DNeBoKGA" TargetMode="External"/><Relationship Id="rId895" Type="http://schemas.openxmlformats.org/officeDocument/2006/relationships/hyperlink" Target="https://mortuairebdx.bandcamp.com/album/monde-vide" TargetMode="External"/><Relationship Id="rId3421" Type="http://schemas.openxmlformats.org/officeDocument/2006/relationships/hyperlink" Target="https://humanleather.bandcamp.com/album/here-comes-the-mind-there-goes-the-body" TargetMode="External"/><Relationship Id="rId894" Type="http://schemas.openxmlformats.org/officeDocument/2006/relationships/hyperlink" Target="https://open.spotify.com/album/06CxHapOgGGU6sP1eoDQpd?si=RAwgjrm2Re61TMaMzR5q-Q" TargetMode="External"/><Relationship Id="rId3420" Type="http://schemas.openxmlformats.org/officeDocument/2006/relationships/hyperlink" Target="https://bentsea.bandcamp.com/album/the-dormant-ruin" TargetMode="External"/><Relationship Id="rId893" Type="http://schemas.openxmlformats.org/officeDocument/2006/relationships/hyperlink" Target="https://vicisolumrecords.bandcamp.com/album/the-fractured-process-ep" TargetMode="External"/><Relationship Id="rId3423" Type="http://schemas.openxmlformats.org/officeDocument/2006/relationships/hyperlink" Target="https://nucleardudes.bandcamp.com/album/truth-paste" TargetMode="External"/><Relationship Id="rId892" Type="http://schemas.openxmlformats.org/officeDocument/2006/relationships/hyperlink" Target="https://open.spotify.com/album/0zUcRQCbMwrrJ7SYWUxfdf?si=gh3MKvIXR0CuKZcNSDLgaA" TargetMode="External"/><Relationship Id="rId3422" Type="http://schemas.openxmlformats.org/officeDocument/2006/relationships/hyperlink" Target="https://open.spotify.com/album/44B3zwW3BpJGs1N8N8BJPg?si=55V1GiUcQJWXkqFduNAxAA" TargetMode="External"/><Relationship Id="rId2126" Type="http://schemas.openxmlformats.org/officeDocument/2006/relationships/hyperlink" Target="https://slowfallband.bandcamp.com/album/blood-eclipse" TargetMode="External"/><Relationship Id="rId3458" Type="http://schemas.openxmlformats.org/officeDocument/2006/relationships/hyperlink" Target="https://open.spotify.com/album/04uxKQumVSEuozJaoBP7jy?si=1JOiZteQR-2p0dmMx3nesg" TargetMode="External"/><Relationship Id="rId2127" Type="http://schemas.openxmlformats.org/officeDocument/2006/relationships/hyperlink" Target="https://open.spotify.com/album/6bWRE14kwXyG7lnboxfCXY?si=ts8O7od_TYu7-pw-QfY3dQ" TargetMode="External"/><Relationship Id="rId3457" Type="http://schemas.openxmlformats.org/officeDocument/2006/relationships/hyperlink" Target="https://coltaine.bandcamp.com/album/brandung" TargetMode="External"/><Relationship Id="rId2128" Type="http://schemas.openxmlformats.org/officeDocument/2006/relationships/hyperlink" Target="https://vendetta-records.bandcamp.com/album/pessimismes" TargetMode="External"/><Relationship Id="rId2129" Type="http://schemas.openxmlformats.org/officeDocument/2006/relationships/hyperlink" Target="https://open.spotify.com/album/2fCuIzcgerTFeyOjXD9Dl3?si=_lyIkquuQAaFKPZNCrX6xg" TargetMode="External"/><Relationship Id="rId3459" Type="http://schemas.openxmlformats.org/officeDocument/2006/relationships/hyperlink" Target="https://ambush.bandcamp.com/album/evil-in-all-dimensions" TargetMode="External"/><Relationship Id="rId3450" Type="http://schemas.openxmlformats.org/officeDocument/2006/relationships/hyperlink" Target="https://www.youtube.com/watch?v=7RI4B-Gszyc" TargetMode="External"/><Relationship Id="rId2120" Type="http://schemas.openxmlformats.org/officeDocument/2006/relationships/hyperlink" Target="https://bellofmimir.bandcamp.com/album/nocturne" TargetMode="External"/><Relationship Id="rId3452" Type="http://schemas.openxmlformats.org/officeDocument/2006/relationships/hyperlink" Target="https://tallah.bandcamp.com/album/primeval-obsession-detachment" TargetMode="External"/><Relationship Id="rId2121" Type="http://schemas.openxmlformats.org/officeDocument/2006/relationships/hyperlink" Target="https://open.spotify.com/album/12MXhc2STS4WfGhAmEl803?si=8McXDM9MQgKEyFN_NZvwpQ" TargetMode="External"/><Relationship Id="rId3451" Type="http://schemas.openxmlformats.org/officeDocument/2006/relationships/hyperlink" Target="https://open.spotify.com/album/1Cmef1jzXLr1mEGu28IhwT?si=05ukJ_biR9a6mEkE6SV5PA" TargetMode="External"/><Relationship Id="rId2122" Type="http://schemas.openxmlformats.org/officeDocument/2006/relationships/hyperlink" Target="https://gigafauna.bandcamp.com/album/eye-to-windward" TargetMode="External"/><Relationship Id="rId3454" Type="http://schemas.openxmlformats.org/officeDocument/2006/relationships/hyperlink" Target="https://svartsot.bandcamp.com/album/peregrinus" TargetMode="External"/><Relationship Id="rId2123" Type="http://schemas.openxmlformats.org/officeDocument/2006/relationships/hyperlink" Target="https://open.spotify.com/album/5qWvpdUs57O5EIMxA9wM1q?si=t4K8lbOvQ3SEf7G6tYiy9w" TargetMode="External"/><Relationship Id="rId3453" Type="http://schemas.openxmlformats.org/officeDocument/2006/relationships/hyperlink" Target="https://open.spotify.com/album/7nrRaUQM4WWS9MoZytJoZH?si=AaPtoNVKT7a2wd5Nz5XJvA" TargetMode="External"/><Relationship Id="rId2124" Type="http://schemas.openxmlformats.org/officeDocument/2006/relationships/hyperlink" Target="https://dianacrawls.bandcamp.com/album/both-indistinct" TargetMode="External"/><Relationship Id="rId3456" Type="http://schemas.openxmlformats.org/officeDocument/2006/relationships/hyperlink" Target="https://www.youtube.com/watch?v=g3CxiNIMZiI" TargetMode="External"/><Relationship Id="rId2125" Type="http://schemas.openxmlformats.org/officeDocument/2006/relationships/hyperlink" Target="https://open.spotify.com/album/1Y0clLo3Mj1ZTuxNSowViV?si=r4CYIA-pTNKzT_LkcawhJg" TargetMode="External"/><Relationship Id="rId3455" Type="http://schemas.openxmlformats.org/officeDocument/2006/relationships/hyperlink" Target="https://open.spotify.com/album/1RQOdWzX5VKXmP2NFsAKuy?si=kWvkSNKnQqWMdZlivT0WNA" TargetMode="External"/><Relationship Id="rId2115" Type="http://schemas.openxmlformats.org/officeDocument/2006/relationships/hyperlink" Target="https://anubis10.bandcamp.com/album/the-puppeteers" TargetMode="External"/><Relationship Id="rId3447" Type="http://schemas.openxmlformats.org/officeDocument/2006/relationships/hyperlink" Target="https://open.spotify.com/album/7rYedhmqj5GyzNvz9Bse7s?si=4IW54mXRSKK1PSiTBMdS5A" TargetMode="External"/><Relationship Id="rId2116" Type="http://schemas.openxmlformats.org/officeDocument/2006/relationships/hyperlink" Target="https://open.spotify.com/album/4LgDlJMNfU8JgM0MbWhvcK?si=fuG-uBnjRC-EStb6lJSOiQ" TargetMode="External"/><Relationship Id="rId3446" Type="http://schemas.openxmlformats.org/officeDocument/2006/relationships/hyperlink" Target="https://insomniacvibes.bandcamp.com/album/om-moksha-ritam" TargetMode="External"/><Relationship Id="rId2117" Type="http://schemas.openxmlformats.org/officeDocument/2006/relationships/hyperlink" Target="https://fenmagus.bandcamp.com/album/offering" TargetMode="External"/><Relationship Id="rId3449" Type="http://schemas.openxmlformats.org/officeDocument/2006/relationships/hyperlink" Target="https://open.spotify.com/album/15rZFOKOpbpjJZIqXdiLtu?si=Uwpi99mBRviVEAezmsL7_A" TargetMode="External"/><Relationship Id="rId2118" Type="http://schemas.openxmlformats.org/officeDocument/2006/relationships/hyperlink" Target="https://open.spotify.com/album/6wrnWnkqJqkrq8QpdJB5I2?si=hAexPM9OShKG_Ra9AMCSiA" TargetMode="External"/><Relationship Id="rId3448" Type="http://schemas.openxmlformats.org/officeDocument/2006/relationships/hyperlink" Target="https://imperialistus.bandcamp.com/album/prime" TargetMode="External"/><Relationship Id="rId2119" Type="http://schemas.openxmlformats.org/officeDocument/2006/relationships/hyperlink" Target="https://anatomize.bandcamp.com/album/systematic-torture" TargetMode="External"/><Relationship Id="rId3441" Type="http://schemas.openxmlformats.org/officeDocument/2006/relationships/hyperlink" Target="https://modernlifeiswar.bandcamp.com/album/life-on-the-moon" TargetMode="External"/><Relationship Id="rId2110" Type="http://schemas.openxmlformats.org/officeDocument/2006/relationships/hyperlink" Target="https://auclairdelune.bandcamp.com/album/in-the-wake-of-dusk" TargetMode="External"/><Relationship Id="rId3440" Type="http://schemas.openxmlformats.org/officeDocument/2006/relationships/hyperlink" Target="https://open.spotify.com/album/3dnGOG8oUIbQHvTda0s8i4?si=zT9OmdzVRnOmXO4nBJrWug" TargetMode="External"/><Relationship Id="rId2111" Type="http://schemas.openxmlformats.org/officeDocument/2006/relationships/hyperlink" Target="https://open.spotify.com/album/1lhmkvWNyW1guR5QNvEePv?si=u5Fn2jfETluEuCoAyfaNRg" TargetMode="External"/><Relationship Id="rId3443" Type="http://schemas.openxmlformats.org/officeDocument/2006/relationships/hyperlink" Target="https://faetooth.bandcamp.com/album/labyrinthine" TargetMode="External"/><Relationship Id="rId2112" Type="http://schemas.openxmlformats.org/officeDocument/2006/relationships/hyperlink" Target="https://www.youtube.com/watch?v=YDRlluqC4xo" TargetMode="External"/><Relationship Id="rId3442" Type="http://schemas.openxmlformats.org/officeDocument/2006/relationships/hyperlink" Target="https://open.spotify.com/album/5TRu1nZQrxzYlpld5ZYuyu?si=fGtdFn9rTUaWnu11OvFrRg" TargetMode="External"/><Relationship Id="rId2113" Type="http://schemas.openxmlformats.org/officeDocument/2006/relationships/hyperlink" Target="https://evrecords.bandcamp.com/album/grave-speaker-rays-of-the-emerald-sun" TargetMode="External"/><Relationship Id="rId3445" Type="http://schemas.openxmlformats.org/officeDocument/2006/relationships/hyperlink" Target="https://www.youtube.com/watch?v=WAom4LY4Oyw" TargetMode="External"/><Relationship Id="rId2114" Type="http://schemas.openxmlformats.org/officeDocument/2006/relationships/hyperlink" Target="https://open.spotify.com/album/275htdOJxUJxaU4uvsGyOz?si=jfl4cv8JSnqa0eJXp5zkeA" TargetMode="External"/><Relationship Id="rId3444" Type="http://schemas.openxmlformats.org/officeDocument/2006/relationships/hyperlink" Target="https://open.spotify.com/album/3WOLRTjNMQBPzHB1wgFYev?si=NAzh-T8DT9iTzyRsmXde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27.13"/>
    <col customWidth="1" min="2" max="2" width="30.75"/>
    <col customWidth="1" min="4" max="4" width="5.75"/>
    <col customWidth="1" min="5" max="5" width="46.0"/>
    <col customWidth="1" min="6" max="6" width="10.75"/>
    <col customWidth="1" min="7" max="7" width="21.38"/>
    <col customWidth="1" min="8" max="12" width="10.13"/>
  </cols>
  <sheetData>
    <row r="1" ht="16.5" customHeight="1">
      <c r="A1" s="1" t="s">
        <v>0</v>
      </c>
      <c r="B1" s="2"/>
      <c r="C1" s="3" t="s">
        <v>1</v>
      </c>
      <c r="D1" s="3">
        <f t="array" ref="D1">COUNTIF(INDIRECT("C7"):C2568, "&gt;12/31/2024")</f>
        <v>2555</v>
      </c>
      <c r="E1" s="4" t="s">
        <v>2</v>
      </c>
      <c r="F1" s="5" t="s">
        <v>3</v>
      </c>
      <c r="I1" s="6" t="str">
        <f>HYPERLINK("https://discord.gg/prog","Images &amp; Words: The Prog Discord")</f>
        <v>Images &amp; Words: The Prog Discord</v>
      </c>
      <c r="M1" s="7"/>
      <c r="N1" s="8"/>
      <c r="T1" s="8"/>
      <c r="U1" s="8"/>
      <c r="V1" s="8"/>
      <c r="W1" s="8"/>
      <c r="X1" s="8"/>
      <c r="Y1" s="8"/>
      <c r="Z1" s="8"/>
    </row>
    <row r="2" ht="16.5" customHeight="1">
      <c r="B2" s="2"/>
      <c r="C2" s="9" t="s">
        <v>4</v>
      </c>
      <c r="D2" s="3">
        <f t="array" ref="D2">COUNTIF(INDIRECT("D7"):D2568, "*LP*")</f>
        <v>2139</v>
      </c>
      <c r="M2" s="7"/>
      <c r="N2" s="8"/>
      <c r="T2" s="8"/>
      <c r="U2" s="8"/>
      <c r="V2" s="8"/>
      <c r="W2" s="8"/>
      <c r="X2" s="8"/>
      <c r="Y2" s="8"/>
      <c r="Z2" s="8"/>
    </row>
    <row r="3" ht="16.5" customHeight="1">
      <c r="B3" s="2"/>
      <c r="C3" s="9" t="s">
        <v>5</v>
      </c>
      <c r="D3" s="3">
        <f t="array" ref="D3">COUNTIF(INDIRECT("D7"):D2568, "*EP*")</f>
        <v>417</v>
      </c>
      <c r="M3" s="7"/>
      <c r="N3" s="8"/>
      <c r="T3" s="8"/>
      <c r="U3" s="8"/>
      <c r="V3" s="8"/>
      <c r="W3" s="8"/>
      <c r="X3" s="8"/>
      <c r="Y3" s="8"/>
      <c r="Z3" s="8"/>
    </row>
    <row r="4" ht="16.5" customHeight="1">
      <c r="B4" s="2"/>
      <c r="C4" s="9" t="s">
        <v>6</v>
      </c>
      <c r="D4" s="10">
        <f>COUNTA(valuesByColor("#ffba4a", "#000000", '2025 Prog-metal'!D7:D2568))</f>
        <v>460</v>
      </c>
      <c r="M4" s="7"/>
      <c r="N4" s="8"/>
      <c r="T4" s="8"/>
      <c r="U4" s="8"/>
      <c r="V4" s="8"/>
      <c r="W4" s="8"/>
      <c r="X4" s="8"/>
      <c r="Y4" s="8"/>
      <c r="Z4" s="8"/>
    </row>
    <row r="5" ht="16.5" customHeight="1">
      <c r="A5" s="11"/>
      <c r="B5" s="12"/>
      <c r="C5" s="9" t="s">
        <v>7</v>
      </c>
      <c r="D5" s="13">
        <f>COUNTA(valuesByColor("#96da77", "#000000", '2025 Prog-metal'!D7:D2568))</f>
        <v>64</v>
      </c>
      <c r="M5" s="7"/>
      <c r="N5" s="8"/>
      <c r="T5" s="8"/>
      <c r="U5" s="8"/>
      <c r="V5" s="8"/>
      <c r="W5" s="8"/>
      <c r="X5" s="8"/>
      <c r="Y5" s="8"/>
      <c r="Z5" s="8"/>
    </row>
    <row r="6" ht="16.5" customHeight="1">
      <c r="A6" s="14" t="s">
        <v>8</v>
      </c>
      <c r="B6" s="15" t="s">
        <v>9</v>
      </c>
      <c r="C6" s="15" t="s">
        <v>10</v>
      </c>
      <c r="D6" s="15" t="s">
        <v>11</v>
      </c>
      <c r="E6" s="15" t="s">
        <v>12</v>
      </c>
      <c r="F6" s="16" t="s">
        <v>13</v>
      </c>
      <c r="G6" s="15" t="s">
        <v>14</v>
      </c>
      <c r="H6" s="15" t="s">
        <v>15</v>
      </c>
      <c r="I6" s="15" t="s">
        <v>16</v>
      </c>
      <c r="J6" s="17" t="s">
        <v>17</v>
      </c>
      <c r="K6" s="15" t="s">
        <v>18</v>
      </c>
      <c r="L6" s="18" t="s">
        <v>19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6.5" customHeight="1">
      <c r="A7" s="19" t="s">
        <v>20</v>
      </c>
      <c r="B7" s="20" t="s">
        <v>21</v>
      </c>
      <c r="C7" s="21">
        <v>45658.0</v>
      </c>
      <c r="D7" s="22" t="s">
        <v>22</v>
      </c>
      <c r="E7" s="20" t="s">
        <v>23</v>
      </c>
      <c r="F7" s="23" t="s">
        <v>24</v>
      </c>
      <c r="G7" s="23" t="s">
        <v>25</v>
      </c>
      <c r="H7" s="24" t="s">
        <v>26</v>
      </c>
      <c r="I7" s="25" t="s">
        <v>27</v>
      </c>
      <c r="J7" s="26"/>
      <c r="K7" s="27"/>
      <c r="L7" s="28"/>
      <c r="M7" s="29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6.5" customHeight="1">
      <c r="A8" s="31" t="s">
        <v>28</v>
      </c>
      <c r="B8" s="32" t="s">
        <v>29</v>
      </c>
      <c r="C8" s="33">
        <v>45658.0</v>
      </c>
      <c r="D8" s="34" t="s">
        <v>22</v>
      </c>
      <c r="E8" s="32" t="s">
        <v>30</v>
      </c>
      <c r="F8" s="34" t="s">
        <v>31</v>
      </c>
      <c r="G8" s="34" t="s">
        <v>32</v>
      </c>
      <c r="H8" s="35" t="s">
        <v>26</v>
      </c>
      <c r="I8" s="36" t="str">
        <f>HYPERLINK("https://open.spotify.com/album/6eS23i4CUnkQph9azKMWYE", "S")</f>
        <v>S</v>
      </c>
      <c r="J8" s="37"/>
      <c r="K8" s="38"/>
      <c r="L8" s="39"/>
      <c r="M8" s="29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6.5" customHeight="1">
      <c r="A9" s="31" t="s">
        <v>33</v>
      </c>
      <c r="B9" s="32" t="s">
        <v>34</v>
      </c>
      <c r="C9" s="33">
        <v>45658.0</v>
      </c>
      <c r="D9" s="34" t="s">
        <v>22</v>
      </c>
      <c r="E9" s="32" t="s">
        <v>35</v>
      </c>
      <c r="F9" s="34" t="s">
        <v>24</v>
      </c>
      <c r="G9" s="34" t="s">
        <v>36</v>
      </c>
      <c r="H9" s="35" t="s">
        <v>26</v>
      </c>
      <c r="I9" s="40" t="str">
        <f>HYPERLINK("https://open.spotify.com/album/7kni1yGJOEqirUTdvf1NDv", "S")</f>
        <v>S</v>
      </c>
      <c r="J9" s="37"/>
      <c r="K9" s="38"/>
      <c r="L9" s="39"/>
      <c r="M9" s="29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6.5" customHeight="1">
      <c r="A10" s="31" t="s">
        <v>37</v>
      </c>
      <c r="B10" s="32" t="s">
        <v>38</v>
      </c>
      <c r="C10" s="33">
        <v>45658.0</v>
      </c>
      <c r="D10" s="34" t="s">
        <v>39</v>
      </c>
      <c r="E10" s="32" t="s">
        <v>40</v>
      </c>
      <c r="F10" s="34" t="s">
        <v>24</v>
      </c>
      <c r="G10" s="34" t="s">
        <v>41</v>
      </c>
      <c r="H10" s="35" t="s">
        <v>26</v>
      </c>
      <c r="I10" s="36" t="str">
        <f>HYPERLINK("https://open.spotify.com/album/0ou2U5BUfcp2FIY0TB7cEK", "S")</f>
        <v>S</v>
      </c>
      <c r="J10" s="41"/>
      <c r="K10" s="38"/>
      <c r="L10" s="39"/>
      <c r="M10" s="29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6.5" customHeight="1">
      <c r="A11" s="31" t="s">
        <v>42</v>
      </c>
      <c r="B11" s="32" t="s">
        <v>43</v>
      </c>
      <c r="C11" s="33">
        <v>45658.0</v>
      </c>
      <c r="D11" s="34" t="s">
        <v>22</v>
      </c>
      <c r="E11" s="32" t="s">
        <v>44</v>
      </c>
      <c r="F11" s="34" t="s">
        <v>24</v>
      </c>
      <c r="G11" s="34" t="s">
        <v>45</v>
      </c>
      <c r="H11" s="35" t="s">
        <v>26</v>
      </c>
      <c r="I11" s="36" t="str">
        <f>HYPERLINK("https://open.spotify.com/album/7IhK9t5Ps6fWr42QyYO2NO", "S")</f>
        <v>S</v>
      </c>
      <c r="J11" s="37"/>
      <c r="K11" s="41"/>
      <c r="L11" s="42"/>
      <c r="M11" s="43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6.5" customHeight="1">
      <c r="A12" s="32" t="s">
        <v>46</v>
      </c>
      <c r="B12" s="32" t="s">
        <v>47</v>
      </c>
      <c r="C12" s="45">
        <v>45660.0</v>
      </c>
      <c r="D12" s="34" t="s">
        <v>39</v>
      </c>
      <c r="E12" s="32" t="s">
        <v>48</v>
      </c>
      <c r="F12" s="34" t="s">
        <v>24</v>
      </c>
      <c r="G12" s="34" t="s">
        <v>49</v>
      </c>
      <c r="H12" s="35" t="s">
        <v>26</v>
      </c>
      <c r="I12" s="46" t="s">
        <v>27</v>
      </c>
      <c r="J12" s="37"/>
      <c r="K12" s="38"/>
      <c r="L12" s="39"/>
      <c r="M12" s="29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6.5" customHeight="1">
      <c r="A13" s="32" t="s">
        <v>50</v>
      </c>
      <c r="B13" s="32" t="s">
        <v>51</v>
      </c>
      <c r="C13" s="45">
        <v>45660.0</v>
      </c>
      <c r="D13" s="47" t="s">
        <v>22</v>
      </c>
      <c r="E13" s="32" t="s">
        <v>52</v>
      </c>
      <c r="F13" s="34" t="s">
        <v>53</v>
      </c>
      <c r="G13" s="34" t="s">
        <v>54</v>
      </c>
      <c r="H13" s="35" t="s">
        <v>26</v>
      </c>
      <c r="I13" s="46" t="s">
        <v>27</v>
      </c>
      <c r="J13" s="37"/>
      <c r="K13" s="38"/>
      <c r="L13" s="39"/>
      <c r="M13" s="29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6.5" customHeight="1">
      <c r="A14" s="48" t="s">
        <v>55</v>
      </c>
      <c r="B14" s="49" t="s">
        <v>56</v>
      </c>
      <c r="C14" s="50">
        <v>45660.0</v>
      </c>
      <c r="D14" s="51" t="s">
        <v>22</v>
      </c>
      <c r="E14" s="49" t="s">
        <v>57</v>
      </c>
      <c r="F14" s="52" t="s">
        <v>53</v>
      </c>
      <c r="G14" s="53" t="s">
        <v>58</v>
      </c>
      <c r="H14" s="54" t="s">
        <v>26</v>
      </c>
      <c r="I14" s="35" t="s">
        <v>27</v>
      </c>
      <c r="J14" s="37"/>
      <c r="K14" s="38"/>
      <c r="L14" s="39"/>
      <c r="M14" s="29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6.5" customHeight="1">
      <c r="A15" s="32" t="s">
        <v>59</v>
      </c>
      <c r="B15" s="55" t="s">
        <v>60</v>
      </c>
      <c r="C15" s="45">
        <v>45660.0</v>
      </c>
      <c r="D15" s="34" t="s">
        <v>22</v>
      </c>
      <c r="E15" s="32" t="s">
        <v>61</v>
      </c>
      <c r="F15" s="34" t="s">
        <v>24</v>
      </c>
      <c r="G15" s="34" t="s">
        <v>62</v>
      </c>
      <c r="H15" s="35" t="s">
        <v>26</v>
      </c>
      <c r="I15" s="46" t="s">
        <v>27</v>
      </c>
      <c r="J15" s="37"/>
      <c r="K15" s="38"/>
      <c r="L15" s="39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6.5" customHeight="1">
      <c r="A16" s="32" t="s">
        <v>63</v>
      </c>
      <c r="B16" s="55" t="s">
        <v>64</v>
      </c>
      <c r="C16" s="45">
        <v>45660.0</v>
      </c>
      <c r="D16" s="34" t="s">
        <v>22</v>
      </c>
      <c r="E16" s="32" t="s">
        <v>65</v>
      </c>
      <c r="F16" s="34" t="s">
        <v>53</v>
      </c>
      <c r="G16" s="34" t="s">
        <v>66</v>
      </c>
      <c r="H16" s="35" t="s">
        <v>26</v>
      </c>
      <c r="I16" s="46" t="s">
        <v>27</v>
      </c>
      <c r="J16" s="37"/>
      <c r="K16" s="38"/>
      <c r="L16" s="39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6.5" customHeight="1">
      <c r="A17" s="32" t="s">
        <v>67</v>
      </c>
      <c r="B17" s="32" t="s">
        <v>68</v>
      </c>
      <c r="C17" s="45">
        <v>45660.0</v>
      </c>
      <c r="D17" s="34" t="s">
        <v>22</v>
      </c>
      <c r="E17" s="32" t="s">
        <v>69</v>
      </c>
      <c r="F17" s="34" t="s">
        <v>53</v>
      </c>
      <c r="G17" s="34" t="s">
        <v>70</v>
      </c>
      <c r="H17" s="35" t="s">
        <v>26</v>
      </c>
      <c r="I17" s="46" t="s">
        <v>27</v>
      </c>
      <c r="J17" s="41"/>
      <c r="K17" s="38"/>
      <c r="L17" s="39"/>
      <c r="M17" s="29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6.5" customHeight="1">
      <c r="A18" s="32" t="s">
        <v>71</v>
      </c>
      <c r="B18" s="32" t="s">
        <v>72</v>
      </c>
      <c r="C18" s="56">
        <v>45660.0</v>
      </c>
      <c r="D18" s="34" t="s">
        <v>22</v>
      </c>
      <c r="E18" s="32" t="s">
        <v>73</v>
      </c>
      <c r="F18" s="34" t="s">
        <v>53</v>
      </c>
      <c r="G18" s="34" t="s">
        <v>74</v>
      </c>
      <c r="H18" s="35" t="s">
        <v>26</v>
      </c>
      <c r="I18" s="46" t="s">
        <v>27</v>
      </c>
      <c r="J18" s="37"/>
      <c r="K18" s="41"/>
      <c r="L18" s="42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6.5" customHeight="1">
      <c r="A19" s="31" t="s">
        <v>75</v>
      </c>
      <c r="B19" s="32" t="s">
        <v>76</v>
      </c>
      <c r="C19" s="33">
        <v>45660.0</v>
      </c>
      <c r="D19" s="34" t="s">
        <v>22</v>
      </c>
      <c r="E19" s="32" t="s">
        <v>77</v>
      </c>
      <c r="F19" s="34" t="s">
        <v>53</v>
      </c>
      <c r="G19" s="34" t="s">
        <v>78</v>
      </c>
      <c r="H19" s="57"/>
      <c r="I19" s="35" t="s">
        <v>27</v>
      </c>
      <c r="J19" s="37"/>
      <c r="K19" s="38"/>
      <c r="L19" s="39"/>
      <c r="M19" s="29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6.5" customHeight="1">
      <c r="A20" s="31" t="s">
        <v>79</v>
      </c>
      <c r="B20" s="32" t="s">
        <v>80</v>
      </c>
      <c r="C20" s="33">
        <v>45660.0</v>
      </c>
      <c r="D20" s="47" t="s">
        <v>39</v>
      </c>
      <c r="E20" s="32" t="s">
        <v>44</v>
      </c>
      <c r="F20" s="34" t="s">
        <v>24</v>
      </c>
      <c r="G20" s="34" t="s">
        <v>81</v>
      </c>
      <c r="H20" s="35" t="s">
        <v>26</v>
      </c>
      <c r="I20" s="58" t="str">
        <f>HYPERLINK("https://open.spotify.com/album/39roX2Jy9hg3CVnSuQPeu1", "S")</f>
        <v>S</v>
      </c>
      <c r="J20" s="37"/>
      <c r="K20" s="38"/>
      <c r="L20" s="39"/>
      <c r="M20" s="29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6.5" customHeight="1">
      <c r="A21" s="32" t="s">
        <v>82</v>
      </c>
      <c r="B21" s="32" t="s">
        <v>83</v>
      </c>
      <c r="C21" s="59">
        <v>45660.0</v>
      </c>
      <c r="D21" s="47" t="s">
        <v>39</v>
      </c>
      <c r="E21" s="32" t="s">
        <v>84</v>
      </c>
      <c r="F21" s="34" t="s">
        <v>24</v>
      </c>
      <c r="G21" s="34" t="s">
        <v>85</v>
      </c>
      <c r="H21" s="35" t="s">
        <v>26</v>
      </c>
      <c r="I21" s="60"/>
      <c r="J21" s="37"/>
      <c r="K21" s="38"/>
      <c r="L21" s="39"/>
      <c r="M21" s="29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6.5" customHeight="1">
      <c r="A22" s="31" t="s">
        <v>86</v>
      </c>
      <c r="B22" s="32" t="s">
        <v>87</v>
      </c>
      <c r="C22" s="33">
        <v>45660.0</v>
      </c>
      <c r="D22" s="34" t="s">
        <v>22</v>
      </c>
      <c r="E22" s="32" t="s">
        <v>88</v>
      </c>
      <c r="F22" s="34" t="s">
        <v>24</v>
      </c>
      <c r="G22" s="34" t="s">
        <v>89</v>
      </c>
      <c r="H22" s="35" t="s">
        <v>26</v>
      </c>
      <c r="I22" s="35" t="s">
        <v>27</v>
      </c>
      <c r="J22" s="37"/>
      <c r="K22" s="38"/>
      <c r="L22" s="39"/>
      <c r="M22" s="29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6.5" customHeight="1">
      <c r="A23" s="32" t="s">
        <v>90</v>
      </c>
      <c r="B23" s="32" t="s">
        <v>91</v>
      </c>
      <c r="C23" s="45">
        <v>45661.0</v>
      </c>
      <c r="D23" s="34" t="s">
        <v>39</v>
      </c>
      <c r="E23" s="32" t="s">
        <v>69</v>
      </c>
      <c r="F23" s="34" t="s">
        <v>24</v>
      </c>
      <c r="G23" s="34" t="s">
        <v>92</v>
      </c>
      <c r="H23" s="35" t="s">
        <v>26</v>
      </c>
      <c r="I23" s="46" t="s">
        <v>27</v>
      </c>
      <c r="J23" s="37"/>
      <c r="K23" s="38"/>
      <c r="L23" s="39"/>
      <c r="M23" s="29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6.5" customHeight="1">
      <c r="A24" s="31" t="s">
        <v>93</v>
      </c>
      <c r="B24" s="32" t="s">
        <v>94</v>
      </c>
      <c r="C24" s="33">
        <v>45661.0</v>
      </c>
      <c r="D24" s="34" t="s">
        <v>39</v>
      </c>
      <c r="E24" s="32" t="s">
        <v>95</v>
      </c>
      <c r="F24" s="34" t="s">
        <v>24</v>
      </c>
      <c r="G24" s="34" t="s">
        <v>96</v>
      </c>
      <c r="H24" s="35" t="s">
        <v>26</v>
      </c>
      <c r="I24" s="35" t="s">
        <v>27</v>
      </c>
      <c r="J24" s="37"/>
      <c r="K24" s="38"/>
      <c r="L24" s="39"/>
      <c r="M24" s="29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6.5" customHeight="1">
      <c r="A25" s="32" t="s">
        <v>97</v>
      </c>
      <c r="B25" s="32" t="s">
        <v>97</v>
      </c>
      <c r="C25" s="45">
        <v>45663.0</v>
      </c>
      <c r="D25" s="34" t="s">
        <v>22</v>
      </c>
      <c r="E25" s="32" t="s">
        <v>98</v>
      </c>
      <c r="F25" s="34" t="s">
        <v>24</v>
      </c>
      <c r="G25" s="34" t="s">
        <v>99</v>
      </c>
      <c r="H25" s="35" t="s">
        <v>26</v>
      </c>
      <c r="I25" s="46" t="str">
        <f>HYPERLINK("https://open.spotify.com/album/74DyXMTVrZyKFYK2B5L6aF", "S")</f>
        <v>S</v>
      </c>
      <c r="J25" s="61" t="s">
        <v>100</v>
      </c>
      <c r="K25" s="38"/>
      <c r="L25" s="39"/>
      <c r="M25" s="29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6.5" customHeight="1">
      <c r="A26" s="48" t="s">
        <v>101</v>
      </c>
      <c r="B26" s="49" t="s">
        <v>102</v>
      </c>
      <c r="C26" s="50">
        <v>45663.0</v>
      </c>
      <c r="D26" s="51" t="s">
        <v>39</v>
      </c>
      <c r="E26" s="49" t="s">
        <v>103</v>
      </c>
      <c r="F26" s="52" t="s">
        <v>53</v>
      </c>
      <c r="G26" s="62" t="s">
        <v>104</v>
      </c>
      <c r="H26" s="54" t="s">
        <v>26</v>
      </c>
      <c r="I26" s="35" t="s">
        <v>27</v>
      </c>
      <c r="J26" s="37"/>
      <c r="K26" s="38"/>
      <c r="L26" s="39"/>
      <c r="M26" s="29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6.5" customHeight="1">
      <c r="A27" s="32" t="s">
        <v>105</v>
      </c>
      <c r="B27" s="32" t="s">
        <v>106</v>
      </c>
      <c r="C27" s="45">
        <v>45663.0</v>
      </c>
      <c r="D27" s="34" t="s">
        <v>39</v>
      </c>
      <c r="E27" s="32" t="s">
        <v>107</v>
      </c>
      <c r="F27" s="34" t="s">
        <v>53</v>
      </c>
      <c r="G27" s="63" t="s">
        <v>108</v>
      </c>
      <c r="H27" s="35" t="s">
        <v>26</v>
      </c>
      <c r="I27" s="46" t="s">
        <v>27</v>
      </c>
      <c r="J27" s="37"/>
      <c r="K27" s="38"/>
      <c r="L27" s="39"/>
      <c r="M27" s="29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6.5" customHeight="1">
      <c r="A28" s="31" t="s">
        <v>109</v>
      </c>
      <c r="B28" s="32" t="s">
        <v>110</v>
      </c>
      <c r="C28" s="33">
        <v>45663.0</v>
      </c>
      <c r="D28" s="34" t="s">
        <v>39</v>
      </c>
      <c r="E28" s="32" t="s">
        <v>111</v>
      </c>
      <c r="F28" s="34" t="s">
        <v>24</v>
      </c>
      <c r="G28" s="34" t="s">
        <v>112</v>
      </c>
      <c r="H28" s="35" t="s">
        <v>26</v>
      </c>
      <c r="I28" s="35" t="s">
        <v>27</v>
      </c>
      <c r="J28" s="37"/>
      <c r="K28" s="38"/>
      <c r="L28" s="39"/>
      <c r="M28" s="29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6.5" customHeight="1">
      <c r="A29" s="31" t="s">
        <v>113</v>
      </c>
      <c r="B29" s="32" t="s">
        <v>114</v>
      </c>
      <c r="C29" s="33">
        <v>45663.0</v>
      </c>
      <c r="D29" s="34" t="s">
        <v>39</v>
      </c>
      <c r="E29" s="32" t="s">
        <v>115</v>
      </c>
      <c r="F29" s="34" t="s">
        <v>53</v>
      </c>
      <c r="G29" s="34" t="s">
        <v>116</v>
      </c>
      <c r="H29" s="35" t="s">
        <v>26</v>
      </c>
      <c r="I29" s="36" t="str">
        <f>HYPERLINK("https://open.spotify.com/album/4tXi5eBPB4pvPidwvRTyoA", "S")</f>
        <v>S</v>
      </c>
      <c r="J29" s="37"/>
      <c r="K29" s="38"/>
      <c r="L29" s="39"/>
      <c r="M29" s="29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6.5" customHeight="1">
      <c r="A30" s="31" t="s">
        <v>117</v>
      </c>
      <c r="B30" s="32" t="s">
        <v>118</v>
      </c>
      <c r="C30" s="33">
        <v>45663.0</v>
      </c>
      <c r="D30" s="34" t="s">
        <v>39</v>
      </c>
      <c r="E30" s="32" t="s">
        <v>69</v>
      </c>
      <c r="F30" s="34" t="s">
        <v>24</v>
      </c>
      <c r="G30" s="34" t="s">
        <v>119</v>
      </c>
      <c r="H30" s="35" t="s">
        <v>26</v>
      </c>
      <c r="I30" s="36" t="str">
        <f>HYPERLINK("https://open.spotify.com/album/6oZUrxoQ8E11OUze7vIvHU", "S")</f>
        <v>S</v>
      </c>
      <c r="J30" s="37"/>
      <c r="K30" s="38"/>
      <c r="L30" s="39"/>
      <c r="M30" s="29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6.5" customHeight="1">
      <c r="A31" s="31" t="s">
        <v>120</v>
      </c>
      <c r="B31" s="32" t="s">
        <v>121</v>
      </c>
      <c r="C31" s="33">
        <v>45664.0</v>
      </c>
      <c r="D31" s="34" t="s">
        <v>22</v>
      </c>
      <c r="E31" s="32" t="s">
        <v>122</v>
      </c>
      <c r="F31" s="34" t="s">
        <v>53</v>
      </c>
      <c r="G31" s="34" t="s">
        <v>123</v>
      </c>
      <c r="H31" s="35" t="s">
        <v>26</v>
      </c>
      <c r="I31" s="36" t="str">
        <f>HYPERLINK("https://open.spotify.com/album/0KbaxguRMw9HeJqwvcHLzK", "S")</f>
        <v>S</v>
      </c>
      <c r="J31" s="64"/>
      <c r="K31" s="38"/>
      <c r="L31" s="39"/>
      <c r="M31" s="29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6.5" customHeight="1">
      <c r="A32" s="32" t="s">
        <v>124</v>
      </c>
      <c r="B32" s="32" t="s">
        <v>125</v>
      </c>
      <c r="C32" s="45">
        <v>45665.0</v>
      </c>
      <c r="D32" s="34" t="s">
        <v>22</v>
      </c>
      <c r="E32" s="32" t="s">
        <v>126</v>
      </c>
      <c r="F32" s="34" t="s">
        <v>53</v>
      </c>
      <c r="G32" s="34" t="s">
        <v>127</v>
      </c>
      <c r="H32" s="35" t="s">
        <v>26</v>
      </c>
      <c r="I32" s="46" t="str">
        <f>HYPERLINK("https://open.spotify.com/album/6OBbLZ2V0gAk8PrsOSNUKe", "S")</f>
        <v>S</v>
      </c>
      <c r="J32" s="64"/>
      <c r="K32" s="38"/>
      <c r="L32" s="39"/>
      <c r="M32" s="29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6.5" customHeight="1">
      <c r="A33" s="32" t="s">
        <v>128</v>
      </c>
      <c r="B33" s="32" t="s">
        <v>128</v>
      </c>
      <c r="C33" s="45">
        <v>45665.0</v>
      </c>
      <c r="D33" s="34" t="s">
        <v>22</v>
      </c>
      <c r="E33" s="32" t="s">
        <v>129</v>
      </c>
      <c r="F33" s="34" t="s">
        <v>24</v>
      </c>
      <c r="G33" s="34" t="s">
        <v>130</v>
      </c>
      <c r="H33" s="35" t="s">
        <v>26</v>
      </c>
      <c r="I33" s="46" t="str">
        <f>HYPERLINK("https://open.spotify.com/album/79WLLJ1rWMQo6d1FstDnnF", "S")</f>
        <v>S</v>
      </c>
      <c r="J33" s="64"/>
      <c r="K33" s="38"/>
      <c r="L33" s="39"/>
      <c r="M33" s="29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6.5" customHeight="1">
      <c r="A34" s="31" t="s">
        <v>131</v>
      </c>
      <c r="B34" s="32" t="s">
        <v>132</v>
      </c>
      <c r="C34" s="33">
        <v>45665.0</v>
      </c>
      <c r="D34" s="34" t="s">
        <v>22</v>
      </c>
      <c r="E34" s="32" t="s">
        <v>73</v>
      </c>
      <c r="F34" s="34" t="s">
        <v>24</v>
      </c>
      <c r="G34" s="34" t="s">
        <v>133</v>
      </c>
      <c r="H34" s="35" t="s">
        <v>26</v>
      </c>
      <c r="I34" s="35" t="s">
        <v>27</v>
      </c>
      <c r="J34" s="37"/>
      <c r="K34" s="38"/>
      <c r="L34" s="39"/>
      <c r="M34" s="29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6.5" customHeight="1">
      <c r="A35" s="32" t="s">
        <v>134</v>
      </c>
      <c r="B35" s="32" t="s">
        <v>135</v>
      </c>
      <c r="C35" s="45">
        <v>45666.0</v>
      </c>
      <c r="D35" s="34" t="s">
        <v>22</v>
      </c>
      <c r="E35" s="32" t="s">
        <v>136</v>
      </c>
      <c r="F35" s="34" t="s">
        <v>53</v>
      </c>
      <c r="G35" s="34" t="s">
        <v>137</v>
      </c>
      <c r="H35" s="35" t="s">
        <v>26</v>
      </c>
      <c r="I35" s="46" t="s">
        <v>27</v>
      </c>
      <c r="J35" s="37"/>
      <c r="K35" s="38"/>
      <c r="L35" s="39"/>
      <c r="M35" s="29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6.5" customHeight="1">
      <c r="A36" s="31" t="s">
        <v>138</v>
      </c>
      <c r="B36" s="32" t="s">
        <v>139</v>
      </c>
      <c r="C36" s="33">
        <v>45666.0</v>
      </c>
      <c r="D36" s="34" t="s">
        <v>22</v>
      </c>
      <c r="E36" s="32" t="s">
        <v>140</v>
      </c>
      <c r="F36" s="34" t="s">
        <v>24</v>
      </c>
      <c r="G36" s="34" t="s">
        <v>141</v>
      </c>
      <c r="H36" s="35" t="s">
        <v>26</v>
      </c>
      <c r="I36" s="35" t="s">
        <v>27</v>
      </c>
      <c r="J36" s="57"/>
      <c r="K36" s="38"/>
      <c r="L36" s="39"/>
      <c r="M36" s="29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6.5" customHeight="1">
      <c r="A37" s="32" t="s">
        <v>142</v>
      </c>
      <c r="B37" s="32" t="s">
        <v>142</v>
      </c>
      <c r="C37" s="45">
        <v>45667.0</v>
      </c>
      <c r="D37" s="47" t="s">
        <v>22</v>
      </c>
      <c r="E37" s="32" t="s">
        <v>143</v>
      </c>
      <c r="F37" s="34" t="s">
        <v>53</v>
      </c>
      <c r="G37" s="34" t="s">
        <v>144</v>
      </c>
      <c r="H37" s="35" t="s">
        <v>26</v>
      </c>
      <c r="I37" s="46" t="s">
        <v>27</v>
      </c>
      <c r="J37" s="61" t="s">
        <v>100</v>
      </c>
      <c r="K37" s="38"/>
      <c r="L37" s="39"/>
      <c r="M37" s="29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6.5" customHeight="1">
      <c r="A38" s="32" t="s">
        <v>145</v>
      </c>
      <c r="B38" s="32" t="s">
        <v>146</v>
      </c>
      <c r="C38" s="59">
        <v>45667.0</v>
      </c>
      <c r="D38" s="47" t="s">
        <v>22</v>
      </c>
      <c r="E38" s="32" t="s">
        <v>147</v>
      </c>
      <c r="F38" s="34" t="s">
        <v>53</v>
      </c>
      <c r="G38" s="34" t="s">
        <v>148</v>
      </c>
      <c r="H38" s="65"/>
      <c r="I38" s="46" t="s">
        <v>27</v>
      </c>
      <c r="J38" s="37"/>
      <c r="K38" s="38"/>
      <c r="L38" s="39"/>
      <c r="M38" s="29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6.5" customHeight="1">
      <c r="A39" s="32" t="s">
        <v>149</v>
      </c>
      <c r="B39" s="32" t="s">
        <v>150</v>
      </c>
      <c r="C39" s="45">
        <v>45667.0</v>
      </c>
      <c r="D39" s="34" t="s">
        <v>22</v>
      </c>
      <c r="E39" s="32" t="s">
        <v>151</v>
      </c>
      <c r="F39" s="34" t="s">
        <v>53</v>
      </c>
      <c r="G39" s="34" t="s">
        <v>152</v>
      </c>
      <c r="H39" s="35" t="s">
        <v>26</v>
      </c>
      <c r="I39" s="46" t="s">
        <v>27</v>
      </c>
      <c r="J39" s="61" t="s">
        <v>100</v>
      </c>
      <c r="K39" s="38"/>
      <c r="L39" s="39"/>
      <c r="M39" s="29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6.5" customHeight="1">
      <c r="A40" s="32" t="s">
        <v>153</v>
      </c>
      <c r="B40" s="32" t="s">
        <v>154</v>
      </c>
      <c r="C40" s="45">
        <v>45667.0</v>
      </c>
      <c r="D40" s="34" t="s">
        <v>22</v>
      </c>
      <c r="E40" s="32" t="s">
        <v>155</v>
      </c>
      <c r="F40" s="34" t="s">
        <v>156</v>
      </c>
      <c r="G40" s="34" t="s">
        <v>157</v>
      </c>
      <c r="H40" s="35" t="s">
        <v>26</v>
      </c>
      <c r="I40" s="46" t="s">
        <v>27</v>
      </c>
      <c r="J40" s="37"/>
      <c r="K40" s="38"/>
      <c r="L40" s="39"/>
      <c r="M40" s="29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6.5" customHeight="1">
      <c r="A41" s="32" t="s">
        <v>158</v>
      </c>
      <c r="B41" s="32" t="s">
        <v>159</v>
      </c>
      <c r="C41" s="45">
        <v>45667.0</v>
      </c>
      <c r="D41" s="34" t="s">
        <v>22</v>
      </c>
      <c r="E41" s="32" t="s">
        <v>160</v>
      </c>
      <c r="F41" s="34" t="s">
        <v>24</v>
      </c>
      <c r="G41" s="34" t="s">
        <v>161</v>
      </c>
      <c r="H41" s="35" t="s">
        <v>26</v>
      </c>
      <c r="I41" s="46" t="s">
        <v>27</v>
      </c>
      <c r="J41" s="61" t="s">
        <v>100</v>
      </c>
      <c r="K41" s="38"/>
      <c r="L41" s="39"/>
      <c r="M41" s="29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6.5" customHeight="1">
      <c r="A42" s="32" t="s">
        <v>162</v>
      </c>
      <c r="B42" s="32" t="s">
        <v>163</v>
      </c>
      <c r="C42" s="45">
        <v>45667.0</v>
      </c>
      <c r="D42" s="47" t="s">
        <v>22</v>
      </c>
      <c r="E42" s="32" t="s">
        <v>164</v>
      </c>
      <c r="F42" s="34" t="s">
        <v>24</v>
      </c>
      <c r="G42" s="34" t="s">
        <v>165</v>
      </c>
      <c r="H42" s="35" t="s">
        <v>26</v>
      </c>
      <c r="I42" s="46" t="s">
        <v>27</v>
      </c>
      <c r="J42" s="37"/>
      <c r="K42" s="38"/>
      <c r="L42" s="39"/>
      <c r="M42" s="29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6.5" customHeight="1">
      <c r="A43" s="32" t="s">
        <v>166</v>
      </c>
      <c r="B43" s="32" t="s">
        <v>167</v>
      </c>
      <c r="C43" s="45">
        <v>45667.0</v>
      </c>
      <c r="D43" s="34" t="s">
        <v>22</v>
      </c>
      <c r="E43" s="32" t="s">
        <v>168</v>
      </c>
      <c r="F43" s="34" t="s">
        <v>53</v>
      </c>
      <c r="G43" s="34" t="s">
        <v>169</v>
      </c>
      <c r="H43" s="35" t="s">
        <v>26</v>
      </c>
      <c r="I43" s="46" t="str">
        <f>HYPERLINK("https://open.spotify.com/album/3gpJivFbaInvu1E0Xjp5vy", "S")</f>
        <v>S</v>
      </c>
      <c r="J43" s="37"/>
      <c r="K43" s="38"/>
      <c r="L43" s="39"/>
      <c r="M43" s="29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6.5" customHeight="1">
      <c r="A44" s="31" t="s">
        <v>170</v>
      </c>
      <c r="B44" s="32" t="s">
        <v>171</v>
      </c>
      <c r="C44" s="45">
        <v>45667.0</v>
      </c>
      <c r="D44" s="47" t="s">
        <v>22</v>
      </c>
      <c r="E44" s="32" t="s">
        <v>172</v>
      </c>
      <c r="F44" s="34" t="s">
        <v>24</v>
      </c>
      <c r="G44" s="34" t="s">
        <v>173</v>
      </c>
      <c r="H44" s="35" t="s">
        <v>26</v>
      </c>
      <c r="I44" s="46" t="s">
        <v>27</v>
      </c>
      <c r="J44" s="37"/>
      <c r="K44" s="38"/>
      <c r="L44" s="39"/>
      <c r="M44" s="29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6.5" customHeight="1">
      <c r="A45" s="31" t="s">
        <v>174</v>
      </c>
      <c r="B45" s="32" t="s">
        <v>175</v>
      </c>
      <c r="C45" s="45">
        <v>45667.0</v>
      </c>
      <c r="D45" s="34" t="s">
        <v>22</v>
      </c>
      <c r="E45" s="32" t="s">
        <v>176</v>
      </c>
      <c r="F45" s="34" t="s">
        <v>53</v>
      </c>
      <c r="G45" s="34" t="s">
        <v>177</v>
      </c>
      <c r="H45" s="35" t="s">
        <v>26</v>
      </c>
      <c r="I45" s="46" t="s">
        <v>27</v>
      </c>
      <c r="J45" s="66"/>
      <c r="K45" s="38"/>
      <c r="L45" s="39"/>
      <c r="M45" s="29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6.5" customHeight="1">
      <c r="A46" s="31" t="s">
        <v>178</v>
      </c>
      <c r="B46" s="32" t="s">
        <v>179</v>
      </c>
      <c r="C46" s="45">
        <v>45667.0</v>
      </c>
      <c r="D46" s="34" t="s">
        <v>39</v>
      </c>
      <c r="E46" s="32" t="s">
        <v>180</v>
      </c>
      <c r="F46" s="34" t="s">
        <v>24</v>
      </c>
      <c r="G46" s="34" t="s">
        <v>181</v>
      </c>
      <c r="H46" s="35" t="s">
        <v>26</v>
      </c>
      <c r="I46" s="46" t="str">
        <f>HYPERLINK("https://open.spotify.com/album/7eFqv2xpN6AIYC1NGPfjBn", "S")</f>
        <v>S</v>
      </c>
      <c r="J46" s="37"/>
      <c r="K46" s="38"/>
      <c r="L46" s="39"/>
      <c r="M46" s="29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6.5" customHeight="1">
      <c r="A47" s="31" t="s">
        <v>182</v>
      </c>
      <c r="B47" s="32" t="s">
        <v>183</v>
      </c>
      <c r="C47" s="45">
        <v>45667.0</v>
      </c>
      <c r="D47" s="34" t="s">
        <v>22</v>
      </c>
      <c r="E47" s="32" t="s">
        <v>184</v>
      </c>
      <c r="F47" s="34" t="s">
        <v>53</v>
      </c>
      <c r="G47" s="34" t="s">
        <v>185</v>
      </c>
      <c r="H47" s="35" t="s">
        <v>26</v>
      </c>
      <c r="I47" s="46" t="s">
        <v>27</v>
      </c>
      <c r="J47" s="37"/>
      <c r="K47" s="38"/>
      <c r="L47" s="39"/>
      <c r="M47" s="29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6.5" customHeight="1">
      <c r="A48" s="31" t="s">
        <v>186</v>
      </c>
      <c r="B48" s="32" t="s">
        <v>187</v>
      </c>
      <c r="C48" s="45">
        <v>45667.0</v>
      </c>
      <c r="D48" s="34" t="s">
        <v>22</v>
      </c>
      <c r="E48" s="32" t="s">
        <v>188</v>
      </c>
      <c r="F48" s="34" t="s">
        <v>31</v>
      </c>
      <c r="G48" s="34" t="s">
        <v>189</v>
      </c>
      <c r="H48" s="35" t="s">
        <v>26</v>
      </c>
      <c r="I48" s="46" t="s">
        <v>27</v>
      </c>
      <c r="J48" s="37"/>
      <c r="K48" s="38"/>
      <c r="L48" s="39"/>
      <c r="M48" s="29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6.5" customHeight="1">
      <c r="A49" s="31" t="s">
        <v>190</v>
      </c>
      <c r="B49" s="32" t="s">
        <v>191</v>
      </c>
      <c r="C49" s="45">
        <v>45667.0</v>
      </c>
      <c r="D49" s="34" t="s">
        <v>22</v>
      </c>
      <c r="E49" s="32" t="s">
        <v>192</v>
      </c>
      <c r="F49" s="34" t="s">
        <v>156</v>
      </c>
      <c r="G49" s="34" t="s">
        <v>193</v>
      </c>
      <c r="H49" s="66"/>
      <c r="I49" s="46" t="s">
        <v>27</v>
      </c>
      <c r="J49" s="37"/>
      <c r="K49" s="38"/>
      <c r="L49" s="39"/>
      <c r="M49" s="29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6.5" customHeight="1">
      <c r="A50" s="31" t="s">
        <v>194</v>
      </c>
      <c r="B50" s="32" t="s">
        <v>195</v>
      </c>
      <c r="C50" s="45">
        <v>45667.0</v>
      </c>
      <c r="D50" s="34" t="s">
        <v>22</v>
      </c>
      <c r="E50" s="32" t="s">
        <v>122</v>
      </c>
      <c r="F50" s="34" t="s">
        <v>31</v>
      </c>
      <c r="G50" s="34" t="s">
        <v>196</v>
      </c>
      <c r="H50" s="35" t="s">
        <v>26</v>
      </c>
      <c r="I50" s="46" t="s">
        <v>27</v>
      </c>
      <c r="J50" s="66"/>
      <c r="K50" s="38"/>
      <c r="L50" s="39"/>
      <c r="M50" s="29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6.5" customHeight="1">
      <c r="A51" s="31" t="s">
        <v>197</v>
      </c>
      <c r="B51" s="32" t="s">
        <v>198</v>
      </c>
      <c r="C51" s="45">
        <v>45667.0</v>
      </c>
      <c r="D51" s="34" t="s">
        <v>22</v>
      </c>
      <c r="E51" s="32" t="s">
        <v>73</v>
      </c>
      <c r="F51" s="34" t="s">
        <v>53</v>
      </c>
      <c r="G51" s="34" t="s">
        <v>199</v>
      </c>
      <c r="H51" s="35" t="s">
        <v>26</v>
      </c>
      <c r="I51" s="46" t="str">
        <f>HYPERLINK("https://open.spotify.com/album/4p4YSgdpiZ8WogcjFnRxrW", "S")</f>
        <v>S</v>
      </c>
      <c r="J51" s="66"/>
      <c r="K51" s="38"/>
      <c r="L51" s="39"/>
      <c r="M51" s="29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6.5" customHeight="1">
      <c r="A52" s="31" t="s">
        <v>200</v>
      </c>
      <c r="B52" s="32" t="s">
        <v>201</v>
      </c>
      <c r="C52" s="45">
        <v>45667.0</v>
      </c>
      <c r="D52" s="47" t="s">
        <v>39</v>
      </c>
      <c r="E52" s="32" t="s">
        <v>176</v>
      </c>
      <c r="F52" s="34" t="s">
        <v>31</v>
      </c>
      <c r="G52" s="34" t="s">
        <v>202</v>
      </c>
      <c r="H52" s="35" t="s">
        <v>26</v>
      </c>
      <c r="I52" s="60"/>
      <c r="J52" s="37"/>
      <c r="K52" s="38"/>
      <c r="L52" s="39"/>
      <c r="M52" s="29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6.5" customHeight="1">
      <c r="A53" s="31" t="s">
        <v>203</v>
      </c>
      <c r="B53" s="32" t="s">
        <v>204</v>
      </c>
      <c r="C53" s="33">
        <v>45667.0</v>
      </c>
      <c r="D53" s="34" t="s">
        <v>22</v>
      </c>
      <c r="E53" s="32" t="s">
        <v>205</v>
      </c>
      <c r="F53" s="34" t="s">
        <v>156</v>
      </c>
      <c r="G53" s="34" t="s">
        <v>206</v>
      </c>
      <c r="H53" s="35" t="s">
        <v>26</v>
      </c>
      <c r="I53" s="46" t="s">
        <v>27</v>
      </c>
      <c r="J53" s="35" t="s">
        <v>100</v>
      </c>
      <c r="K53" s="38"/>
      <c r="L53" s="39"/>
      <c r="M53" s="29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6.5" customHeight="1">
      <c r="A54" s="31" t="s">
        <v>207</v>
      </c>
      <c r="B54" s="32" t="s">
        <v>208</v>
      </c>
      <c r="C54" s="33">
        <v>45667.0</v>
      </c>
      <c r="D54" s="47" t="s">
        <v>22</v>
      </c>
      <c r="E54" s="32" t="s">
        <v>209</v>
      </c>
      <c r="F54" s="34" t="s">
        <v>24</v>
      </c>
      <c r="G54" s="34" t="s">
        <v>210</v>
      </c>
      <c r="H54" s="35" t="s">
        <v>26</v>
      </c>
      <c r="I54" s="46" t="s">
        <v>27</v>
      </c>
      <c r="J54" s="64"/>
      <c r="K54" s="38"/>
      <c r="L54" s="39"/>
      <c r="M54" s="29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6.5" customHeight="1">
      <c r="A55" s="31" t="s">
        <v>211</v>
      </c>
      <c r="B55" s="32" t="s">
        <v>212</v>
      </c>
      <c r="C55" s="33">
        <v>45667.0</v>
      </c>
      <c r="D55" s="34" t="s">
        <v>22</v>
      </c>
      <c r="E55" s="32" t="s">
        <v>84</v>
      </c>
      <c r="F55" s="34" t="s">
        <v>53</v>
      </c>
      <c r="G55" s="34" t="s">
        <v>213</v>
      </c>
      <c r="H55" s="35" t="s">
        <v>26</v>
      </c>
      <c r="I55" s="46" t="s">
        <v>27</v>
      </c>
      <c r="J55" s="37"/>
      <c r="K55" s="38"/>
      <c r="L55" s="39"/>
      <c r="M55" s="29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6.5" customHeight="1">
      <c r="A56" s="31" t="s">
        <v>214</v>
      </c>
      <c r="B56" s="32" t="s">
        <v>214</v>
      </c>
      <c r="C56" s="33">
        <v>45667.0</v>
      </c>
      <c r="D56" s="47" t="s">
        <v>22</v>
      </c>
      <c r="E56" s="32" t="s">
        <v>215</v>
      </c>
      <c r="F56" s="34" t="s">
        <v>24</v>
      </c>
      <c r="G56" s="34" t="s">
        <v>32</v>
      </c>
      <c r="H56" s="35" t="s">
        <v>26</v>
      </c>
      <c r="I56" s="46" t="str">
        <f>HYPERLINK("https://open.spotify.com/album/5QZ5vfZEG3tUdkHtI8t8mk", "S")</f>
        <v>S</v>
      </c>
      <c r="J56" s="37"/>
      <c r="K56" s="38"/>
      <c r="L56" s="39"/>
      <c r="M56" s="29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6.5" customHeight="1">
      <c r="A57" s="31" t="s">
        <v>216</v>
      </c>
      <c r="B57" s="32" t="s">
        <v>217</v>
      </c>
      <c r="C57" s="33">
        <v>45667.0</v>
      </c>
      <c r="D57" s="34" t="s">
        <v>22</v>
      </c>
      <c r="E57" s="32" t="s">
        <v>61</v>
      </c>
      <c r="F57" s="34" t="s">
        <v>24</v>
      </c>
      <c r="G57" s="34" t="s">
        <v>218</v>
      </c>
      <c r="H57" s="35" t="s">
        <v>26</v>
      </c>
      <c r="I57" s="35" t="s">
        <v>27</v>
      </c>
      <c r="J57" s="37"/>
      <c r="K57" s="38"/>
      <c r="L57" s="39"/>
      <c r="M57" s="29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6.5" customHeight="1">
      <c r="A58" s="31" t="s">
        <v>219</v>
      </c>
      <c r="B58" s="32" t="s">
        <v>220</v>
      </c>
      <c r="C58" s="33">
        <v>45667.0</v>
      </c>
      <c r="D58" s="34" t="s">
        <v>39</v>
      </c>
      <c r="E58" s="32" t="s">
        <v>122</v>
      </c>
      <c r="F58" s="34" t="s">
        <v>31</v>
      </c>
      <c r="G58" s="34" t="s">
        <v>221</v>
      </c>
      <c r="H58" s="35" t="s">
        <v>26</v>
      </c>
      <c r="I58" s="46" t="s">
        <v>27</v>
      </c>
      <c r="J58" s="37"/>
      <c r="K58" s="38"/>
      <c r="L58" s="39"/>
      <c r="M58" s="29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6.5" customHeight="1">
      <c r="A59" s="31" t="s">
        <v>222</v>
      </c>
      <c r="B59" s="32" t="s">
        <v>223</v>
      </c>
      <c r="C59" s="33">
        <v>45667.0</v>
      </c>
      <c r="D59" s="34" t="s">
        <v>22</v>
      </c>
      <c r="E59" s="32" t="s">
        <v>224</v>
      </c>
      <c r="F59" s="34" t="s">
        <v>24</v>
      </c>
      <c r="G59" s="34" t="s">
        <v>225</v>
      </c>
      <c r="H59" s="35" t="s">
        <v>26</v>
      </c>
      <c r="I59" s="58" t="str">
        <f>HYPERLINK("https://open.spotify.com/album/7do5quu7X4OAmy7BT2ncHL", "S")</f>
        <v>S</v>
      </c>
      <c r="J59" s="64"/>
      <c r="K59" s="38"/>
      <c r="L59" s="39"/>
      <c r="M59" s="29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6.5" customHeight="1">
      <c r="A60" s="31" t="s">
        <v>226</v>
      </c>
      <c r="B60" s="32" t="s">
        <v>227</v>
      </c>
      <c r="C60" s="33">
        <v>45667.0</v>
      </c>
      <c r="D60" s="34" t="s">
        <v>22</v>
      </c>
      <c r="E60" s="32" t="s">
        <v>122</v>
      </c>
      <c r="F60" s="34" t="s">
        <v>156</v>
      </c>
      <c r="G60" s="34" t="s">
        <v>202</v>
      </c>
      <c r="H60" s="35" t="s">
        <v>26</v>
      </c>
      <c r="I60" s="36" t="str">
        <f>HYPERLINK("https://open.spotify.com/album/6HwmkMIJdxKwa9LVFpIvwD", "S")</f>
        <v>S</v>
      </c>
      <c r="J60" s="37"/>
      <c r="K60" s="38"/>
      <c r="L60" s="39"/>
      <c r="M60" s="29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6.5" customHeight="1">
      <c r="A61" s="31" t="s">
        <v>228</v>
      </c>
      <c r="B61" s="32" t="s">
        <v>229</v>
      </c>
      <c r="C61" s="33">
        <v>45668.0</v>
      </c>
      <c r="D61" s="34" t="s">
        <v>22</v>
      </c>
      <c r="E61" s="32" t="s">
        <v>122</v>
      </c>
      <c r="F61" s="34" t="s">
        <v>230</v>
      </c>
      <c r="G61" s="34" t="s">
        <v>231</v>
      </c>
      <c r="H61" s="35" t="s">
        <v>26</v>
      </c>
      <c r="I61" s="35" t="s">
        <v>27</v>
      </c>
      <c r="J61" s="37"/>
      <c r="K61" s="38"/>
      <c r="L61" s="39"/>
      <c r="M61" s="29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6.5" customHeight="1">
      <c r="A62" s="31" t="s">
        <v>232</v>
      </c>
      <c r="B62" s="32" t="s">
        <v>233</v>
      </c>
      <c r="C62" s="33">
        <v>45668.0</v>
      </c>
      <c r="D62" s="34" t="s">
        <v>22</v>
      </c>
      <c r="E62" s="32" t="s">
        <v>234</v>
      </c>
      <c r="F62" s="34" t="s">
        <v>235</v>
      </c>
      <c r="G62" s="34" t="s">
        <v>231</v>
      </c>
      <c r="H62" s="35" t="s">
        <v>26</v>
      </c>
      <c r="I62" s="35" t="s">
        <v>27</v>
      </c>
      <c r="J62" s="37"/>
      <c r="K62" s="38"/>
      <c r="L62" s="39"/>
      <c r="M62" s="29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6.5" customHeight="1">
      <c r="A63" s="31" t="s">
        <v>236</v>
      </c>
      <c r="B63" s="32" t="s">
        <v>237</v>
      </c>
      <c r="C63" s="33">
        <v>45668.0</v>
      </c>
      <c r="D63" s="34" t="s">
        <v>22</v>
      </c>
      <c r="E63" s="32" t="s">
        <v>238</v>
      </c>
      <c r="F63" s="34" t="s">
        <v>156</v>
      </c>
      <c r="G63" s="34" t="s">
        <v>239</v>
      </c>
      <c r="H63" s="35" t="s">
        <v>26</v>
      </c>
      <c r="I63" s="35" t="s">
        <v>27</v>
      </c>
      <c r="J63" s="35" t="s">
        <v>100</v>
      </c>
      <c r="K63" s="38"/>
      <c r="L63" s="39"/>
      <c r="M63" s="29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6.5" customHeight="1">
      <c r="A64" s="31" t="s">
        <v>240</v>
      </c>
      <c r="B64" s="32" t="s">
        <v>241</v>
      </c>
      <c r="C64" s="33">
        <v>45669.0</v>
      </c>
      <c r="D64" s="34" t="s">
        <v>39</v>
      </c>
      <c r="E64" s="32" t="s">
        <v>242</v>
      </c>
      <c r="F64" s="34" t="s">
        <v>24</v>
      </c>
      <c r="G64" s="34" t="s">
        <v>243</v>
      </c>
      <c r="H64" s="35" t="s">
        <v>26</v>
      </c>
      <c r="I64" s="57"/>
      <c r="J64" s="37"/>
      <c r="K64" s="38"/>
      <c r="L64" s="39"/>
      <c r="M64" s="29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6.5" customHeight="1">
      <c r="A65" s="31" t="s">
        <v>244</v>
      </c>
      <c r="B65" s="32" t="s">
        <v>245</v>
      </c>
      <c r="C65" s="33">
        <v>45669.0</v>
      </c>
      <c r="D65" s="34" t="s">
        <v>22</v>
      </c>
      <c r="E65" s="32" t="s">
        <v>246</v>
      </c>
      <c r="F65" s="34" t="s">
        <v>24</v>
      </c>
      <c r="G65" s="34" t="s">
        <v>62</v>
      </c>
      <c r="H65" s="35" t="s">
        <v>26</v>
      </c>
      <c r="I65" s="35" t="s">
        <v>27</v>
      </c>
      <c r="J65" s="37"/>
      <c r="K65" s="38"/>
      <c r="L65" s="39"/>
      <c r="M65" s="29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6.5" customHeight="1">
      <c r="A66" s="31" t="s">
        <v>247</v>
      </c>
      <c r="B66" s="32" t="s">
        <v>248</v>
      </c>
      <c r="C66" s="33">
        <v>45670.0</v>
      </c>
      <c r="D66" s="34" t="s">
        <v>22</v>
      </c>
      <c r="E66" s="32" t="s">
        <v>176</v>
      </c>
      <c r="F66" s="34" t="s">
        <v>53</v>
      </c>
      <c r="G66" s="34" t="s">
        <v>249</v>
      </c>
      <c r="H66" s="35" t="s">
        <v>26</v>
      </c>
      <c r="I66" s="36" t="str">
        <f>HYPERLINK("https://open.spotify.com/album/1TN6owZxKO9K0AI8J6gU9e", "S")</f>
        <v>S</v>
      </c>
      <c r="J66" s="61" t="s">
        <v>100</v>
      </c>
      <c r="K66" s="38"/>
      <c r="L66" s="39"/>
      <c r="M66" s="29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6.5" customHeight="1">
      <c r="A67" s="31" t="s">
        <v>250</v>
      </c>
      <c r="B67" s="32" t="s">
        <v>251</v>
      </c>
      <c r="C67" s="33">
        <v>45670.0</v>
      </c>
      <c r="D67" s="34" t="s">
        <v>39</v>
      </c>
      <c r="E67" s="32" t="s">
        <v>252</v>
      </c>
      <c r="F67" s="34" t="s">
        <v>24</v>
      </c>
      <c r="G67" s="34" t="s">
        <v>253</v>
      </c>
      <c r="H67" s="35" t="s">
        <v>26</v>
      </c>
      <c r="I67" s="57"/>
      <c r="J67" s="37"/>
      <c r="K67" s="38"/>
      <c r="L67" s="39"/>
      <c r="M67" s="29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6.5" customHeight="1">
      <c r="A68" s="31" t="s">
        <v>254</v>
      </c>
      <c r="B68" s="32" t="s">
        <v>255</v>
      </c>
      <c r="C68" s="45">
        <v>45671.0</v>
      </c>
      <c r="D68" s="34" t="s">
        <v>22</v>
      </c>
      <c r="E68" s="32" t="s">
        <v>256</v>
      </c>
      <c r="F68" s="34" t="s">
        <v>156</v>
      </c>
      <c r="G68" s="34" t="s">
        <v>257</v>
      </c>
      <c r="H68" s="35" t="s">
        <v>26</v>
      </c>
      <c r="I68" s="36" t="str">
        <f>HYPERLINK("https://open.spotify.com/album/1io8F2fyoCgjsPmT00w3l1", "S")</f>
        <v>S</v>
      </c>
      <c r="J68" s="37"/>
      <c r="K68" s="38"/>
      <c r="L68" s="39"/>
      <c r="M68" s="29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6.5" customHeight="1">
      <c r="A69" s="31" t="s">
        <v>258</v>
      </c>
      <c r="B69" s="32" t="s">
        <v>259</v>
      </c>
      <c r="C69" s="33">
        <v>45671.0</v>
      </c>
      <c r="D69" s="34" t="s">
        <v>22</v>
      </c>
      <c r="E69" s="32" t="s">
        <v>260</v>
      </c>
      <c r="F69" s="34" t="s">
        <v>24</v>
      </c>
      <c r="G69" s="34" t="s">
        <v>141</v>
      </c>
      <c r="H69" s="35" t="s">
        <v>26</v>
      </c>
      <c r="I69" s="36" t="str">
        <f>HYPERLINK("https://open.spotify.com/album/31pzeOLclswNyDkupt5Hsm", "S")</f>
        <v>S</v>
      </c>
      <c r="J69" s="64"/>
      <c r="K69" s="38"/>
      <c r="L69" s="39"/>
      <c r="M69" s="29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6.5" customHeight="1">
      <c r="A70" s="31" t="s">
        <v>261</v>
      </c>
      <c r="B70" s="32" t="s">
        <v>262</v>
      </c>
      <c r="C70" s="45">
        <v>45672.0</v>
      </c>
      <c r="D70" s="34" t="s">
        <v>22</v>
      </c>
      <c r="E70" s="32" t="s">
        <v>263</v>
      </c>
      <c r="F70" s="34" t="s">
        <v>53</v>
      </c>
      <c r="G70" s="34" t="s">
        <v>199</v>
      </c>
      <c r="H70" s="35" t="s">
        <v>26</v>
      </c>
      <c r="I70" s="46" t="str">
        <f>HYPERLINK("https://open.spotify.com/album/1rPMzfwjEe1U5y4m2yS6RM", "S")</f>
        <v>S</v>
      </c>
      <c r="J70" s="61" t="s">
        <v>100</v>
      </c>
      <c r="K70" s="38"/>
      <c r="L70" s="39"/>
      <c r="M70" s="29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6.5" customHeight="1">
      <c r="A71" s="31" t="s">
        <v>264</v>
      </c>
      <c r="B71" s="32" t="s">
        <v>265</v>
      </c>
      <c r="C71" s="33">
        <v>45672.0</v>
      </c>
      <c r="D71" s="34" t="s">
        <v>39</v>
      </c>
      <c r="E71" s="32" t="s">
        <v>122</v>
      </c>
      <c r="F71" s="34" t="s">
        <v>31</v>
      </c>
      <c r="G71" s="34" t="s">
        <v>225</v>
      </c>
      <c r="H71" s="57"/>
      <c r="I71" s="36" t="str">
        <f>HYPERLINK("https://open.spotify.com/album/0HmJ84rb79i7vqfdzSeDri", "S")</f>
        <v>S</v>
      </c>
      <c r="J71" s="37"/>
      <c r="K71" s="38"/>
      <c r="L71" s="39"/>
      <c r="M71" s="29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6.5" customHeight="1">
      <c r="A72" s="31" t="s">
        <v>266</v>
      </c>
      <c r="B72" s="32" t="s">
        <v>267</v>
      </c>
      <c r="C72" s="33">
        <v>45672.0</v>
      </c>
      <c r="D72" s="34" t="s">
        <v>22</v>
      </c>
      <c r="E72" s="32" t="s">
        <v>268</v>
      </c>
      <c r="F72" s="34" t="s">
        <v>53</v>
      </c>
      <c r="G72" s="34" t="s">
        <v>269</v>
      </c>
      <c r="H72" s="35" t="s">
        <v>26</v>
      </c>
      <c r="I72" s="36" t="str">
        <f>HYPERLINK("https://open.spotify.com/album/6nDl4eEacyEGJSXclPRr9L", "S")</f>
        <v>S</v>
      </c>
      <c r="J72" s="64"/>
      <c r="K72" s="38"/>
      <c r="L72" s="39"/>
      <c r="M72" s="29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6.5" customHeight="1">
      <c r="A73" s="31" t="s">
        <v>270</v>
      </c>
      <c r="B73" s="32" t="s">
        <v>271</v>
      </c>
      <c r="C73" s="33">
        <v>45673.0</v>
      </c>
      <c r="D73" s="34" t="s">
        <v>22</v>
      </c>
      <c r="E73" s="32" t="s">
        <v>168</v>
      </c>
      <c r="F73" s="34" t="s">
        <v>24</v>
      </c>
      <c r="G73" s="34" t="s">
        <v>272</v>
      </c>
      <c r="H73" s="35" t="s">
        <v>26</v>
      </c>
      <c r="I73" s="46" t="s">
        <v>27</v>
      </c>
      <c r="J73" s="61" t="s">
        <v>100</v>
      </c>
      <c r="K73" s="38"/>
      <c r="L73" s="39"/>
      <c r="M73" s="29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6.5" customHeight="1">
      <c r="A74" s="67" t="s">
        <v>273</v>
      </c>
      <c r="B74" s="67" t="s">
        <v>273</v>
      </c>
      <c r="C74" s="45">
        <v>45673.0</v>
      </c>
      <c r="D74" s="68" t="s">
        <v>22</v>
      </c>
      <c r="E74" s="32" t="s">
        <v>274</v>
      </c>
      <c r="F74" s="34" t="s">
        <v>24</v>
      </c>
      <c r="G74" s="34" t="s">
        <v>275</v>
      </c>
      <c r="H74" s="35" t="str">
        <f>HYPERLINK("https://centipedeabyss.bandcamp.com/album/pillar-amongst-willows", "BC")</f>
        <v>BC</v>
      </c>
      <c r="I74" s="60"/>
      <c r="J74" s="37"/>
      <c r="K74" s="38"/>
      <c r="L74" s="39"/>
      <c r="M74" s="29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6.5" customHeight="1">
      <c r="A75" s="31" t="s">
        <v>276</v>
      </c>
      <c r="B75" s="32" t="s">
        <v>277</v>
      </c>
      <c r="C75" s="33">
        <v>45673.0</v>
      </c>
      <c r="D75" s="47" t="s">
        <v>39</v>
      </c>
      <c r="E75" s="32" t="s">
        <v>278</v>
      </c>
      <c r="F75" s="34" t="s">
        <v>24</v>
      </c>
      <c r="G75" s="34" t="s">
        <v>279</v>
      </c>
      <c r="H75" s="35" t="s">
        <v>26</v>
      </c>
      <c r="I75" s="57"/>
      <c r="J75" s="35" t="s">
        <v>100</v>
      </c>
      <c r="K75" s="38"/>
      <c r="L75" s="39"/>
      <c r="M75" s="29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6.5" customHeight="1">
      <c r="A76" s="31" t="s">
        <v>280</v>
      </c>
      <c r="B76" s="32" t="s">
        <v>281</v>
      </c>
      <c r="C76" s="33">
        <v>45674.0</v>
      </c>
      <c r="D76" s="34" t="s">
        <v>39</v>
      </c>
      <c r="E76" s="32" t="s">
        <v>122</v>
      </c>
      <c r="F76" s="34" t="s">
        <v>156</v>
      </c>
      <c r="G76" s="34" t="s">
        <v>96</v>
      </c>
      <c r="H76" s="66"/>
      <c r="I76" s="35" t="s">
        <v>27</v>
      </c>
      <c r="J76" s="57"/>
      <c r="K76" s="38"/>
      <c r="L76" s="39"/>
      <c r="M76" s="29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6.5" customHeight="1">
      <c r="A77" s="32" t="s">
        <v>282</v>
      </c>
      <c r="B77" s="32" t="s">
        <v>283</v>
      </c>
      <c r="C77" s="59">
        <v>45674.0</v>
      </c>
      <c r="D77" s="34" t="s">
        <v>22</v>
      </c>
      <c r="E77" s="32" t="s">
        <v>284</v>
      </c>
      <c r="F77" s="34" t="s">
        <v>24</v>
      </c>
      <c r="G77" s="34" t="s">
        <v>285</v>
      </c>
      <c r="H77" s="35" t="s">
        <v>26</v>
      </c>
      <c r="I77" s="46" t="s">
        <v>27</v>
      </c>
      <c r="J77" s="37"/>
      <c r="K77" s="38"/>
      <c r="L77" s="39"/>
      <c r="M77" s="29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6.5" customHeight="1">
      <c r="A78" s="31" t="s">
        <v>286</v>
      </c>
      <c r="B78" s="32" t="s">
        <v>287</v>
      </c>
      <c r="C78" s="33">
        <v>45674.0</v>
      </c>
      <c r="D78" s="34" t="s">
        <v>39</v>
      </c>
      <c r="E78" s="32" t="s">
        <v>136</v>
      </c>
      <c r="F78" s="34" t="s">
        <v>53</v>
      </c>
      <c r="G78" s="34" t="s">
        <v>288</v>
      </c>
      <c r="H78" s="57"/>
      <c r="I78" s="35" t="s">
        <v>27</v>
      </c>
      <c r="J78" s="37"/>
      <c r="K78" s="38"/>
      <c r="L78" s="39"/>
      <c r="M78" s="29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6.5" customHeight="1">
      <c r="A79" s="31" t="s">
        <v>289</v>
      </c>
      <c r="B79" s="32" t="s">
        <v>290</v>
      </c>
      <c r="C79" s="45">
        <v>45674.0</v>
      </c>
      <c r="D79" s="34" t="s">
        <v>22</v>
      </c>
      <c r="E79" s="32" t="s">
        <v>291</v>
      </c>
      <c r="F79" s="34" t="s">
        <v>31</v>
      </c>
      <c r="G79" s="34" t="s">
        <v>292</v>
      </c>
      <c r="H79" s="35" t="s">
        <v>26</v>
      </c>
      <c r="I79" s="35" t="s">
        <v>27</v>
      </c>
      <c r="J79" s="37"/>
      <c r="K79" s="38"/>
      <c r="L79" s="39"/>
      <c r="M79" s="29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6.5" customHeight="1">
      <c r="A80" s="32" t="s">
        <v>293</v>
      </c>
      <c r="B80" s="32" t="s">
        <v>293</v>
      </c>
      <c r="C80" s="45">
        <v>45674.0</v>
      </c>
      <c r="D80" s="68" t="s">
        <v>22</v>
      </c>
      <c r="E80" s="32" t="s">
        <v>294</v>
      </c>
      <c r="F80" s="34" t="s">
        <v>24</v>
      </c>
      <c r="G80" s="34" t="s">
        <v>295</v>
      </c>
      <c r="H80" s="35" t="str">
        <f>HYPERLINK("https://hierarchiesdm.bandcamp.com/album/hierarchies", "BC")</f>
        <v>BC</v>
      </c>
      <c r="I80" s="46" t="str">
        <f>HYPERLINK("https://open.spotify.com/album/5PNjl94rw6FCDFlo8ajchy", "S")</f>
        <v>S</v>
      </c>
      <c r="J80" s="61" t="s">
        <v>100</v>
      </c>
      <c r="K80" s="38"/>
      <c r="L80" s="39"/>
      <c r="M80" s="29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6.5" customHeight="1">
      <c r="A81" s="32" t="s">
        <v>296</v>
      </c>
      <c r="B81" s="32" t="s">
        <v>297</v>
      </c>
      <c r="C81" s="45">
        <v>45674.0</v>
      </c>
      <c r="D81" s="68" t="s">
        <v>22</v>
      </c>
      <c r="E81" s="32" t="s">
        <v>298</v>
      </c>
      <c r="F81" s="34" t="s">
        <v>53</v>
      </c>
      <c r="G81" s="34" t="s">
        <v>299</v>
      </c>
      <c r="H81" s="35" t="str">
        <f>HYPERLINK("https://shedfromthebody.bandcamp.com/album/whisper-and-wane", "BC")</f>
        <v>BC</v>
      </c>
      <c r="I81" s="35" t="s">
        <v>27</v>
      </c>
      <c r="J81" s="37"/>
      <c r="K81" s="38"/>
      <c r="L81" s="39"/>
      <c r="M81" s="29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6.5" customHeight="1">
      <c r="A82" s="32" t="s">
        <v>300</v>
      </c>
      <c r="B82" s="32" t="s">
        <v>300</v>
      </c>
      <c r="C82" s="45">
        <v>45674.0</v>
      </c>
      <c r="D82" s="68" t="s">
        <v>22</v>
      </c>
      <c r="E82" s="32" t="s">
        <v>301</v>
      </c>
      <c r="F82" s="34" t="s">
        <v>53</v>
      </c>
      <c r="G82" s="34" t="s">
        <v>302</v>
      </c>
      <c r="H82" s="35" t="str">
        <f>HYPERLINK("https://lastforestrain.bandcamp.com/album/last-forest-rain", "BC")</f>
        <v>BC</v>
      </c>
      <c r="I82" s="46" t="s">
        <v>27</v>
      </c>
      <c r="J82" s="37"/>
      <c r="K82" s="38"/>
      <c r="L82" s="39"/>
      <c r="M82" s="29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6.5" customHeight="1">
      <c r="A83" s="32" t="s">
        <v>303</v>
      </c>
      <c r="B83" s="32" t="s">
        <v>304</v>
      </c>
      <c r="C83" s="45">
        <v>45674.0</v>
      </c>
      <c r="D83" s="68" t="s">
        <v>39</v>
      </c>
      <c r="E83" s="32" t="s">
        <v>305</v>
      </c>
      <c r="F83" s="34" t="s">
        <v>53</v>
      </c>
      <c r="G83" s="34" t="s">
        <v>306</v>
      </c>
      <c r="H83" s="35" t="s">
        <v>26</v>
      </c>
      <c r="I83" s="46" t="s">
        <v>27</v>
      </c>
      <c r="J83" s="37"/>
      <c r="K83" s="38"/>
      <c r="L83" s="39"/>
      <c r="M83" s="29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6.5" customHeight="1">
      <c r="A84" s="32" t="s">
        <v>307</v>
      </c>
      <c r="B84" s="32" t="s">
        <v>308</v>
      </c>
      <c r="C84" s="45">
        <v>45674.0</v>
      </c>
      <c r="D84" s="47" t="s">
        <v>22</v>
      </c>
      <c r="E84" s="32" t="s">
        <v>309</v>
      </c>
      <c r="F84" s="34" t="s">
        <v>53</v>
      </c>
      <c r="G84" s="34" t="s">
        <v>196</v>
      </c>
      <c r="H84" s="35" t="str">
        <f>HYPERLINK("https://vertexmetal.bandcamp.com/album/the-purest-light", "BC")</f>
        <v>BC</v>
      </c>
      <c r="I84" s="46" t="s">
        <v>27</v>
      </c>
      <c r="J84" s="61" t="s">
        <v>100</v>
      </c>
      <c r="K84" s="38"/>
      <c r="L84" s="39"/>
      <c r="M84" s="29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310</v>
      </c>
      <c r="B85" s="32" t="s">
        <v>311</v>
      </c>
      <c r="C85" s="45">
        <v>45674.0</v>
      </c>
      <c r="D85" s="34" t="s">
        <v>22</v>
      </c>
      <c r="E85" s="32" t="s">
        <v>312</v>
      </c>
      <c r="F85" s="34" t="s">
        <v>53</v>
      </c>
      <c r="G85" s="34" t="s">
        <v>78</v>
      </c>
      <c r="H85" s="66"/>
      <c r="I85" s="46" t="s">
        <v>27</v>
      </c>
      <c r="J85" s="37"/>
      <c r="K85" s="66"/>
      <c r="L85" s="42"/>
      <c r="M85" s="29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313</v>
      </c>
      <c r="B86" s="32" t="s">
        <v>314</v>
      </c>
      <c r="C86" s="45">
        <v>45674.0</v>
      </c>
      <c r="D86" s="47" t="s">
        <v>22</v>
      </c>
      <c r="E86" s="32" t="s">
        <v>160</v>
      </c>
      <c r="F86" s="34" t="s">
        <v>53</v>
      </c>
      <c r="G86" s="34" t="s">
        <v>315</v>
      </c>
      <c r="H86" s="35" t="s">
        <v>26</v>
      </c>
      <c r="I86" s="46" t="s">
        <v>27</v>
      </c>
      <c r="J86" s="61" t="s">
        <v>100</v>
      </c>
      <c r="K86" s="66"/>
      <c r="L86" s="42"/>
      <c r="M86" s="29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316</v>
      </c>
      <c r="B87" s="32" t="s">
        <v>317</v>
      </c>
      <c r="C87" s="45">
        <v>45674.0</v>
      </c>
      <c r="D87" s="34" t="s">
        <v>39</v>
      </c>
      <c r="E87" s="32" t="s">
        <v>318</v>
      </c>
      <c r="F87" s="34" t="s">
        <v>24</v>
      </c>
      <c r="G87" s="34" t="s">
        <v>141</v>
      </c>
      <c r="H87" s="35" t="s">
        <v>26</v>
      </c>
      <c r="I87" s="46" t="s">
        <v>27</v>
      </c>
      <c r="J87" s="35" t="s">
        <v>100</v>
      </c>
      <c r="K87" s="66"/>
      <c r="L87" s="42"/>
      <c r="M87" s="29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319</v>
      </c>
      <c r="B88" s="32" t="s">
        <v>320</v>
      </c>
      <c r="C88" s="45">
        <v>45674.0</v>
      </c>
      <c r="D88" s="34" t="s">
        <v>22</v>
      </c>
      <c r="E88" s="32" t="s">
        <v>321</v>
      </c>
      <c r="F88" s="34" t="s">
        <v>156</v>
      </c>
      <c r="G88" s="34" t="s">
        <v>322</v>
      </c>
      <c r="H88" s="35" t="s">
        <v>26</v>
      </c>
      <c r="I88" s="46" t="s">
        <v>27</v>
      </c>
      <c r="J88" s="66"/>
      <c r="K88" s="66"/>
      <c r="L88" s="42"/>
      <c r="M88" s="29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1" t="s">
        <v>323</v>
      </c>
      <c r="B89" s="32" t="s">
        <v>324</v>
      </c>
      <c r="C89" s="45">
        <v>45674.0</v>
      </c>
      <c r="D89" s="47" t="s">
        <v>22</v>
      </c>
      <c r="E89" s="32" t="s">
        <v>325</v>
      </c>
      <c r="F89" s="34" t="s">
        <v>156</v>
      </c>
      <c r="G89" s="34" t="s">
        <v>299</v>
      </c>
      <c r="H89" s="35" t="s">
        <v>26</v>
      </c>
      <c r="I89" s="46" t="s">
        <v>27</v>
      </c>
      <c r="J89" s="37"/>
      <c r="K89" s="66"/>
      <c r="L89" s="42"/>
      <c r="M89" s="29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326</v>
      </c>
      <c r="B90" s="32" t="s">
        <v>327</v>
      </c>
      <c r="C90" s="45">
        <v>45674.0</v>
      </c>
      <c r="D90" s="34" t="s">
        <v>22</v>
      </c>
      <c r="E90" s="32" t="s">
        <v>328</v>
      </c>
      <c r="F90" s="34" t="s">
        <v>31</v>
      </c>
      <c r="G90" s="34" t="s">
        <v>199</v>
      </c>
      <c r="H90" s="35" t="s">
        <v>26</v>
      </c>
      <c r="I90" s="46" t="s">
        <v>27</v>
      </c>
      <c r="J90" s="37"/>
      <c r="K90" s="66"/>
      <c r="L90" s="42"/>
      <c r="M90" s="29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329</v>
      </c>
      <c r="B91" s="32" t="s">
        <v>330</v>
      </c>
      <c r="C91" s="45">
        <v>45674.0</v>
      </c>
      <c r="D91" s="34" t="s">
        <v>22</v>
      </c>
      <c r="E91" s="32" t="s">
        <v>331</v>
      </c>
      <c r="F91" s="34" t="s">
        <v>156</v>
      </c>
      <c r="G91" s="34" t="s">
        <v>332</v>
      </c>
      <c r="H91" s="35" t="s">
        <v>26</v>
      </c>
      <c r="I91" s="46" t="s">
        <v>27</v>
      </c>
      <c r="J91" s="37"/>
      <c r="K91" s="66"/>
      <c r="L91" s="42"/>
      <c r="M91" s="29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333</v>
      </c>
      <c r="B92" s="32" t="s">
        <v>334</v>
      </c>
      <c r="C92" s="45">
        <v>45674.0</v>
      </c>
      <c r="D92" s="34" t="s">
        <v>22</v>
      </c>
      <c r="E92" s="32" t="s">
        <v>335</v>
      </c>
      <c r="F92" s="34" t="s">
        <v>24</v>
      </c>
      <c r="G92" s="34" t="s">
        <v>336</v>
      </c>
      <c r="H92" s="35" t="s">
        <v>26</v>
      </c>
      <c r="I92" s="46" t="s">
        <v>27</v>
      </c>
      <c r="J92" s="37"/>
      <c r="K92" s="66"/>
      <c r="L92" s="42"/>
      <c r="M92" s="29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337</v>
      </c>
      <c r="B93" s="32" t="s">
        <v>338</v>
      </c>
      <c r="C93" s="45">
        <v>45674.0</v>
      </c>
      <c r="D93" s="34" t="s">
        <v>22</v>
      </c>
      <c r="E93" s="32" t="s">
        <v>160</v>
      </c>
      <c r="F93" s="34" t="s">
        <v>53</v>
      </c>
      <c r="G93" s="34" t="s">
        <v>339</v>
      </c>
      <c r="H93" s="35" t="s">
        <v>26</v>
      </c>
      <c r="I93" s="46" t="s">
        <v>27</v>
      </c>
      <c r="J93" s="66"/>
      <c r="K93" s="66"/>
      <c r="L93" s="42"/>
      <c r="M93" s="29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340</v>
      </c>
      <c r="B94" s="32" t="s">
        <v>341</v>
      </c>
      <c r="C94" s="45">
        <v>45674.0</v>
      </c>
      <c r="D94" s="34" t="s">
        <v>22</v>
      </c>
      <c r="E94" s="32" t="s">
        <v>73</v>
      </c>
      <c r="F94" s="34" t="s">
        <v>24</v>
      </c>
      <c r="G94" s="34" t="s">
        <v>342</v>
      </c>
      <c r="H94" s="35" t="s">
        <v>26</v>
      </c>
      <c r="I94" s="46" t="s">
        <v>27</v>
      </c>
      <c r="J94" s="35" t="s">
        <v>100</v>
      </c>
      <c r="K94" s="66"/>
      <c r="L94" s="42"/>
      <c r="M94" s="29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343</v>
      </c>
      <c r="B95" s="32" t="s">
        <v>344</v>
      </c>
      <c r="C95" s="45">
        <v>45674.0</v>
      </c>
      <c r="D95" s="34" t="s">
        <v>22</v>
      </c>
      <c r="E95" s="32" t="s">
        <v>73</v>
      </c>
      <c r="F95" s="34" t="s">
        <v>24</v>
      </c>
      <c r="G95" s="34" t="s">
        <v>257</v>
      </c>
      <c r="H95" s="35" t="s">
        <v>26</v>
      </c>
      <c r="I95" s="46" t="str">
        <f>HYPERLINK("https://open.spotify.com/album/0u4BoGz01RzgmB83eqwGpX", "S")</f>
        <v>S</v>
      </c>
      <c r="J95" s="35" t="s">
        <v>100</v>
      </c>
      <c r="K95" s="66"/>
      <c r="L95" s="42"/>
      <c r="M95" s="29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1" t="s">
        <v>345</v>
      </c>
      <c r="B96" s="32" t="s">
        <v>346</v>
      </c>
      <c r="C96" s="45">
        <v>45674.0</v>
      </c>
      <c r="D96" s="34" t="s">
        <v>22</v>
      </c>
      <c r="E96" s="32" t="s">
        <v>347</v>
      </c>
      <c r="F96" s="34" t="s">
        <v>24</v>
      </c>
      <c r="G96" s="34" t="s">
        <v>348</v>
      </c>
      <c r="H96" s="35" t="s">
        <v>26</v>
      </c>
      <c r="I96" s="46" t="s">
        <v>27</v>
      </c>
      <c r="J96" s="66"/>
      <c r="K96" s="66"/>
      <c r="L96" s="42"/>
      <c r="M96" s="29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349</v>
      </c>
      <c r="B97" s="32" t="s">
        <v>350</v>
      </c>
      <c r="C97" s="45">
        <v>45674.0</v>
      </c>
      <c r="D97" s="47" t="s">
        <v>39</v>
      </c>
      <c r="E97" s="32" t="s">
        <v>351</v>
      </c>
      <c r="F97" s="34" t="s">
        <v>24</v>
      </c>
      <c r="G97" s="34" t="s">
        <v>352</v>
      </c>
      <c r="H97" s="35" t="s">
        <v>26</v>
      </c>
      <c r="I97" s="46" t="s">
        <v>27</v>
      </c>
      <c r="J97" s="35" t="s">
        <v>100</v>
      </c>
      <c r="K97" s="66"/>
      <c r="L97" s="42"/>
      <c r="M97" s="29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353</v>
      </c>
      <c r="B98" s="32" t="s">
        <v>354</v>
      </c>
      <c r="C98" s="33">
        <v>45674.0</v>
      </c>
      <c r="D98" s="69" t="s">
        <v>22</v>
      </c>
      <c r="E98" s="32" t="s">
        <v>355</v>
      </c>
      <c r="F98" s="34" t="s">
        <v>53</v>
      </c>
      <c r="G98" s="34" t="s">
        <v>356</v>
      </c>
      <c r="H98" s="35" t="s">
        <v>26</v>
      </c>
      <c r="I98" s="46" t="s">
        <v>27</v>
      </c>
      <c r="J98" s="66"/>
      <c r="K98" s="66"/>
      <c r="L98" s="42"/>
      <c r="M98" s="29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357</v>
      </c>
      <c r="B99" s="32" t="s">
        <v>358</v>
      </c>
      <c r="C99" s="33">
        <v>45674.0</v>
      </c>
      <c r="D99" s="47" t="s">
        <v>39</v>
      </c>
      <c r="E99" s="32" t="s">
        <v>61</v>
      </c>
      <c r="F99" s="34" t="s">
        <v>24</v>
      </c>
      <c r="G99" s="34" t="s">
        <v>202</v>
      </c>
      <c r="H99" s="35" t="s">
        <v>26</v>
      </c>
      <c r="I99" s="60"/>
      <c r="J99" s="66"/>
      <c r="K99" s="66"/>
      <c r="L99" s="42"/>
      <c r="M99" s="29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359</v>
      </c>
      <c r="B100" s="32" t="s">
        <v>360</v>
      </c>
      <c r="C100" s="33">
        <v>45674.0</v>
      </c>
      <c r="D100" s="34" t="s">
        <v>22</v>
      </c>
      <c r="E100" s="32" t="s">
        <v>192</v>
      </c>
      <c r="F100" s="34" t="s">
        <v>156</v>
      </c>
      <c r="G100" s="34" t="s">
        <v>361</v>
      </c>
      <c r="H100" s="35" t="s">
        <v>26</v>
      </c>
      <c r="I100" s="46" t="s">
        <v>27</v>
      </c>
      <c r="J100" s="66"/>
      <c r="K100" s="66"/>
      <c r="L100" s="42"/>
      <c r="M100" s="29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362</v>
      </c>
      <c r="B101" s="32" t="s">
        <v>363</v>
      </c>
      <c r="C101" s="33">
        <v>45674.0</v>
      </c>
      <c r="D101" s="34" t="s">
        <v>39</v>
      </c>
      <c r="E101" s="32" t="s">
        <v>364</v>
      </c>
      <c r="F101" s="34" t="s">
        <v>24</v>
      </c>
      <c r="G101" s="34" t="s">
        <v>365</v>
      </c>
      <c r="H101" s="35" t="s">
        <v>26</v>
      </c>
      <c r="I101" s="46" t="s">
        <v>27</v>
      </c>
      <c r="J101" s="66"/>
      <c r="K101" s="66"/>
      <c r="L101" s="42"/>
      <c r="M101" s="29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366</v>
      </c>
      <c r="B102" s="32" t="s">
        <v>367</v>
      </c>
      <c r="C102" s="33">
        <v>45674.0</v>
      </c>
      <c r="D102" s="34" t="s">
        <v>22</v>
      </c>
      <c r="E102" s="32" t="s">
        <v>98</v>
      </c>
      <c r="F102" s="34" t="s">
        <v>53</v>
      </c>
      <c r="G102" s="34" t="s">
        <v>257</v>
      </c>
      <c r="H102" s="35" t="s">
        <v>26</v>
      </c>
      <c r="I102" s="46" t="s">
        <v>27</v>
      </c>
      <c r="J102" s="65"/>
      <c r="K102" s="66"/>
      <c r="L102" s="42"/>
      <c r="M102" s="29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368</v>
      </c>
      <c r="B103" s="32" t="s">
        <v>369</v>
      </c>
      <c r="C103" s="33">
        <v>45674.0</v>
      </c>
      <c r="D103" s="47" t="s">
        <v>39</v>
      </c>
      <c r="E103" s="32" t="s">
        <v>370</v>
      </c>
      <c r="F103" s="34" t="s">
        <v>53</v>
      </c>
      <c r="G103" s="34" t="s">
        <v>371</v>
      </c>
      <c r="H103" s="35" t="s">
        <v>26</v>
      </c>
      <c r="I103" s="36" t="str">
        <f>HYPERLINK("https://open.spotify.com/album/1NQ1BCi0FrRlsi8M5VyVji", "S")</f>
        <v>S</v>
      </c>
      <c r="J103" s="65"/>
      <c r="K103" s="38"/>
      <c r="L103" s="39"/>
      <c r="M103" s="29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372</v>
      </c>
      <c r="B104" s="32" t="s">
        <v>373</v>
      </c>
      <c r="C104" s="33">
        <v>45674.0</v>
      </c>
      <c r="D104" s="34" t="s">
        <v>39</v>
      </c>
      <c r="E104" s="32" t="s">
        <v>374</v>
      </c>
      <c r="F104" s="34" t="s">
        <v>24</v>
      </c>
      <c r="G104" s="34" t="s">
        <v>375</v>
      </c>
      <c r="H104" s="35" t="s">
        <v>26</v>
      </c>
      <c r="I104" s="35" t="s">
        <v>27</v>
      </c>
      <c r="J104" s="65"/>
      <c r="K104" s="66"/>
      <c r="L104" s="42"/>
      <c r="M104" s="29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376</v>
      </c>
      <c r="B105" s="32" t="s">
        <v>377</v>
      </c>
      <c r="C105" s="33">
        <v>45674.0</v>
      </c>
      <c r="D105" s="34" t="s">
        <v>22</v>
      </c>
      <c r="E105" s="32" t="s">
        <v>378</v>
      </c>
      <c r="F105" s="34" t="s">
        <v>156</v>
      </c>
      <c r="G105" s="34" t="s">
        <v>379</v>
      </c>
      <c r="H105" s="35" t="s">
        <v>26</v>
      </c>
      <c r="I105" s="46" t="s">
        <v>27</v>
      </c>
      <c r="J105" s="66"/>
      <c r="K105" s="66"/>
      <c r="L105" s="42"/>
      <c r="M105" s="29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380</v>
      </c>
      <c r="B106" s="32" t="s">
        <v>381</v>
      </c>
      <c r="C106" s="33">
        <v>45674.0</v>
      </c>
      <c r="D106" s="34" t="s">
        <v>22</v>
      </c>
      <c r="E106" s="32" t="s">
        <v>382</v>
      </c>
      <c r="F106" s="34" t="s">
        <v>156</v>
      </c>
      <c r="G106" s="34" t="s">
        <v>383</v>
      </c>
      <c r="H106" s="35" t="s">
        <v>26</v>
      </c>
      <c r="I106" s="35" t="s">
        <v>27</v>
      </c>
      <c r="J106" s="57"/>
      <c r="K106" s="66"/>
      <c r="L106" s="42"/>
      <c r="M106" s="29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384</v>
      </c>
      <c r="B107" s="32" t="s">
        <v>385</v>
      </c>
      <c r="C107" s="33">
        <v>45677.0</v>
      </c>
      <c r="D107" s="34" t="s">
        <v>39</v>
      </c>
      <c r="E107" s="32" t="s">
        <v>335</v>
      </c>
      <c r="F107" s="34" t="s">
        <v>24</v>
      </c>
      <c r="G107" s="34" t="s">
        <v>386</v>
      </c>
      <c r="H107" s="35" t="s">
        <v>26</v>
      </c>
      <c r="I107" s="46" t="str">
        <f>HYPERLINK("https://open.spotify.com/album/0YsqsWwPXYNspR1smqiFID", "S")</f>
        <v>S</v>
      </c>
      <c r="J107" s="66"/>
      <c r="K107" s="66"/>
      <c r="L107" s="42"/>
      <c r="M107" s="29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387</v>
      </c>
      <c r="B108" s="32" t="s">
        <v>388</v>
      </c>
      <c r="C108" s="33">
        <v>45677.0</v>
      </c>
      <c r="D108" s="34" t="s">
        <v>22</v>
      </c>
      <c r="E108" s="32" t="s">
        <v>389</v>
      </c>
      <c r="F108" s="34" t="s">
        <v>53</v>
      </c>
      <c r="G108" s="34" t="s">
        <v>196</v>
      </c>
      <c r="H108" s="35" t="s">
        <v>26</v>
      </c>
      <c r="I108" s="57"/>
      <c r="J108" s="66"/>
      <c r="K108" s="66"/>
      <c r="L108" s="42"/>
      <c r="M108" s="29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390</v>
      </c>
      <c r="B109" s="32" t="s">
        <v>391</v>
      </c>
      <c r="C109" s="33">
        <v>45677.0</v>
      </c>
      <c r="D109" s="34" t="s">
        <v>22</v>
      </c>
      <c r="E109" s="32" t="s">
        <v>61</v>
      </c>
      <c r="F109" s="34" t="s">
        <v>24</v>
      </c>
      <c r="G109" s="34" t="s">
        <v>249</v>
      </c>
      <c r="H109" s="35" t="s">
        <v>26</v>
      </c>
      <c r="I109" s="36" t="str">
        <f>HYPERLINK("https://open.spotify.com/album/44LU2mky1CBVrWuO2ODsXY", "S")</f>
        <v>S</v>
      </c>
      <c r="J109" s="57"/>
      <c r="K109" s="66"/>
      <c r="L109" s="42"/>
      <c r="M109" s="29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392</v>
      </c>
      <c r="B110" s="32" t="s">
        <v>393</v>
      </c>
      <c r="C110" s="33">
        <v>45678.0</v>
      </c>
      <c r="D110" s="34" t="s">
        <v>22</v>
      </c>
      <c r="E110" s="32" t="s">
        <v>284</v>
      </c>
      <c r="F110" s="34" t="s">
        <v>24</v>
      </c>
      <c r="G110" s="34" t="s">
        <v>394</v>
      </c>
      <c r="H110" s="35" t="s">
        <v>26</v>
      </c>
      <c r="I110" s="46" t="s">
        <v>27</v>
      </c>
      <c r="J110" s="35" t="s">
        <v>100</v>
      </c>
      <c r="K110" s="66"/>
      <c r="L110" s="42"/>
      <c r="M110" s="29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395</v>
      </c>
      <c r="B111" s="32" t="s">
        <v>396</v>
      </c>
      <c r="C111" s="33">
        <v>45678.0</v>
      </c>
      <c r="D111" s="47" t="s">
        <v>22</v>
      </c>
      <c r="E111" s="32" t="s">
        <v>397</v>
      </c>
      <c r="F111" s="34" t="s">
        <v>31</v>
      </c>
      <c r="G111" s="34" t="s">
        <v>398</v>
      </c>
      <c r="H111" s="35" t="s">
        <v>26</v>
      </c>
      <c r="I111" s="60"/>
      <c r="J111" s="66"/>
      <c r="K111" s="66"/>
      <c r="L111" s="42"/>
      <c r="M111" s="29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399</v>
      </c>
      <c r="B112" s="32" t="s">
        <v>400</v>
      </c>
      <c r="C112" s="33">
        <v>45679.0</v>
      </c>
      <c r="D112" s="34" t="s">
        <v>39</v>
      </c>
      <c r="E112" s="32" t="s">
        <v>401</v>
      </c>
      <c r="F112" s="34" t="s">
        <v>156</v>
      </c>
      <c r="G112" s="34" t="s">
        <v>169</v>
      </c>
      <c r="H112" s="35" t="s">
        <v>26</v>
      </c>
      <c r="I112" s="35" t="s">
        <v>27</v>
      </c>
      <c r="J112" s="57"/>
      <c r="K112" s="66"/>
      <c r="L112" s="42"/>
      <c r="M112" s="29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402</v>
      </c>
      <c r="B113" s="32" t="s">
        <v>402</v>
      </c>
      <c r="C113" s="33">
        <v>45679.0</v>
      </c>
      <c r="D113" s="47" t="s">
        <v>39</v>
      </c>
      <c r="E113" s="32" t="s">
        <v>122</v>
      </c>
      <c r="F113" s="34" t="s">
        <v>156</v>
      </c>
      <c r="G113" s="34" t="s">
        <v>403</v>
      </c>
      <c r="H113" s="35" t="s">
        <v>26</v>
      </c>
      <c r="I113" s="35" t="s">
        <v>27</v>
      </c>
      <c r="J113" s="57"/>
      <c r="K113" s="66"/>
      <c r="L113" s="42"/>
      <c r="M113" s="29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404</v>
      </c>
      <c r="B114" s="32" t="s">
        <v>405</v>
      </c>
      <c r="C114" s="45">
        <v>45680.0</v>
      </c>
      <c r="D114" s="47" t="s">
        <v>39</v>
      </c>
      <c r="E114" s="32" t="s">
        <v>406</v>
      </c>
      <c r="F114" s="34" t="s">
        <v>24</v>
      </c>
      <c r="G114" s="34" t="s">
        <v>407</v>
      </c>
      <c r="H114" s="35" t="s">
        <v>26</v>
      </c>
      <c r="I114" s="46" t="str">
        <f>HYPERLINK("https://open.spotify.com/album/6rMFLwn8LH9G2K8HGcTFiN", "S")</f>
        <v>S</v>
      </c>
      <c r="J114" s="38"/>
      <c r="K114" s="66"/>
      <c r="L114" s="42"/>
      <c r="M114" s="29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70" t="s">
        <v>408</v>
      </c>
      <c r="B115" s="71" t="s">
        <v>409</v>
      </c>
      <c r="C115" s="72">
        <v>45680.0</v>
      </c>
      <c r="D115" s="73" t="s">
        <v>22</v>
      </c>
      <c r="E115" s="71" t="s">
        <v>370</v>
      </c>
      <c r="F115" s="74" t="s">
        <v>53</v>
      </c>
      <c r="G115" s="75" t="s">
        <v>410</v>
      </c>
      <c r="H115" s="76" t="s">
        <v>26</v>
      </c>
      <c r="I115" s="36" t="str">
        <f>HYPERLINK("https://open.spotify.com/album/3RKG9mujQeXg7AeLu20N0K", "S")</f>
        <v>S</v>
      </c>
      <c r="J115" s="57"/>
      <c r="K115" s="66"/>
      <c r="L115" s="42"/>
      <c r="M115" s="29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411</v>
      </c>
      <c r="B116" s="32" t="s">
        <v>412</v>
      </c>
      <c r="C116" s="33">
        <v>45681.0</v>
      </c>
      <c r="D116" s="34" t="s">
        <v>22</v>
      </c>
      <c r="E116" s="32" t="s">
        <v>122</v>
      </c>
      <c r="F116" s="34" t="s">
        <v>53</v>
      </c>
      <c r="G116" s="34" t="s">
        <v>413</v>
      </c>
      <c r="H116" s="35" t="s">
        <v>26</v>
      </c>
      <c r="I116" s="36" t="str">
        <f>HYPERLINK("https://open.spotify.com/album/6lgUjDyzJSqowxCPer8pNt", "S")</f>
        <v>S</v>
      </c>
      <c r="J116" s="57"/>
      <c r="K116" s="66"/>
      <c r="L116" s="42"/>
      <c r="M116" s="29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1" t="s">
        <v>414</v>
      </c>
      <c r="B117" s="32" t="s">
        <v>415</v>
      </c>
      <c r="C117" s="33">
        <v>45681.0</v>
      </c>
      <c r="D117" s="34" t="s">
        <v>22</v>
      </c>
      <c r="E117" s="32" t="s">
        <v>416</v>
      </c>
      <c r="F117" s="34" t="s">
        <v>24</v>
      </c>
      <c r="G117" s="34" t="s">
        <v>417</v>
      </c>
      <c r="H117" s="35" t="s">
        <v>26</v>
      </c>
      <c r="I117" s="35" t="s">
        <v>27</v>
      </c>
      <c r="J117" s="57"/>
      <c r="K117" s="66"/>
      <c r="L117" s="42"/>
      <c r="M117" s="29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s">
        <v>418</v>
      </c>
      <c r="B118" s="32" t="s">
        <v>419</v>
      </c>
      <c r="C118" s="33">
        <v>45681.0</v>
      </c>
      <c r="D118" s="34" t="s">
        <v>39</v>
      </c>
      <c r="E118" s="32" t="s">
        <v>420</v>
      </c>
      <c r="F118" s="34" t="s">
        <v>24</v>
      </c>
      <c r="G118" s="34" t="s">
        <v>54</v>
      </c>
      <c r="H118" s="35" t="s">
        <v>26</v>
      </c>
      <c r="I118" s="46" t="s">
        <v>27</v>
      </c>
      <c r="J118" s="66"/>
      <c r="K118" s="66"/>
      <c r="L118" s="42"/>
      <c r="M118" s="29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1" t="s">
        <v>421</v>
      </c>
      <c r="B119" s="32" t="s">
        <v>422</v>
      </c>
      <c r="C119" s="33">
        <v>45681.0</v>
      </c>
      <c r="D119" s="34" t="s">
        <v>22</v>
      </c>
      <c r="E119" s="32" t="s">
        <v>122</v>
      </c>
      <c r="F119" s="34" t="s">
        <v>53</v>
      </c>
      <c r="G119" s="34" t="s">
        <v>423</v>
      </c>
      <c r="H119" s="35" t="s">
        <v>26</v>
      </c>
      <c r="I119" s="46" t="s">
        <v>27</v>
      </c>
      <c r="J119" s="65"/>
      <c r="K119" s="66"/>
      <c r="L119" s="42"/>
      <c r="M119" s="29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2" t="s">
        <v>424</v>
      </c>
      <c r="B120" s="32" t="s">
        <v>425</v>
      </c>
      <c r="C120" s="45">
        <v>45681.0</v>
      </c>
      <c r="D120" s="68" t="s">
        <v>22</v>
      </c>
      <c r="E120" s="32" t="s">
        <v>426</v>
      </c>
      <c r="F120" s="34" t="s">
        <v>53</v>
      </c>
      <c r="G120" s="34" t="s">
        <v>427</v>
      </c>
      <c r="H120" s="35" t="str">
        <f>HYPERLINK("https://artofpropaganda.bandcamp.com/album/scorched-earth", "BC")</f>
        <v>BC</v>
      </c>
      <c r="I120" s="46" t="s">
        <v>27</v>
      </c>
      <c r="J120" s="35" t="s">
        <v>100</v>
      </c>
      <c r="K120" s="66"/>
      <c r="L120" s="42"/>
      <c r="M120" s="29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428</v>
      </c>
      <c r="B121" s="32" t="s">
        <v>429</v>
      </c>
      <c r="C121" s="45">
        <v>45681.0</v>
      </c>
      <c r="D121" s="34" t="s">
        <v>22</v>
      </c>
      <c r="E121" s="32" t="s">
        <v>129</v>
      </c>
      <c r="F121" s="34" t="s">
        <v>24</v>
      </c>
      <c r="G121" s="34" t="s">
        <v>430</v>
      </c>
      <c r="H121" s="35" t="s">
        <v>26</v>
      </c>
      <c r="I121" s="46" t="s">
        <v>27</v>
      </c>
      <c r="J121" s="35" t="s">
        <v>100</v>
      </c>
      <c r="K121" s="66"/>
      <c r="L121" s="42"/>
      <c r="M121" s="29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431</v>
      </c>
      <c r="B122" s="32" t="s">
        <v>432</v>
      </c>
      <c r="C122" s="45">
        <v>45681.0</v>
      </c>
      <c r="D122" s="34" t="s">
        <v>22</v>
      </c>
      <c r="E122" s="32" t="s">
        <v>433</v>
      </c>
      <c r="F122" s="34" t="s">
        <v>24</v>
      </c>
      <c r="G122" s="34" t="s">
        <v>434</v>
      </c>
      <c r="H122" s="35" t="s">
        <v>26</v>
      </c>
      <c r="I122" s="35" t="s">
        <v>27</v>
      </c>
      <c r="J122" s="35" t="s">
        <v>100</v>
      </c>
      <c r="K122" s="66"/>
      <c r="L122" s="42"/>
      <c r="M122" s="29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110</v>
      </c>
      <c r="B123" s="32" t="s">
        <v>435</v>
      </c>
      <c r="C123" s="45">
        <v>45681.0</v>
      </c>
      <c r="D123" s="34" t="s">
        <v>22</v>
      </c>
      <c r="E123" s="32" t="s">
        <v>436</v>
      </c>
      <c r="F123" s="34" t="s">
        <v>53</v>
      </c>
      <c r="G123" s="34" t="s">
        <v>437</v>
      </c>
      <c r="H123" s="35" t="s">
        <v>26</v>
      </c>
      <c r="I123" s="35" t="s">
        <v>27</v>
      </c>
      <c r="J123" s="66"/>
      <c r="K123" s="66"/>
      <c r="L123" s="42"/>
      <c r="M123" s="29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1" t="s">
        <v>438</v>
      </c>
      <c r="B124" s="32" t="s">
        <v>439</v>
      </c>
      <c r="C124" s="45">
        <v>45681.0</v>
      </c>
      <c r="D124" s="34" t="s">
        <v>22</v>
      </c>
      <c r="E124" s="32" t="s">
        <v>129</v>
      </c>
      <c r="F124" s="34" t="s">
        <v>24</v>
      </c>
      <c r="G124" s="34" t="s">
        <v>440</v>
      </c>
      <c r="H124" s="35" t="s">
        <v>26</v>
      </c>
      <c r="I124" s="46" t="s">
        <v>27</v>
      </c>
      <c r="J124" s="35" t="s">
        <v>100</v>
      </c>
      <c r="K124" s="66"/>
      <c r="L124" s="42"/>
      <c r="M124" s="29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441</v>
      </c>
      <c r="B125" s="32" t="s">
        <v>441</v>
      </c>
      <c r="C125" s="45">
        <v>45681.0</v>
      </c>
      <c r="D125" s="34" t="s">
        <v>39</v>
      </c>
      <c r="E125" s="32" t="s">
        <v>69</v>
      </c>
      <c r="F125" s="34" t="s">
        <v>24</v>
      </c>
      <c r="G125" s="34" t="s">
        <v>442</v>
      </c>
      <c r="H125" s="35" t="s">
        <v>26</v>
      </c>
      <c r="I125" s="35" t="s">
        <v>27</v>
      </c>
      <c r="J125" s="66"/>
      <c r="K125" s="66"/>
      <c r="L125" s="42"/>
      <c r="M125" s="29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443</v>
      </c>
      <c r="B126" s="32" t="s">
        <v>444</v>
      </c>
      <c r="C126" s="45">
        <v>45681.0</v>
      </c>
      <c r="D126" s="34" t="s">
        <v>22</v>
      </c>
      <c r="E126" s="32" t="s">
        <v>436</v>
      </c>
      <c r="F126" s="34" t="s">
        <v>24</v>
      </c>
      <c r="G126" s="34" t="s">
        <v>32</v>
      </c>
      <c r="H126" s="35" t="s">
        <v>26</v>
      </c>
      <c r="I126" s="35" t="s">
        <v>27</v>
      </c>
      <c r="J126" s="35" t="s">
        <v>100</v>
      </c>
      <c r="K126" s="66"/>
      <c r="L126" s="42"/>
      <c r="M126" s="29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445</v>
      </c>
      <c r="B127" s="32" t="s">
        <v>446</v>
      </c>
      <c r="C127" s="45">
        <v>45681.0</v>
      </c>
      <c r="D127" s="34" t="s">
        <v>22</v>
      </c>
      <c r="E127" s="32" t="s">
        <v>122</v>
      </c>
      <c r="F127" s="34" t="s">
        <v>31</v>
      </c>
      <c r="G127" s="34" t="s">
        <v>447</v>
      </c>
      <c r="H127" s="35" t="s">
        <v>26</v>
      </c>
      <c r="I127" s="35" t="s">
        <v>27</v>
      </c>
      <c r="J127" s="66"/>
      <c r="K127" s="66"/>
      <c r="L127" s="42"/>
      <c r="M127" s="29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448</v>
      </c>
      <c r="B128" s="32" t="s">
        <v>449</v>
      </c>
      <c r="C128" s="45">
        <v>45681.0</v>
      </c>
      <c r="D128" s="47" t="s">
        <v>22</v>
      </c>
      <c r="E128" s="32" t="s">
        <v>436</v>
      </c>
      <c r="F128" s="34" t="s">
        <v>53</v>
      </c>
      <c r="G128" s="34" t="s">
        <v>450</v>
      </c>
      <c r="H128" s="35" t="s">
        <v>26</v>
      </c>
      <c r="I128" s="35" t="s">
        <v>27</v>
      </c>
      <c r="J128" s="66"/>
      <c r="K128" s="66"/>
      <c r="L128" s="42"/>
      <c r="M128" s="29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451</v>
      </c>
      <c r="B129" s="32" t="s">
        <v>452</v>
      </c>
      <c r="C129" s="45">
        <v>45681.0</v>
      </c>
      <c r="D129" s="34" t="s">
        <v>22</v>
      </c>
      <c r="E129" s="32" t="s">
        <v>453</v>
      </c>
      <c r="F129" s="34" t="s">
        <v>156</v>
      </c>
      <c r="G129" s="34" t="s">
        <v>454</v>
      </c>
      <c r="H129" s="35" t="s">
        <v>26</v>
      </c>
      <c r="I129" s="35" t="s">
        <v>27</v>
      </c>
      <c r="J129" s="66"/>
      <c r="K129" s="66"/>
      <c r="L129" s="42"/>
      <c r="M129" s="29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455</v>
      </c>
      <c r="B130" s="32" t="s">
        <v>456</v>
      </c>
      <c r="C130" s="45">
        <v>45681.0</v>
      </c>
      <c r="D130" s="34" t="s">
        <v>22</v>
      </c>
      <c r="E130" s="32" t="s">
        <v>61</v>
      </c>
      <c r="F130" s="34" t="s">
        <v>24</v>
      </c>
      <c r="G130" s="34" t="s">
        <v>299</v>
      </c>
      <c r="H130" s="35" t="s">
        <v>26</v>
      </c>
      <c r="I130" s="35" t="s">
        <v>27</v>
      </c>
      <c r="J130" s="35" t="s">
        <v>100</v>
      </c>
      <c r="K130" s="66"/>
      <c r="L130" s="42"/>
      <c r="M130" s="29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457</v>
      </c>
      <c r="B131" s="32" t="s">
        <v>458</v>
      </c>
      <c r="C131" s="45">
        <v>45681.0</v>
      </c>
      <c r="D131" s="34" t="s">
        <v>22</v>
      </c>
      <c r="E131" s="32" t="s">
        <v>459</v>
      </c>
      <c r="F131" s="34" t="s">
        <v>156</v>
      </c>
      <c r="G131" s="34" t="s">
        <v>460</v>
      </c>
      <c r="H131" s="35" t="s">
        <v>26</v>
      </c>
      <c r="I131" s="35" t="s">
        <v>27</v>
      </c>
      <c r="J131" s="66"/>
      <c r="K131" s="66"/>
      <c r="L131" s="42"/>
      <c r="M131" s="29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461</v>
      </c>
      <c r="B132" s="32" t="s">
        <v>462</v>
      </c>
      <c r="C132" s="45">
        <v>45681.0</v>
      </c>
      <c r="D132" s="34" t="s">
        <v>22</v>
      </c>
      <c r="E132" s="32" t="s">
        <v>463</v>
      </c>
      <c r="F132" s="34" t="s">
        <v>156</v>
      </c>
      <c r="G132" s="34" t="s">
        <v>181</v>
      </c>
      <c r="H132" s="35" t="s">
        <v>26</v>
      </c>
      <c r="I132" s="65"/>
      <c r="J132" s="66"/>
      <c r="K132" s="66"/>
      <c r="L132" s="42"/>
      <c r="M132" s="29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464</v>
      </c>
      <c r="B133" s="32" t="s">
        <v>465</v>
      </c>
      <c r="C133" s="45">
        <v>45681.0</v>
      </c>
      <c r="D133" s="34" t="s">
        <v>22</v>
      </c>
      <c r="E133" s="32" t="s">
        <v>466</v>
      </c>
      <c r="F133" s="34" t="s">
        <v>53</v>
      </c>
      <c r="G133" s="34" t="s">
        <v>365</v>
      </c>
      <c r="H133" s="35" t="s">
        <v>26</v>
      </c>
      <c r="I133" s="35" t="s">
        <v>27</v>
      </c>
      <c r="J133" s="66"/>
      <c r="K133" s="66"/>
      <c r="L133" s="42"/>
      <c r="M133" s="29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467</v>
      </c>
      <c r="B134" s="32" t="s">
        <v>468</v>
      </c>
      <c r="C134" s="45">
        <v>45681.0</v>
      </c>
      <c r="D134" s="47" t="s">
        <v>22</v>
      </c>
      <c r="E134" s="32" t="s">
        <v>436</v>
      </c>
      <c r="F134" s="34" t="s">
        <v>31</v>
      </c>
      <c r="G134" s="34" t="s">
        <v>469</v>
      </c>
      <c r="H134" s="35" t="s">
        <v>26</v>
      </c>
      <c r="I134" s="35" t="s">
        <v>27</v>
      </c>
      <c r="J134" s="32"/>
      <c r="K134" s="66"/>
      <c r="L134" s="42"/>
      <c r="M134" s="29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470</v>
      </c>
      <c r="B135" s="32" t="s">
        <v>471</v>
      </c>
      <c r="C135" s="45">
        <v>45681.0</v>
      </c>
      <c r="D135" s="47" t="s">
        <v>39</v>
      </c>
      <c r="E135" s="32" t="s">
        <v>335</v>
      </c>
      <c r="F135" s="34" t="s">
        <v>24</v>
      </c>
      <c r="G135" s="34" t="s">
        <v>185</v>
      </c>
      <c r="H135" s="35" t="s">
        <v>26</v>
      </c>
      <c r="I135" s="35" t="s">
        <v>27</v>
      </c>
      <c r="J135" s="32"/>
      <c r="K135" s="66"/>
      <c r="L135" s="42"/>
      <c r="M135" s="29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472</v>
      </c>
      <c r="B136" s="32" t="s">
        <v>472</v>
      </c>
      <c r="C136" s="45">
        <v>45681.0</v>
      </c>
      <c r="D136" s="47" t="s">
        <v>39</v>
      </c>
      <c r="E136" s="32" t="s">
        <v>473</v>
      </c>
      <c r="F136" s="34" t="s">
        <v>53</v>
      </c>
      <c r="G136" s="34" t="s">
        <v>141</v>
      </c>
      <c r="H136" s="35" t="s">
        <v>26</v>
      </c>
      <c r="I136" s="35" t="s">
        <v>27</v>
      </c>
      <c r="J136" s="32"/>
      <c r="K136" s="66"/>
      <c r="L136" s="42"/>
      <c r="M136" s="29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474</v>
      </c>
      <c r="B137" s="32" t="s">
        <v>475</v>
      </c>
      <c r="C137" s="33">
        <v>45681.0</v>
      </c>
      <c r="D137" s="34" t="s">
        <v>22</v>
      </c>
      <c r="E137" s="32" t="s">
        <v>476</v>
      </c>
      <c r="F137" s="34" t="s">
        <v>24</v>
      </c>
      <c r="G137" s="34" t="s">
        <v>454</v>
      </c>
      <c r="H137" s="35" t="s">
        <v>26</v>
      </c>
      <c r="I137" s="35" t="str">
        <f>HYPERLINK("https://open.spotify.com/album/0XwPm7W9KDy5v3lpsB9LCz", "S")</f>
        <v>S</v>
      </c>
      <c r="J137" s="32"/>
      <c r="K137" s="66"/>
      <c r="L137" s="42"/>
      <c r="M137" s="29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477</v>
      </c>
      <c r="B138" s="32" t="s">
        <v>478</v>
      </c>
      <c r="C138" s="33">
        <v>45681.0</v>
      </c>
      <c r="D138" s="47" t="s">
        <v>22</v>
      </c>
      <c r="E138" s="32" t="s">
        <v>479</v>
      </c>
      <c r="F138" s="34" t="s">
        <v>24</v>
      </c>
      <c r="G138" s="34" t="s">
        <v>123</v>
      </c>
      <c r="H138" s="35" t="s">
        <v>26</v>
      </c>
      <c r="I138" s="35" t="s">
        <v>27</v>
      </c>
      <c r="J138" s="66"/>
      <c r="K138" s="66"/>
      <c r="L138" s="42"/>
      <c r="M138" s="29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1" t="s">
        <v>480</v>
      </c>
      <c r="B139" s="32" t="s">
        <v>481</v>
      </c>
      <c r="C139" s="33">
        <v>45681.0</v>
      </c>
      <c r="D139" s="34" t="s">
        <v>22</v>
      </c>
      <c r="E139" s="32" t="s">
        <v>482</v>
      </c>
      <c r="F139" s="34" t="s">
        <v>24</v>
      </c>
      <c r="G139" s="34" t="s">
        <v>299</v>
      </c>
      <c r="H139" s="35" t="s">
        <v>26</v>
      </c>
      <c r="I139" s="65"/>
      <c r="J139" s="66"/>
      <c r="K139" s="66"/>
      <c r="L139" s="42"/>
      <c r="M139" s="29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1" t="s">
        <v>483</v>
      </c>
      <c r="B140" s="32" t="s">
        <v>484</v>
      </c>
      <c r="C140" s="33">
        <v>45681.0</v>
      </c>
      <c r="D140" s="34" t="s">
        <v>22</v>
      </c>
      <c r="E140" s="32" t="s">
        <v>73</v>
      </c>
      <c r="F140" s="34" t="s">
        <v>24</v>
      </c>
      <c r="G140" s="34" t="s">
        <v>342</v>
      </c>
      <c r="H140" s="35" t="s">
        <v>26</v>
      </c>
      <c r="I140" s="35" t="s">
        <v>27</v>
      </c>
      <c r="J140" s="35" t="s">
        <v>100</v>
      </c>
      <c r="K140" s="77"/>
      <c r="L140" s="78"/>
      <c r="M140" s="79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31" t="s">
        <v>485</v>
      </c>
      <c r="B141" s="32" t="s">
        <v>486</v>
      </c>
      <c r="C141" s="33">
        <v>45681.0</v>
      </c>
      <c r="D141" s="47" t="s">
        <v>22</v>
      </c>
      <c r="E141" s="32" t="s">
        <v>122</v>
      </c>
      <c r="F141" s="34" t="s">
        <v>31</v>
      </c>
      <c r="G141" s="34" t="s">
        <v>487</v>
      </c>
      <c r="H141" s="35" t="s">
        <v>26</v>
      </c>
      <c r="I141" s="35" t="str">
        <f>HYPERLINK("https://open.spotify.com/album/1kWOKbsHyCPZklMYmuAq4Q", "S")</f>
        <v>S</v>
      </c>
      <c r="J141" s="66"/>
      <c r="K141" s="66"/>
      <c r="L141" s="42"/>
      <c r="M141" s="29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488</v>
      </c>
      <c r="B142" s="32" t="s">
        <v>489</v>
      </c>
      <c r="C142" s="33">
        <v>45681.0</v>
      </c>
      <c r="D142" s="34" t="s">
        <v>39</v>
      </c>
      <c r="E142" s="32" t="s">
        <v>490</v>
      </c>
      <c r="F142" s="34" t="s">
        <v>31</v>
      </c>
      <c r="G142" s="34" t="s">
        <v>491</v>
      </c>
      <c r="H142" s="35" t="s">
        <v>26</v>
      </c>
      <c r="I142" s="35" t="s">
        <v>27</v>
      </c>
      <c r="J142" s="35" t="s">
        <v>100</v>
      </c>
      <c r="K142" s="66"/>
      <c r="L142" s="42"/>
      <c r="M142" s="29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1" t="s">
        <v>492</v>
      </c>
      <c r="B143" s="32" t="s">
        <v>493</v>
      </c>
      <c r="C143" s="33">
        <v>45681.0</v>
      </c>
      <c r="D143" s="47" t="s">
        <v>39</v>
      </c>
      <c r="E143" s="32" t="s">
        <v>61</v>
      </c>
      <c r="F143" s="34" t="s">
        <v>24</v>
      </c>
      <c r="G143" s="34" t="s">
        <v>494</v>
      </c>
      <c r="H143" s="35" t="s">
        <v>26</v>
      </c>
      <c r="I143" s="35" t="s">
        <v>27</v>
      </c>
      <c r="J143" s="66"/>
      <c r="K143" s="66"/>
      <c r="L143" s="42"/>
      <c r="M143" s="29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495</v>
      </c>
      <c r="B144" s="32" t="s">
        <v>496</v>
      </c>
      <c r="C144" s="33">
        <v>45681.0</v>
      </c>
      <c r="D144" s="34" t="s">
        <v>22</v>
      </c>
      <c r="E144" s="32" t="s">
        <v>192</v>
      </c>
      <c r="F144" s="34" t="s">
        <v>156</v>
      </c>
      <c r="G144" s="34" t="s">
        <v>257</v>
      </c>
      <c r="H144" s="66"/>
      <c r="I144" s="35" t="s">
        <v>27</v>
      </c>
      <c r="J144" s="65"/>
      <c r="K144" s="66"/>
      <c r="L144" s="42"/>
      <c r="M144" s="29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497</v>
      </c>
      <c r="B145" s="32" t="s">
        <v>498</v>
      </c>
      <c r="C145" s="33">
        <v>45681.0</v>
      </c>
      <c r="D145" s="34" t="s">
        <v>22</v>
      </c>
      <c r="E145" s="32" t="s">
        <v>61</v>
      </c>
      <c r="F145" s="34" t="s">
        <v>24</v>
      </c>
      <c r="G145" s="34" t="s">
        <v>499</v>
      </c>
      <c r="H145" s="35" t="s">
        <v>26</v>
      </c>
      <c r="I145" s="35" t="s">
        <v>27</v>
      </c>
      <c r="J145" s="66"/>
      <c r="K145" s="66"/>
      <c r="L145" s="42"/>
      <c r="M145" s="29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500</v>
      </c>
      <c r="B146" s="32" t="s">
        <v>501</v>
      </c>
      <c r="C146" s="33">
        <v>45681.0</v>
      </c>
      <c r="D146" s="34" t="s">
        <v>22</v>
      </c>
      <c r="E146" s="32" t="s">
        <v>88</v>
      </c>
      <c r="F146" s="34" t="s">
        <v>53</v>
      </c>
      <c r="G146" s="34" t="s">
        <v>502</v>
      </c>
      <c r="H146" s="35" t="s">
        <v>26</v>
      </c>
      <c r="I146" s="35" t="s">
        <v>27</v>
      </c>
      <c r="J146" s="65"/>
      <c r="K146" s="66"/>
      <c r="L146" s="42"/>
      <c r="M146" s="29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503</v>
      </c>
      <c r="B147" s="32" t="s">
        <v>504</v>
      </c>
      <c r="C147" s="33">
        <v>45681.0</v>
      </c>
      <c r="D147" s="34" t="s">
        <v>22</v>
      </c>
      <c r="E147" s="32" t="s">
        <v>505</v>
      </c>
      <c r="F147" s="34" t="s">
        <v>53</v>
      </c>
      <c r="G147" s="34" t="s">
        <v>375</v>
      </c>
      <c r="H147" s="35" t="s">
        <v>26</v>
      </c>
      <c r="I147" s="35" t="s">
        <v>27</v>
      </c>
      <c r="J147" s="65"/>
      <c r="K147" s="66"/>
      <c r="L147" s="42"/>
      <c r="M147" s="29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 t="s">
        <v>506</v>
      </c>
      <c r="B148" s="32" t="s">
        <v>507</v>
      </c>
      <c r="C148" s="33">
        <v>45681.0</v>
      </c>
      <c r="D148" s="34" t="s">
        <v>22</v>
      </c>
      <c r="E148" s="32" t="s">
        <v>160</v>
      </c>
      <c r="F148" s="34" t="s">
        <v>24</v>
      </c>
      <c r="G148" s="34" t="s">
        <v>221</v>
      </c>
      <c r="H148" s="35" t="s">
        <v>26</v>
      </c>
      <c r="I148" s="35" t="s">
        <v>27</v>
      </c>
      <c r="J148" s="66"/>
      <c r="K148" s="66"/>
      <c r="L148" s="42"/>
      <c r="M148" s="29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 t="s">
        <v>508</v>
      </c>
      <c r="B149" s="32" t="s">
        <v>509</v>
      </c>
      <c r="C149" s="33">
        <v>45681.0</v>
      </c>
      <c r="D149" s="34" t="s">
        <v>39</v>
      </c>
      <c r="E149" s="32" t="s">
        <v>355</v>
      </c>
      <c r="F149" s="34" t="s">
        <v>24</v>
      </c>
      <c r="G149" s="34" t="s">
        <v>510</v>
      </c>
      <c r="H149" s="35" t="s">
        <v>26</v>
      </c>
      <c r="I149" s="36" t="str">
        <f>HYPERLINK("https://open.spotify.com/album/05xETAkpsyfy12BiZHs0fm", "S")</f>
        <v>S</v>
      </c>
      <c r="J149" s="65"/>
      <c r="K149" s="66"/>
      <c r="L149" s="42"/>
      <c r="M149" s="29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511</v>
      </c>
      <c r="B150" s="32" t="s">
        <v>512</v>
      </c>
      <c r="C150" s="59">
        <v>45681.0</v>
      </c>
      <c r="D150" s="34" t="s">
        <v>22</v>
      </c>
      <c r="E150" s="32" t="s">
        <v>513</v>
      </c>
      <c r="F150" s="34" t="s">
        <v>156</v>
      </c>
      <c r="G150" s="34" t="s">
        <v>514</v>
      </c>
      <c r="H150" s="35" t="s">
        <v>26</v>
      </c>
      <c r="I150" s="35" t="str">
        <f>HYPERLINK("https://open.spotify.com/album/2PpjDBNfgL08y2EKlnNc9P", "S")</f>
        <v>S</v>
      </c>
      <c r="J150" s="66"/>
      <c r="K150" s="66"/>
      <c r="L150" s="42"/>
      <c r="M150" s="29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s">
        <v>515</v>
      </c>
      <c r="B151" s="32" t="s">
        <v>516</v>
      </c>
      <c r="C151" s="33">
        <v>45681.0</v>
      </c>
      <c r="D151" s="47" t="s">
        <v>22</v>
      </c>
      <c r="E151" s="32" t="s">
        <v>517</v>
      </c>
      <c r="F151" s="34" t="s">
        <v>24</v>
      </c>
      <c r="G151" s="34" t="s">
        <v>518</v>
      </c>
      <c r="H151" s="35" t="s">
        <v>26</v>
      </c>
      <c r="I151" s="35" t="s">
        <v>27</v>
      </c>
      <c r="J151" s="65"/>
      <c r="K151" s="66"/>
      <c r="L151" s="42"/>
      <c r="M151" s="29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519</v>
      </c>
      <c r="B152" s="32" t="s">
        <v>520</v>
      </c>
      <c r="C152" s="33">
        <v>45682.0</v>
      </c>
      <c r="D152" s="47" t="s">
        <v>39</v>
      </c>
      <c r="E152" s="32" t="s">
        <v>521</v>
      </c>
      <c r="F152" s="34" t="s">
        <v>24</v>
      </c>
      <c r="G152" s="34" t="s">
        <v>522</v>
      </c>
      <c r="H152" s="35" t="s">
        <v>26</v>
      </c>
      <c r="I152" s="35" t="s">
        <v>27</v>
      </c>
      <c r="J152" s="66"/>
      <c r="K152" s="66"/>
      <c r="L152" s="42"/>
      <c r="M152" s="29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523</v>
      </c>
      <c r="B153" s="32" t="s">
        <v>524</v>
      </c>
      <c r="C153" s="33">
        <v>45682.0</v>
      </c>
      <c r="D153" s="34" t="s">
        <v>39</v>
      </c>
      <c r="E153" s="32" t="s">
        <v>513</v>
      </c>
      <c r="F153" s="34" t="s">
        <v>156</v>
      </c>
      <c r="G153" s="34" t="s">
        <v>299</v>
      </c>
      <c r="H153" s="35" t="s">
        <v>26</v>
      </c>
      <c r="I153" s="66"/>
      <c r="J153" s="66"/>
      <c r="K153" s="66"/>
      <c r="L153" s="42"/>
      <c r="M153" s="29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525</v>
      </c>
      <c r="B154" s="32" t="s">
        <v>525</v>
      </c>
      <c r="C154" s="33">
        <v>45682.0</v>
      </c>
      <c r="D154" s="47" t="s">
        <v>39</v>
      </c>
      <c r="E154" s="32" t="s">
        <v>69</v>
      </c>
      <c r="F154" s="34" t="s">
        <v>53</v>
      </c>
      <c r="G154" s="34" t="s">
        <v>526</v>
      </c>
      <c r="H154" s="35" t="s">
        <v>26</v>
      </c>
      <c r="I154" s="35" t="s">
        <v>27</v>
      </c>
      <c r="J154" s="57"/>
      <c r="K154" s="66"/>
      <c r="L154" s="42"/>
      <c r="M154" s="29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527</v>
      </c>
      <c r="B155" s="32" t="s">
        <v>29</v>
      </c>
      <c r="C155" s="33">
        <v>45682.0</v>
      </c>
      <c r="D155" s="47" t="s">
        <v>39</v>
      </c>
      <c r="E155" s="32" t="s">
        <v>160</v>
      </c>
      <c r="F155" s="34" t="s">
        <v>24</v>
      </c>
      <c r="G155" s="34" t="s">
        <v>528</v>
      </c>
      <c r="H155" s="35" t="s">
        <v>26</v>
      </c>
      <c r="I155" s="35" t="s">
        <v>27</v>
      </c>
      <c r="J155" s="57"/>
      <c r="K155" s="66"/>
      <c r="L155" s="42"/>
      <c r="M155" s="29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529</v>
      </c>
      <c r="B156" s="32" t="s">
        <v>530</v>
      </c>
      <c r="C156" s="33">
        <v>45684.0</v>
      </c>
      <c r="D156" s="34" t="s">
        <v>22</v>
      </c>
      <c r="E156" s="32" t="s">
        <v>531</v>
      </c>
      <c r="F156" s="34" t="s">
        <v>156</v>
      </c>
      <c r="G156" s="34" t="s">
        <v>532</v>
      </c>
      <c r="H156" s="35" t="s">
        <v>26</v>
      </c>
      <c r="I156" s="35" t="s">
        <v>27</v>
      </c>
      <c r="J156" s="66"/>
      <c r="K156" s="66"/>
      <c r="L156" s="42"/>
      <c r="M156" s="29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533</v>
      </c>
      <c r="B157" s="32" t="s">
        <v>534</v>
      </c>
      <c r="C157" s="33">
        <v>45686.0</v>
      </c>
      <c r="D157" s="34" t="s">
        <v>39</v>
      </c>
      <c r="E157" s="32" t="s">
        <v>535</v>
      </c>
      <c r="F157" s="34" t="s">
        <v>24</v>
      </c>
      <c r="G157" s="34" t="s">
        <v>202</v>
      </c>
      <c r="H157" s="35" t="s">
        <v>26</v>
      </c>
      <c r="I157" s="35" t="s">
        <v>27</v>
      </c>
      <c r="J157" s="81" t="s">
        <v>100</v>
      </c>
      <c r="K157" s="66"/>
      <c r="L157" s="42"/>
      <c r="M157" s="29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536</v>
      </c>
      <c r="B158" s="32" t="s">
        <v>537</v>
      </c>
      <c r="C158" s="33">
        <v>45686.0</v>
      </c>
      <c r="D158" s="47" t="s">
        <v>22</v>
      </c>
      <c r="E158" s="32" t="s">
        <v>538</v>
      </c>
      <c r="F158" s="34" t="s">
        <v>31</v>
      </c>
      <c r="G158" s="34" t="s">
        <v>539</v>
      </c>
      <c r="H158" s="35" t="s">
        <v>26</v>
      </c>
      <c r="I158" s="35" t="s">
        <v>27</v>
      </c>
      <c r="J158" s="57"/>
      <c r="K158" s="66"/>
      <c r="L158" s="42"/>
      <c r="M158" s="29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540</v>
      </c>
      <c r="B159" s="32" t="s">
        <v>541</v>
      </c>
      <c r="C159" s="33">
        <v>38382.0</v>
      </c>
      <c r="D159" s="34" t="s">
        <v>39</v>
      </c>
      <c r="E159" s="32" t="s">
        <v>98</v>
      </c>
      <c r="F159" s="34" t="s">
        <v>53</v>
      </c>
      <c r="G159" s="63" t="s">
        <v>542</v>
      </c>
      <c r="H159" s="35" t="s">
        <v>26</v>
      </c>
      <c r="I159" s="46" t="s">
        <v>27</v>
      </c>
      <c r="J159" s="66"/>
      <c r="K159" s="66"/>
      <c r="L159" s="42"/>
      <c r="M159" s="29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1" t="s">
        <v>543</v>
      </c>
      <c r="B160" s="32" t="s">
        <v>544</v>
      </c>
      <c r="C160" s="33">
        <v>45687.0</v>
      </c>
      <c r="D160" s="34" t="s">
        <v>22</v>
      </c>
      <c r="E160" s="32" t="s">
        <v>521</v>
      </c>
      <c r="F160" s="34" t="s">
        <v>24</v>
      </c>
      <c r="G160" s="34" t="s">
        <v>545</v>
      </c>
      <c r="H160" s="35" t="s">
        <v>26</v>
      </c>
      <c r="I160" s="35" t="str">
        <f>HYPERLINK("https://open.spotify.com/album/4NEqVTETClIcUViOs0iiFx", "S")</f>
        <v>S</v>
      </c>
      <c r="J160" s="66"/>
      <c r="K160" s="66"/>
      <c r="L160" s="42"/>
      <c r="M160" s="29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1" t="s">
        <v>546</v>
      </c>
      <c r="B161" s="32" t="s">
        <v>547</v>
      </c>
      <c r="C161" s="33">
        <v>45688.0</v>
      </c>
      <c r="D161" s="47" t="s">
        <v>39</v>
      </c>
      <c r="E161" s="32" t="s">
        <v>548</v>
      </c>
      <c r="F161" s="34" t="s">
        <v>24</v>
      </c>
      <c r="G161" s="34" t="s">
        <v>549</v>
      </c>
      <c r="H161" s="35" t="s">
        <v>26</v>
      </c>
      <c r="I161" s="35" t="s">
        <v>27</v>
      </c>
      <c r="J161" s="57"/>
      <c r="K161" s="66"/>
      <c r="L161" s="42"/>
      <c r="M161" s="29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s">
        <v>550</v>
      </c>
      <c r="B162" s="32" t="s">
        <v>551</v>
      </c>
      <c r="C162" s="59">
        <v>45688.0</v>
      </c>
      <c r="D162" s="34" t="s">
        <v>22</v>
      </c>
      <c r="E162" s="32" t="s">
        <v>552</v>
      </c>
      <c r="F162" s="34" t="s">
        <v>156</v>
      </c>
      <c r="G162" s="34" t="s">
        <v>553</v>
      </c>
      <c r="H162" s="35" t="s">
        <v>26</v>
      </c>
      <c r="I162" s="35" t="s">
        <v>27</v>
      </c>
      <c r="J162" s="66"/>
      <c r="K162" s="66"/>
      <c r="L162" s="42"/>
      <c r="M162" s="29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554</v>
      </c>
      <c r="B163" s="32" t="s">
        <v>555</v>
      </c>
      <c r="C163" s="33">
        <v>45688.0</v>
      </c>
      <c r="D163" s="34" t="s">
        <v>22</v>
      </c>
      <c r="E163" s="32" t="s">
        <v>556</v>
      </c>
      <c r="F163" s="34" t="s">
        <v>53</v>
      </c>
      <c r="G163" s="34" t="s">
        <v>437</v>
      </c>
      <c r="H163" s="35" t="s">
        <v>26</v>
      </c>
      <c r="I163" s="35" t="s">
        <v>27</v>
      </c>
      <c r="J163" s="65"/>
      <c r="K163" s="66"/>
      <c r="L163" s="42"/>
      <c r="M163" s="29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557</v>
      </c>
      <c r="B164" s="32" t="s">
        <v>558</v>
      </c>
      <c r="C164" s="33">
        <v>45688.0</v>
      </c>
      <c r="D164" s="34" t="s">
        <v>22</v>
      </c>
      <c r="E164" s="32" t="s">
        <v>436</v>
      </c>
      <c r="F164" s="34" t="s">
        <v>31</v>
      </c>
      <c r="G164" s="34" t="s">
        <v>257</v>
      </c>
      <c r="H164" s="35" t="s">
        <v>26</v>
      </c>
      <c r="I164" s="35" t="s">
        <v>27</v>
      </c>
      <c r="J164" s="66"/>
      <c r="K164" s="66"/>
      <c r="L164" s="42"/>
      <c r="M164" s="29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559</v>
      </c>
      <c r="B165" s="32" t="s">
        <v>560</v>
      </c>
      <c r="C165" s="33">
        <v>45688.0</v>
      </c>
      <c r="D165" s="34" t="s">
        <v>22</v>
      </c>
      <c r="E165" s="32" t="s">
        <v>370</v>
      </c>
      <c r="F165" s="34" t="s">
        <v>53</v>
      </c>
      <c r="G165" s="34" t="s">
        <v>561</v>
      </c>
      <c r="H165" s="35" t="s">
        <v>26</v>
      </c>
      <c r="I165" s="35" t="s">
        <v>27</v>
      </c>
      <c r="J165" s="66"/>
      <c r="K165" s="66"/>
      <c r="L165" s="42"/>
      <c r="M165" s="29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562</v>
      </c>
      <c r="B166" s="32" t="s">
        <v>563</v>
      </c>
      <c r="C166" s="33">
        <v>45688.0</v>
      </c>
      <c r="D166" s="34" t="s">
        <v>22</v>
      </c>
      <c r="E166" s="32" t="s">
        <v>107</v>
      </c>
      <c r="F166" s="34" t="s">
        <v>53</v>
      </c>
      <c r="G166" s="63" t="s">
        <v>302</v>
      </c>
      <c r="H166" s="35" t="s">
        <v>26</v>
      </c>
      <c r="I166" s="35" t="s">
        <v>27</v>
      </c>
      <c r="J166" s="66"/>
      <c r="K166" s="66"/>
      <c r="L166" s="42"/>
      <c r="M166" s="29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2" t="s">
        <v>564</v>
      </c>
      <c r="B167" s="32" t="s">
        <v>565</v>
      </c>
      <c r="C167" s="45">
        <v>45688.0</v>
      </c>
      <c r="D167" s="68" t="s">
        <v>22</v>
      </c>
      <c r="E167" s="32" t="s">
        <v>566</v>
      </c>
      <c r="F167" s="34" t="s">
        <v>53</v>
      </c>
      <c r="G167" s="34" t="s">
        <v>257</v>
      </c>
      <c r="H167" s="35" t="str">
        <f>HYPERLINK("https://avantgardemusic.bandcamp.com/album/proof-of-existence", "BC")</f>
        <v>BC</v>
      </c>
      <c r="I167" s="35" t="s">
        <v>27</v>
      </c>
      <c r="J167" s="66"/>
      <c r="K167" s="66"/>
      <c r="L167" s="42"/>
      <c r="M167" s="29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2" t="s">
        <v>567</v>
      </c>
      <c r="B168" s="32" t="s">
        <v>568</v>
      </c>
      <c r="C168" s="45">
        <v>45688.0</v>
      </c>
      <c r="D168" s="68" t="s">
        <v>22</v>
      </c>
      <c r="E168" s="32" t="s">
        <v>569</v>
      </c>
      <c r="F168" s="34" t="s">
        <v>24</v>
      </c>
      <c r="G168" s="34" t="s">
        <v>570</v>
      </c>
      <c r="H168" s="65"/>
      <c r="I168" s="35" t="s">
        <v>27</v>
      </c>
      <c r="J168" s="66"/>
      <c r="K168" s="66"/>
      <c r="L168" s="42"/>
      <c r="M168" s="29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2" t="s">
        <v>571</v>
      </c>
      <c r="B169" s="32" t="s">
        <v>572</v>
      </c>
      <c r="C169" s="45">
        <v>45688.0</v>
      </c>
      <c r="D169" s="68" t="s">
        <v>22</v>
      </c>
      <c r="E169" s="32" t="s">
        <v>573</v>
      </c>
      <c r="F169" s="34" t="s">
        <v>53</v>
      </c>
      <c r="G169" s="34" t="s">
        <v>295</v>
      </c>
      <c r="H169" s="35" t="str">
        <f>HYPERLINK("https://lsdunes.bandcamp.com/album/violet", "BC")</f>
        <v>BC</v>
      </c>
      <c r="I169" s="35" t="s">
        <v>27</v>
      </c>
      <c r="J169" s="66"/>
      <c r="K169" s="66"/>
      <c r="L169" s="42"/>
      <c r="M169" s="29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67" t="s">
        <v>574</v>
      </c>
      <c r="B170" s="67" t="s">
        <v>575</v>
      </c>
      <c r="C170" s="45">
        <v>45688.0</v>
      </c>
      <c r="D170" s="68" t="s">
        <v>22</v>
      </c>
      <c r="E170" s="32" t="s">
        <v>576</v>
      </c>
      <c r="F170" s="34" t="s">
        <v>53</v>
      </c>
      <c r="G170" s="34" t="s">
        <v>577</v>
      </c>
      <c r="H170" s="65"/>
      <c r="I170" s="35" t="s">
        <v>27</v>
      </c>
      <c r="J170" s="66"/>
      <c r="K170" s="66"/>
      <c r="L170" s="42"/>
      <c r="M170" s="29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1" t="s">
        <v>578</v>
      </c>
      <c r="B171" s="32" t="s">
        <v>579</v>
      </c>
      <c r="C171" s="45">
        <v>45688.0</v>
      </c>
      <c r="D171" s="34" t="s">
        <v>22</v>
      </c>
      <c r="E171" s="32" t="s">
        <v>61</v>
      </c>
      <c r="F171" s="34" t="s">
        <v>24</v>
      </c>
      <c r="G171" s="34" t="s">
        <v>342</v>
      </c>
      <c r="H171" s="35" t="s">
        <v>26</v>
      </c>
      <c r="I171" s="35" t="s">
        <v>27</v>
      </c>
      <c r="J171" s="66"/>
      <c r="K171" s="66"/>
      <c r="L171" s="42"/>
      <c r="M171" s="29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1" t="s">
        <v>580</v>
      </c>
      <c r="B172" s="32" t="s">
        <v>581</v>
      </c>
      <c r="C172" s="45">
        <v>45688.0</v>
      </c>
      <c r="D172" s="34" t="s">
        <v>22</v>
      </c>
      <c r="E172" s="32" t="s">
        <v>84</v>
      </c>
      <c r="F172" s="34" t="s">
        <v>24</v>
      </c>
      <c r="G172" s="34" t="s">
        <v>582</v>
      </c>
      <c r="H172" s="35" t="s">
        <v>26</v>
      </c>
      <c r="I172" s="35" t="s">
        <v>27</v>
      </c>
      <c r="J172" s="66"/>
      <c r="K172" s="66"/>
      <c r="L172" s="42"/>
      <c r="M172" s="29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583</v>
      </c>
      <c r="B173" s="32" t="s">
        <v>584</v>
      </c>
      <c r="C173" s="45">
        <v>45688.0</v>
      </c>
      <c r="D173" s="34" t="s">
        <v>22</v>
      </c>
      <c r="E173" s="32" t="s">
        <v>318</v>
      </c>
      <c r="F173" s="34" t="s">
        <v>53</v>
      </c>
      <c r="G173" s="34" t="s">
        <v>585</v>
      </c>
      <c r="H173" s="35" t="s">
        <v>26</v>
      </c>
      <c r="I173" s="35" t="str">
        <f>HYPERLINK("https://open.spotify.com/album/3JN7UoDjWYKUlDGKG9gZer", "S")</f>
        <v>S</v>
      </c>
      <c r="J173" s="35" t="s">
        <v>100</v>
      </c>
      <c r="K173" s="66"/>
      <c r="L173" s="42"/>
      <c r="M173" s="29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586</v>
      </c>
      <c r="B174" s="32" t="s">
        <v>587</v>
      </c>
      <c r="C174" s="45">
        <v>45688.0</v>
      </c>
      <c r="D174" s="34" t="s">
        <v>22</v>
      </c>
      <c r="E174" s="32" t="s">
        <v>61</v>
      </c>
      <c r="F174" s="34" t="s">
        <v>24</v>
      </c>
      <c r="G174" s="34" t="s">
        <v>253</v>
      </c>
      <c r="H174" s="35" t="s">
        <v>26</v>
      </c>
      <c r="I174" s="35" t="s">
        <v>27</v>
      </c>
      <c r="J174" s="35" t="s">
        <v>100</v>
      </c>
      <c r="K174" s="66"/>
      <c r="L174" s="42"/>
      <c r="M174" s="29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588</v>
      </c>
      <c r="B175" s="32" t="s">
        <v>589</v>
      </c>
      <c r="C175" s="45">
        <v>45688.0</v>
      </c>
      <c r="D175" s="34" t="s">
        <v>22</v>
      </c>
      <c r="E175" s="32" t="s">
        <v>160</v>
      </c>
      <c r="F175" s="34" t="s">
        <v>24</v>
      </c>
      <c r="G175" s="34" t="s">
        <v>590</v>
      </c>
      <c r="H175" s="35" t="s">
        <v>26</v>
      </c>
      <c r="I175" s="35" t="s">
        <v>27</v>
      </c>
      <c r="J175" s="35" t="s">
        <v>100</v>
      </c>
      <c r="K175" s="66"/>
      <c r="L175" s="42"/>
      <c r="M175" s="29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591</v>
      </c>
      <c r="B176" s="32" t="s">
        <v>592</v>
      </c>
      <c r="C176" s="45">
        <v>45688.0</v>
      </c>
      <c r="D176" s="34" t="s">
        <v>22</v>
      </c>
      <c r="E176" s="32" t="s">
        <v>122</v>
      </c>
      <c r="F176" s="34" t="s">
        <v>31</v>
      </c>
      <c r="G176" s="34" t="s">
        <v>437</v>
      </c>
      <c r="H176" s="35" t="s">
        <v>26</v>
      </c>
      <c r="I176" s="35" t="s">
        <v>27</v>
      </c>
      <c r="J176" s="66"/>
      <c r="K176" s="66"/>
      <c r="L176" s="42"/>
      <c r="M176" s="29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593</v>
      </c>
      <c r="B177" s="32" t="s">
        <v>594</v>
      </c>
      <c r="C177" s="45">
        <v>45688.0</v>
      </c>
      <c r="D177" s="34" t="s">
        <v>22</v>
      </c>
      <c r="E177" s="32" t="s">
        <v>129</v>
      </c>
      <c r="F177" s="34" t="s">
        <v>24</v>
      </c>
      <c r="G177" s="34" t="s">
        <v>595</v>
      </c>
      <c r="H177" s="35" t="s">
        <v>26</v>
      </c>
      <c r="I177" s="35" t="s">
        <v>27</v>
      </c>
      <c r="J177" s="65"/>
      <c r="K177" s="66"/>
      <c r="L177" s="42"/>
      <c r="M177" s="29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596</v>
      </c>
      <c r="B178" s="32" t="s">
        <v>597</v>
      </c>
      <c r="C178" s="45">
        <v>45688.0</v>
      </c>
      <c r="D178" s="34" t="s">
        <v>22</v>
      </c>
      <c r="E178" s="32" t="s">
        <v>598</v>
      </c>
      <c r="F178" s="34" t="s">
        <v>156</v>
      </c>
      <c r="G178" s="34" t="s">
        <v>599</v>
      </c>
      <c r="H178" s="35" t="s">
        <v>26</v>
      </c>
      <c r="I178" s="35" t="s">
        <v>27</v>
      </c>
      <c r="J178" s="66"/>
      <c r="K178" s="66"/>
      <c r="L178" s="42"/>
      <c r="M178" s="29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600</v>
      </c>
      <c r="B179" s="32" t="s">
        <v>601</v>
      </c>
      <c r="C179" s="45">
        <v>45688.0</v>
      </c>
      <c r="D179" s="34" t="s">
        <v>22</v>
      </c>
      <c r="E179" s="32" t="s">
        <v>374</v>
      </c>
      <c r="F179" s="34" t="s">
        <v>24</v>
      </c>
      <c r="G179" s="34" t="s">
        <v>602</v>
      </c>
      <c r="H179" s="35" t="s">
        <v>26</v>
      </c>
      <c r="I179" s="35" t="s">
        <v>27</v>
      </c>
      <c r="J179" s="35" t="s">
        <v>100</v>
      </c>
      <c r="K179" s="66"/>
      <c r="L179" s="42"/>
      <c r="M179" s="29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603</v>
      </c>
      <c r="B180" s="32" t="s">
        <v>604</v>
      </c>
      <c r="C180" s="45">
        <v>45688.0</v>
      </c>
      <c r="D180" s="34" t="s">
        <v>22</v>
      </c>
      <c r="E180" s="32" t="s">
        <v>122</v>
      </c>
      <c r="F180" s="34" t="s">
        <v>53</v>
      </c>
      <c r="G180" s="34" t="s">
        <v>605</v>
      </c>
      <c r="H180" s="35" t="s">
        <v>26</v>
      </c>
      <c r="I180" s="35" t="s">
        <v>27</v>
      </c>
      <c r="J180" s="66"/>
      <c r="K180" s="66"/>
      <c r="L180" s="42"/>
      <c r="M180" s="29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606</v>
      </c>
      <c r="B181" s="32" t="s">
        <v>607</v>
      </c>
      <c r="C181" s="45">
        <v>45688.0</v>
      </c>
      <c r="D181" s="34" t="s">
        <v>22</v>
      </c>
      <c r="E181" s="32" t="s">
        <v>608</v>
      </c>
      <c r="F181" s="34" t="s">
        <v>53</v>
      </c>
      <c r="G181" s="34" t="s">
        <v>257</v>
      </c>
      <c r="H181" s="35" t="s">
        <v>26</v>
      </c>
      <c r="I181" s="35" t="s">
        <v>27</v>
      </c>
      <c r="J181" s="66"/>
      <c r="K181" s="66"/>
      <c r="L181" s="42"/>
      <c r="M181" s="29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609</v>
      </c>
      <c r="B182" s="32" t="s">
        <v>610</v>
      </c>
      <c r="C182" s="45">
        <v>45688.0</v>
      </c>
      <c r="D182" s="34" t="s">
        <v>22</v>
      </c>
      <c r="E182" s="32" t="s">
        <v>355</v>
      </c>
      <c r="F182" s="34" t="s">
        <v>24</v>
      </c>
      <c r="G182" s="34" t="s">
        <v>611</v>
      </c>
      <c r="H182" s="35" t="s">
        <v>26</v>
      </c>
      <c r="I182" s="35" t="s">
        <v>27</v>
      </c>
      <c r="J182" s="66"/>
      <c r="K182" s="66"/>
      <c r="L182" s="42"/>
      <c r="M182" s="29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612</v>
      </c>
      <c r="B183" s="32" t="s">
        <v>612</v>
      </c>
      <c r="C183" s="45">
        <v>45688.0</v>
      </c>
      <c r="D183" s="34" t="s">
        <v>39</v>
      </c>
      <c r="E183" s="32" t="s">
        <v>613</v>
      </c>
      <c r="F183" s="34" t="s">
        <v>24</v>
      </c>
      <c r="G183" s="34" t="s">
        <v>599</v>
      </c>
      <c r="H183" s="35" t="s">
        <v>26</v>
      </c>
      <c r="I183" s="35" t="s">
        <v>27</v>
      </c>
      <c r="J183" s="66"/>
      <c r="K183" s="66"/>
      <c r="L183" s="42"/>
      <c r="M183" s="29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614</v>
      </c>
      <c r="B184" s="32" t="s">
        <v>615</v>
      </c>
      <c r="C184" s="45">
        <v>45688.0</v>
      </c>
      <c r="D184" s="34" t="s">
        <v>22</v>
      </c>
      <c r="E184" s="32" t="s">
        <v>61</v>
      </c>
      <c r="F184" s="34" t="s">
        <v>24</v>
      </c>
      <c r="G184" s="34" t="s">
        <v>616</v>
      </c>
      <c r="H184" s="35" t="s">
        <v>26</v>
      </c>
      <c r="I184" s="35" t="s">
        <v>27</v>
      </c>
      <c r="J184" s="35" t="s">
        <v>100</v>
      </c>
      <c r="K184" s="66"/>
      <c r="L184" s="42"/>
      <c r="M184" s="29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1" t="s">
        <v>617</v>
      </c>
      <c r="B185" s="32" t="s">
        <v>618</v>
      </c>
      <c r="C185" s="33">
        <v>45688.0</v>
      </c>
      <c r="D185" s="34" t="s">
        <v>39</v>
      </c>
      <c r="E185" s="32" t="s">
        <v>619</v>
      </c>
      <c r="F185" s="34" t="s">
        <v>24</v>
      </c>
      <c r="G185" s="34" t="s">
        <v>620</v>
      </c>
      <c r="H185" s="35" t="s">
        <v>26</v>
      </c>
      <c r="I185" s="35" t="s">
        <v>27</v>
      </c>
      <c r="J185" s="35" t="s">
        <v>100</v>
      </c>
      <c r="K185" s="66"/>
      <c r="L185" s="42"/>
      <c r="M185" s="29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1" t="s">
        <v>621</v>
      </c>
      <c r="B186" s="32" t="s">
        <v>622</v>
      </c>
      <c r="C186" s="33">
        <v>45688.0</v>
      </c>
      <c r="D186" s="34" t="s">
        <v>22</v>
      </c>
      <c r="E186" s="32" t="s">
        <v>69</v>
      </c>
      <c r="F186" s="34" t="s">
        <v>24</v>
      </c>
      <c r="G186" s="34" t="s">
        <v>623</v>
      </c>
      <c r="H186" s="35" t="s">
        <v>26</v>
      </c>
      <c r="I186" s="35" t="s">
        <v>27</v>
      </c>
      <c r="J186" s="35" t="s">
        <v>100</v>
      </c>
      <c r="K186" s="66"/>
      <c r="L186" s="42"/>
      <c r="M186" s="29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624</v>
      </c>
      <c r="B187" s="32" t="s">
        <v>625</v>
      </c>
      <c r="C187" s="33">
        <v>45688.0</v>
      </c>
      <c r="D187" s="34" t="s">
        <v>22</v>
      </c>
      <c r="E187" s="32" t="s">
        <v>626</v>
      </c>
      <c r="F187" s="34" t="s">
        <v>24</v>
      </c>
      <c r="G187" s="34" t="s">
        <v>627</v>
      </c>
      <c r="H187" s="35" t="s">
        <v>26</v>
      </c>
      <c r="I187" s="35" t="str">
        <f>HYPERLINK("https://open.spotify.com/album/7CPSvQHUm1APO8N2C6t4Mn", "S")</f>
        <v>S</v>
      </c>
      <c r="J187" s="35" t="s">
        <v>100</v>
      </c>
      <c r="K187" s="66"/>
      <c r="L187" s="42"/>
      <c r="M187" s="29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1" t="s">
        <v>628</v>
      </c>
      <c r="B188" s="32" t="s">
        <v>628</v>
      </c>
      <c r="C188" s="33">
        <v>45688.0</v>
      </c>
      <c r="D188" s="47" t="s">
        <v>22</v>
      </c>
      <c r="E188" s="32" t="s">
        <v>160</v>
      </c>
      <c r="F188" s="34" t="s">
        <v>24</v>
      </c>
      <c r="G188" s="34" t="s">
        <v>629</v>
      </c>
      <c r="H188" s="35" t="s">
        <v>26</v>
      </c>
      <c r="I188" s="35" t="s">
        <v>27</v>
      </c>
      <c r="J188" s="35" t="s">
        <v>100</v>
      </c>
      <c r="K188" s="66"/>
      <c r="L188" s="42"/>
      <c r="M188" s="29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630</v>
      </c>
      <c r="B189" s="32" t="s">
        <v>631</v>
      </c>
      <c r="C189" s="33">
        <v>45688.0</v>
      </c>
      <c r="D189" s="34" t="s">
        <v>22</v>
      </c>
      <c r="E189" s="32" t="s">
        <v>632</v>
      </c>
      <c r="F189" s="34" t="s">
        <v>53</v>
      </c>
      <c r="G189" s="34" t="s">
        <v>629</v>
      </c>
      <c r="H189" s="35" t="s">
        <v>26</v>
      </c>
      <c r="I189" s="35" t="str">
        <f>HYPERLINK("https://open.spotify.com/album/23jVK7bLZLqoX7e8k96tR6", "S")</f>
        <v>S</v>
      </c>
      <c r="J189" s="66"/>
      <c r="K189" s="66"/>
      <c r="L189" s="42"/>
      <c r="M189" s="29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633</v>
      </c>
      <c r="B190" s="32" t="s">
        <v>634</v>
      </c>
      <c r="C190" s="33">
        <v>45688.0</v>
      </c>
      <c r="D190" s="34" t="s">
        <v>22</v>
      </c>
      <c r="E190" s="32" t="s">
        <v>73</v>
      </c>
      <c r="F190" s="34" t="s">
        <v>24</v>
      </c>
      <c r="G190" s="34" t="s">
        <v>199</v>
      </c>
      <c r="H190" s="35" t="s">
        <v>26</v>
      </c>
      <c r="I190" s="35" t="s">
        <v>27</v>
      </c>
      <c r="J190" s="66"/>
      <c r="K190" s="66"/>
      <c r="L190" s="42"/>
      <c r="M190" s="29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635</v>
      </c>
      <c r="B191" s="32" t="s">
        <v>636</v>
      </c>
      <c r="C191" s="33">
        <v>45688.0</v>
      </c>
      <c r="D191" s="34" t="s">
        <v>22</v>
      </c>
      <c r="E191" s="32" t="s">
        <v>637</v>
      </c>
      <c r="F191" s="34" t="s">
        <v>156</v>
      </c>
      <c r="G191" s="34" t="s">
        <v>638</v>
      </c>
      <c r="H191" s="35" t="s">
        <v>26</v>
      </c>
      <c r="I191" s="35" t="s">
        <v>27</v>
      </c>
      <c r="J191" s="66"/>
      <c r="K191" s="66"/>
      <c r="L191" s="42"/>
      <c r="M191" s="29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639</v>
      </c>
      <c r="B192" s="32" t="s">
        <v>640</v>
      </c>
      <c r="C192" s="33">
        <v>45688.0</v>
      </c>
      <c r="D192" s="47" t="s">
        <v>22</v>
      </c>
      <c r="E192" s="32" t="s">
        <v>129</v>
      </c>
      <c r="F192" s="34" t="s">
        <v>24</v>
      </c>
      <c r="G192" s="34" t="s">
        <v>257</v>
      </c>
      <c r="H192" s="35" t="s">
        <v>26</v>
      </c>
      <c r="I192" s="35" t="s">
        <v>27</v>
      </c>
      <c r="J192" s="66"/>
      <c r="K192" s="66"/>
      <c r="L192" s="42"/>
      <c r="M192" s="29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1" t="s">
        <v>641</v>
      </c>
      <c r="B193" s="32" t="s">
        <v>642</v>
      </c>
      <c r="C193" s="33">
        <v>45688.0</v>
      </c>
      <c r="D193" s="34" t="s">
        <v>22</v>
      </c>
      <c r="E193" s="32" t="s">
        <v>643</v>
      </c>
      <c r="F193" s="34" t="s">
        <v>24</v>
      </c>
      <c r="G193" s="34" t="s">
        <v>41</v>
      </c>
      <c r="H193" s="35" t="s">
        <v>26</v>
      </c>
      <c r="I193" s="35" t="s">
        <v>27</v>
      </c>
      <c r="J193" s="66"/>
      <c r="K193" s="66"/>
      <c r="L193" s="42"/>
      <c r="M193" s="29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1" t="s">
        <v>644</v>
      </c>
      <c r="B194" s="32" t="s">
        <v>645</v>
      </c>
      <c r="C194" s="33">
        <v>45688.0</v>
      </c>
      <c r="D194" s="34" t="s">
        <v>22</v>
      </c>
      <c r="E194" s="32" t="s">
        <v>284</v>
      </c>
      <c r="F194" s="34" t="s">
        <v>156</v>
      </c>
      <c r="G194" s="34" t="s">
        <v>646</v>
      </c>
      <c r="H194" s="35" t="s">
        <v>26</v>
      </c>
      <c r="I194" s="35" t="s">
        <v>27</v>
      </c>
      <c r="J194" s="66"/>
      <c r="K194" s="66"/>
      <c r="L194" s="42"/>
      <c r="M194" s="29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1" t="s">
        <v>647</v>
      </c>
      <c r="B195" s="32" t="s">
        <v>648</v>
      </c>
      <c r="C195" s="33">
        <v>45688.0</v>
      </c>
      <c r="D195" s="34" t="s">
        <v>39</v>
      </c>
      <c r="E195" s="32" t="s">
        <v>436</v>
      </c>
      <c r="F195" s="34" t="s">
        <v>31</v>
      </c>
      <c r="G195" s="34" t="s">
        <v>649</v>
      </c>
      <c r="H195" s="35" t="s">
        <v>26</v>
      </c>
      <c r="I195" s="35" t="s">
        <v>27</v>
      </c>
      <c r="J195" s="66"/>
      <c r="K195" s="66"/>
      <c r="L195" s="42"/>
      <c r="M195" s="29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1" t="s">
        <v>650</v>
      </c>
      <c r="B196" s="32" t="s">
        <v>651</v>
      </c>
      <c r="C196" s="33">
        <v>45688.0</v>
      </c>
      <c r="D196" s="34" t="s">
        <v>22</v>
      </c>
      <c r="E196" s="32" t="s">
        <v>122</v>
      </c>
      <c r="F196" s="34" t="s">
        <v>156</v>
      </c>
      <c r="G196" s="34" t="s">
        <v>253</v>
      </c>
      <c r="H196" s="35" t="s">
        <v>26</v>
      </c>
      <c r="I196" s="35" t="s">
        <v>27</v>
      </c>
      <c r="J196" s="65"/>
      <c r="K196" s="66"/>
      <c r="L196" s="42"/>
      <c r="M196" s="29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1" t="s">
        <v>652</v>
      </c>
      <c r="B197" s="32" t="s">
        <v>653</v>
      </c>
      <c r="C197" s="33">
        <v>45688.0</v>
      </c>
      <c r="D197" s="34" t="s">
        <v>22</v>
      </c>
      <c r="E197" s="32" t="s">
        <v>192</v>
      </c>
      <c r="F197" s="34" t="s">
        <v>156</v>
      </c>
      <c r="G197" s="34" t="s">
        <v>654</v>
      </c>
      <c r="H197" s="35" t="s">
        <v>26</v>
      </c>
      <c r="I197" s="35" t="s">
        <v>27</v>
      </c>
      <c r="J197" s="66"/>
      <c r="K197" s="66"/>
      <c r="L197" s="42"/>
      <c r="M197" s="29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1" t="s">
        <v>37</v>
      </c>
      <c r="B198" s="32" t="s">
        <v>655</v>
      </c>
      <c r="C198" s="33">
        <v>45688.0</v>
      </c>
      <c r="D198" s="34" t="s">
        <v>22</v>
      </c>
      <c r="E198" s="32" t="s">
        <v>40</v>
      </c>
      <c r="F198" s="34" t="s">
        <v>24</v>
      </c>
      <c r="G198" s="34" t="s">
        <v>41</v>
      </c>
      <c r="H198" s="35" t="s">
        <v>26</v>
      </c>
      <c r="I198" s="36" t="str">
        <f>HYPERLINK("https://open.spotify.com/album/2ZjtIjKGBGn8jYoVE0Etjw", "S")</f>
        <v>S</v>
      </c>
      <c r="J198" s="66"/>
      <c r="K198" s="66"/>
      <c r="L198" s="42"/>
      <c r="M198" s="29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1" t="s">
        <v>656</v>
      </c>
      <c r="B199" s="32" t="s">
        <v>657</v>
      </c>
      <c r="C199" s="33">
        <v>45688.0</v>
      </c>
      <c r="D199" s="34" t="s">
        <v>22</v>
      </c>
      <c r="E199" s="32" t="s">
        <v>643</v>
      </c>
      <c r="F199" s="34" t="s">
        <v>24</v>
      </c>
      <c r="G199" s="34" t="s">
        <v>437</v>
      </c>
      <c r="H199" s="35" t="s">
        <v>26</v>
      </c>
      <c r="I199" s="35" t="s">
        <v>27</v>
      </c>
      <c r="J199" s="57"/>
      <c r="K199" s="66"/>
      <c r="L199" s="42"/>
      <c r="M199" s="29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2" t="s">
        <v>658</v>
      </c>
      <c r="B200" s="32" t="s">
        <v>659</v>
      </c>
      <c r="C200" s="33">
        <v>45688.0</v>
      </c>
      <c r="D200" s="47" t="s">
        <v>39</v>
      </c>
      <c r="E200" s="32" t="s">
        <v>61</v>
      </c>
      <c r="F200" s="34" t="s">
        <v>24</v>
      </c>
      <c r="G200" s="34" t="s">
        <v>660</v>
      </c>
      <c r="H200" s="35" t="s">
        <v>26</v>
      </c>
      <c r="I200" s="35" t="s">
        <v>27</v>
      </c>
      <c r="J200" s="57"/>
      <c r="K200" s="66"/>
      <c r="L200" s="42"/>
      <c r="M200" s="29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2" t="s">
        <v>661</v>
      </c>
      <c r="B201" s="32" t="s">
        <v>662</v>
      </c>
      <c r="C201" s="33">
        <v>45688.0</v>
      </c>
      <c r="D201" s="34" t="s">
        <v>22</v>
      </c>
      <c r="E201" s="32" t="s">
        <v>663</v>
      </c>
      <c r="F201" s="34" t="s">
        <v>53</v>
      </c>
      <c r="G201" s="34" t="s">
        <v>660</v>
      </c>
      <c r="H201" s="35" t="s">
        <v>26</v>
      </c>
      <c r="I201" s="35" t="s">
        <v>27</v>
      </c>
      <c r="J201" s="57"/>
      <c r="K201" s="66"/>
      <c r="L201" s="42"/>
      <c r="M201" s="29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1" t="s">
        <v>664</v>
      </c>
      <c r="B202" s="32" t="s">
        <v>664</v>
      </c>
      <c r="C202" s="33">
        <v>45689.0</v>
      </c>
      <c r="D202" s="47" t="s">
        <v>39</v>
      </c>
      <c r="E202" s="32" t="s">
        <v>436</v>
      </c>
      <c r="F202" s="34" t="s">
        <v>31</v>
      </c>
      <c r="G202" s="34" t="s">
        <v>96</v>
      </c>
      <c r="H202" s="35" t="s">
        <v>26</v>
      </c>
      <c r="I202" s="81" t="s">
        <v>27</v>
      </c>
      <c r="J202" s="65"/>
      <c r="K202" s="66"/>
      <c r="L202" s="42"/>
      <c r="M202" s="29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1" t="s">
        <v>665</v>
      </c>
      <c r="B203" s="32" t="s">
        <v>666</v>
      </c>
      <c r="C203" s="33">
        <v>45689.0</v>
      </c>
      <c r="D203" s="47" t="s">
        <v>22</v>
      </c>
      <c r="E203" s="32" t="s">
        <v>374</v>
      </c>
      <c r="F203" s="34" t="s">
        <v>24</v>
      </c>
      <c r="G203" s="34" t="s">
        <v>667</v>
      </c>
      <c r="H203" s="35" t="s">
        <v>26</v>
      </c>
      <c r="I203" s="35" t="s">
        <v>27</v>
      </c>
      <c r="J203" s="35" t="s">
        <v>100</v>
      </c>
      <c r="K203" s="66"/>
      <c r="L203" s="42"/>
      <c r="M203" s="29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1" t="s">
        <v>668</v>
      </c>
      <c r="B204" s="32" t="s">
        <v>669</v>
      </c>
      <c r="C204" s="33">
        <v>45689.0</v>
      </c>
      <c r="D204" s="34" t="s">
        <v>22</v>
      </c>
      <c r="E204" s="32" t="s">
        <v>69</v>
      </c>
      <c r="F204" s="34" t="s">
        <v>24</v>
      </c>
      <c r="G204" s="34" t="s">
        <v>670</v>
      </c>
      <c r="H204" s="35" t="s">
        <v>26</v>
      </c>
      <c r="I204" s="35" t="s">
        <v>27</v>
      </c>
      <c r="J204" s="35" t="s">
        <v>100</v>
      </c>
      <c r="K204" s="66"/>
      <c r="L204" s="42"/>
      <c r="M204" s="29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2" t="s">
        <v>671</v>
      </c>
      <c r="B205" s="32" t="s">
        <v>672</v>
      </c>
      <c r="C205" s="33">
        <v>45689.0</v>
      </c>
      <c r="D205" s="34" t="s">
        <v>39</v>
      </c>
      <c r="E205" s="32" t="s">
        <v>84</v>
      </c>
      <c r="F205" s="34" t="s">
        <v>53</v>
      </c>
      <c r="G205" s="34" t="s">
        <v>673</v>
      </c>
      <c r="H205" s="66"/>
      <c r="I205" s="35" t="s">
        <v>27</v>
      </c>
      <c r="J205" s="57"/>
      <c r="K205" s="82"/>
      <c r="L205" s="83"/>
      <c r="M205" s="29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1" t="s">
        <v>674</v>
      </c>
      <c r="B206" s="32" t="s">
        <v>675</v>
      </c>
      <c r="C206" s="45">
        <v>45690.0</v>
      </c>
      <c r="D206" s="34" t="s">
        <v>22</v>
      </c>
      <c r="E206" s="32" t="s">
        <v>122</v>
      </c>
      <c r="F206" s="34" t="s">
        <v>53</v>
      </c>
      <c r="G206" s="34" t="s">
        <v>676</v>
      </c>
      <c r="H206" s="35" t="s">
        <v>26</v>
      </c>
      <c r="I206" s="35" t="s">
        <v>27</v>
      </c>
      <c r="J206" s="66"/>
      <c r="K206" s="57"/>
      <c r="L206" s="84"/>
      <c r="M206" s="85"/>
    </row>
    <row r="207">
      <c r="A207" s="31" t="s">
        <v>677</v>
      </c>
      <c r="B207" s="32" t="s">
        <v>678</v>
      </c>
      <c r="C207" s="45">
        <v>45690.0</v>
      </c>
      <c r="D207" s="34" t="s">
        <v>22</v>
      </c>
      <c r="E207" s="32" t="s">
        <v>679</v>
      </c>
      <c r="F207" s="34" t="s">
        <v>24</v>
      </c>
      <c r="G207" s="34" t="s">
        <v>680</v>
      </c>
      <c r="H207" s="35" t="s">
        <v>26</v>
      </c>
      <c r="I207" s="35" t="str">
        <f>HYPERLINK("https://open.spotify.com/album/4EdRKBdzOis27v43CPzXKO", "S")</f>
        <v>S</v>
      </c>
      <c r="J207" s="65"/>
      <c r="K207" s="57"/>
      <c r="L207" s="84"/>
      <c r="M207" s="85"/>
    </row>
    <row r="208">
      <c r="A208" s="31" t="s">
        <v>681</v>
      </c>
      <c r="B208" s="32" t="s">
        <v>682</v>
      </c>
      <c r="C208" s="45">
        <v>45692.0</v>
      </c>
      <c r="D208" s="34" t="s">
        <v>22</v>
      </c>
      <c r="E208" s="32" t="s">
        <v>613</v>
      </c>
      <c r="F208" s="34" t="s">
        <v>24</v>
      </c>
      <c r="G208" s="34" t="s">
        <v>683</v>
      </c>
      <c r="H208" s="35" t="s">
        <v>26</v>
      </c>
      <c r="I208" s="35" t="str">
        <f>HYPERLINK("https://open.spotify.com/album/37jxQc0LCrp7HfZnQg8Ocu", "S")</f>
        <v>S</v>
      </c>
      <c r="J208" s="35" t="s">
        <v>100</v>
      </c>
      <c r="K208" s="57"/>
      <c r="L208" s="84"/>
      <c r="M208" s="85"/>
    </row>
    <row r="209">
      <c r="A209" s="31" t="s">
        <v>684</v>
      </c>
      <c r="B209" s="32" t="s">
        <v>685</v>
      </c>
      <c r="C209" s="33">
        <v>45693.0</v>
      </c>
      <c r="D209" s="34" t="s">
        <v>39</v>
      </c>
      <c r="E209" s="32" t="s">
        <v>686</v>
      </c>
      <c r="F209" s="34" t="s">
        <v>24</v>
      </c>
      <c r="G209" s="34" t="s">
        <v>41</v>
      </c>
      <c r="H209" s="66"/>
      <c r="I209" s="35" t="s">
        <v>27</v>
      </c>
      <c r="J209" s="66"/>
      <c r="K209" s="57"/>
      <c r="L209" s="84"/>
      <c r="M209" s="85"/>
    </row>
    <row r="210">
      <c r="A210" s="31" t="s">
        <v>687</v>
      </c>
      <c r="B210" s="32" t="s">
        <v>688</v>
      </c>
      <c r="C210" s="33">
        <v>45693.0</v>
      </c>
      <c r="D210" s="34" t="s">
        <v>22</v>
      </c>
      <c r="E210" s="32" t="s">
        <v>370</v>
      </c>
      <c r="F210" s="34" t="s">
        <v>24</v>
      </c>
      <c r="G210" s="34" t="s">
        <v>689</v>
      </c>
      <c r="H210" s="35" t="s">
        <v>26</v>
      </c>
      <c r="I210" s="35" t="s">
        <v>27</v>
      </c>
      <c r="J210" s="65"/>
      <c r="K210" s="57"/>
      <c r="L210" s="84"/>
      <c r="M210" s="85"/>
    </row>
    <row r="211">
      <c r="A211" s="31" t="s">
        <v>690</v>
      </c>
      <c r="B211" s="32" t="s">
        <v>691</v>
      </c>
      <c r="C211" s="33">
        <v>45695.0</v>
      </c>
      <c r="D211" s="34" t="s">
        <v>39</v>
      </c>
      <c r="E211" s="32" t="s">
        <v>692</v>
      </c>
      <c r="F211" s="34" t="s">
        <v>24</v>
      </c>
      <c r="G211" s="34" t="s">
        <v>693</v>
      </c>
      <c r="H211" s="35" t="s">
        <v>26</v>
      </c>
      <c r="I211" s="35" t="s">
        <v>27</v>
      </c>
      <c r="J211" s="57"/>
      <c r="K211" s="57"/>
      <c r="L211" s="84"/>
      <c r="M211" s="85"/>
    </row>
    <row r="212">
      <c r="A212" s="31" t="s">
        <v>694</v>
      </c>
      <c r="B212" s="32" t="s">
        <v>695</v>
      </c>
      <c r="C212" s="33">
        <v>45695.0</v>
      </c>
      <c r="D212" s="34" t="s">
        <v>22</v>
      </c>
      <c r="E212" s="32" t="s">
        <v>696</v>
      </c>
      <c r="F212" s="34" t="s">
        <v>53</v>
      </c>
      <c r="G212" s="34" t="s">
        <v>41</v>
      </c>
      <c r="H212" s="66"/>
      <c r="I212" s="35" t="s">
        <v>27</v>
      </c>
      <c r="J212" s="35" t="s">
        <v>100</v>
      </c>
      <c r="K212" s="57"/>
      <c r="L212" s="84"/>
      <c r="M212" s="85"/>
    </row>
    <row r="213">
      <c r="A213" s="31" t="s">
        <v>697</v>
      </c>
      <c r="B213" s="32" t="s">
        <v>698</v>
      </c>
      <c r="C213" s="33">
        <v>45695.0</v>
      </c>
      <c r="D213" s="34" t="s">
        <v>22</v>
      </c>
      <c r="E213" s="32" t="s">
        <v>73</v>
      </c>
      <c r="F213" s="34" t="s">
        <v>24</v>
      </c>
      <c r="G213" s="34" t="s">
        <v>32</v>
      </c>
      <c r="H213" s="35" t="s">
        <v>26</v>
      </c>
      <c r="I213" s="35" t="s">
        <v>27</v>
      </c>
      <c r="J213" s="66"/>
      <c r="K213" s="57"/>
      <c r="L213" s="84"/>
      <c r="M213" s="85"/>
    </row>
    <row r="214">
      <c r="A214" s="31" t="s">
        <v>699</v>
      </c>
      <c r="B214" s="32" t="s">
        <v>700</v>
      </c>
      <c r="C214" s="33">
        <v>45695.0</v>
      </c>
      <c r="D214" s="34" t="s">
        <v>22</v>
      </c>
      <c r="E214" s="32" t="s">
        <v>701</v>
      </c>
      <c r="F214" s="34" t="s">
        <v>24</v>
      </c>
      <c r="G214" s="34" t="s">
        <v>702</v>
      </c>
      <c r="H214" s="35" t="s">
        <v>26</v>
      </c>
      <c r="I214" s="35" t="s">
        <v>27</v>
      </c>
      <c r="J214" s="65"/>
      <c r="K214" s="57"/>
      <c r="L214" s="84"/>
      <c r="M214" s="85"/>
    </row>
    <row r="215">
      <c r="A215" s="31" t="s">
        <v>703</v>
      </c>
      <c r="B215" s="32" t="s">
        <v>704</v>
      </c>
      <c r="C215" s="33">
        <v>45695.0</v>
      </c>
      <c r="D215" s="34" t="s">
        <v>22</v>
      </c>
      <c r="E215" s="32" t="s">
        <v>705</v>
      </c>
      <c r="F215" s="34" t="s">
        <v>156</v>
      </c>
      <c r="G215" s="34" t="s">
        <v>342</v>
      </c>
      <c r="H215" s="66"/>
      <c r="I215" s="35" t="s">
        <v>27</v>
      </c>
      <c r="J215" s="35" t="s">
        <v>100</v>
      </c>
      <c r="K215" s="57"/>
      <c r="L215" s="84"/>
      <c r="M215" s="85"/>
    </row>
    <row r="216">
      <c r="A216" s="86">
        <v>16.0</v>
      </c>
      <c r="B216" s="32" t="s">
        <v>706</v>
      </c>
      <c r="C216" s="33">
        <v>45695.0</v>
      </c>
      <c r="D216" s="34" t="s">
        <v>22</v>
      </c>
      <c r="E216" s="32" t="s">
        <v>707</v>
      </c>
      <c r="F216" s="34" t="s">
        <v>24</v>
      </c>
      <c r="G216" s="34" t="s">
        <v>708</v>
      </c>
      <c r="H216" s="35" t="s">
        <v>26</v>
      </c>
      <c r="I216" s="35" t="s">
        <v>27</v>
      </c>
      <c r="J216" s="35" t="s">
        <v>100</v>
      </c>
      <c r="K216" s="57"/>
      <c r="L216" s="84"/>
      <c r="M216" s="85"/>
    </row>
    <row r="217">
      <c r="A217" s="32" t="s">
        <v>709</v>
      </c>
      <c r="B217" s="32" t="s">
        <v>710</v>
      </c>
      <c r="C217" s="59">
        <v>45695.0</v>
      </c>
      <c r="D217" s="68" t="s">
        <v>22</v>
      </c>
      <c r="E217" s="32" t="s">
        <v>711</v>
      </c>
      <c r="F217" s="34" t="s">
        <v>53</v>
      </c>
      <c r="G217" s="34" t="s">
        <v>712</v>
      </c>
      <c r="H217" s="35" t="str">
        <f>HYPERLINK("https://unreqvited.bandcamp.com/album/a-pathway-to-the-moon", "BC")</f>
        <v>BC</v>
      </c>
      <c r="I217" s="35" t="s">
        <v>27</v>
      </c>
      <c r="J217" s="35" t="s">
        <v>100</v>
      </c>
      <c r="K217" s="57"/>
      <c r="L217" s="84"/>
      <c r="M217" s="85"/>
    </row>
    <row r="218">
      <c r="A218" s="67" t="s">
        <v>713</v>
      </c>
      <c r="B218" s="67" t="s">
        <v>714</v>
      </c>
      <c r="C218" s="45">
        <v>45695.0</v>
      </c>
      <c r="D218" s="68" t="s">
        <v>22</v>
      </c>
      <c r="E218" s="32" t="s">
        <v>715</v>
      </c>
      <c r="F218" s="34" t="s">
        <v>53</v>
      </c>
      <c r="G218" s="34" t="s">
        <v>716</v>
      </c>
      <c r="H218" s="35" t="str">
        <f>HYPERLINK("https://jinjer-jinjer.bandcamp.com/album/du-l", "BC")</f>
        <v>BC</v>
      </c>
      <c r="I218" s="35" t="s">
        <v>27</v>
      </c>
      <c r="J218" s="66"/>
      <c r="K218" s="57"/>
      <c r="L218" s="84"/>
      <c r="M218" s="85"/>
    </row>
    <row r="219">
      <c r="A219" s="67" t="s">
        <v>717</v>
      </c>
      <c r="B219" s="67" t="s">
        <v>718</v>
      </c>
      <c r="C219" s="45">
        <v>45695.0</v>
      </c>
      <c r="D219" s="68" t="s">
        <v>22</v>
      </c>
      <c r="E219" s="32" t="s">
        <v>719</v>
      </c>
      <c r="F219" s="34" t="s">
        <v>53</v>
      </c>
      <c r="G219" s="34" t="s">
        <v>62</v>
      </c>
      <c r="H219" s="35" t="str">
        <f>HYPERLINK("https://insideoutmusic.bandcamp.com/album/parasomnia-24-bit-hd-audio", "BC")</f>
        <v>BC</v>
      </c>
      <c r="I219" s="35" t="s">
        <v>27</v>
      </c>
      <c r="J219" s="66"/>
      <c r="K219" s="57"/>
      <c r="L219" s="84"/>
      <c r="M219" s="85"/>
    </row>
    <row r="220">
      <c r="A220" s="31" t="s">
        <v>720</v>
      </c>
      <c r="B220" s="32" t="s">
        <v>721</v>
      </c>
      <c r="C220" s="45">
        <v>45695.0</v>
      </c>
      <c r="D220" s="34" t="s">
        <v>22</v>
      </c>
      <c r="E220" s="32" t="s">
        <v>722</v>
      </c>
      <c r="F220" s="34" t="s">
        <v>24</v>
      </c>
      <c r="G220" s="34" t="s">
        <v>199</v>
      </c>
      <c r="H220" s="35" t="s">
        <v>26</v>
      </c>
      <c r="I220" s="35" t="s">
        <v>27</v>
      </c>
      <c r="J220" s="66"/>
      <c r="K220" s="57"/>
      <c r="L220" s="84"/>
      <c r="M220" s="85"/>
    </row>
    <row r="221">
      <c r="A221" s="31" t="s">
        <v>723</v>
      </c>
      <c r="B221" s="32" t="s">
        <v>724</v>
      </c>
      <c r="C221" s="45">
        <v>45695.0</v>
      </c>
      <c r="D221" s="34" t="s">
        <v>22</v>
      </c>
      <c r="E221" s="32" t="s">
        <v>61</v>
      </c>
      <c r="F221" s="34" t="s">
        <v>24</v>
      </c>
      <c r="G221" s="34" t="s">
        <v>725</v>
      </c>
      <c r="H221" s="35" t="s">
        <v>26</v>
      </c>
      <c r="I221" s="35" t="s">
        <v>27</v>
      </c>
      <c r="J221" s="66"/>
      <c r="K221" s="57"/>
      <c r="L221" s="84"/>
      <c r="M221" s="85"/>
    </row>
    <row r="222">
      <c r="A222" s="31" t="s">
        <v>726</v>
      </c>
      <c r="B222" s="32" t="s">
        <v>727</v>
      </c>
      <c r="C222" s="45">
        <v>45695.0</v>
      </c>
      <c r="D222" s="34" t="s">
        <v>22</v>
      </c>
      <c r="E222" s="32" t="s">
        <v>69</v>
      </c>
      <c r="F222" s="34" t="s">
        <v>53</v>
      </c>
      <c r="G222" s="34" t="s">
        <v>450</v>
      </c>
      <c r="H222" s="35" t="s">
        <v>26</v>
      </c>
      <c r="I222" s="35" t="s">
        <v>27</v>
      </c>
      <c r="J222" s="35" t="s">
        <v>100</v>
      </c>
      <c r="K222" s="57"/>
      <c r="L222" s="84"/>
      <c r="M222" s="85"/>
    </row>
    <row r="223">
      <c r="A223" s="31" t="s">
        <v>728</v>
      </c>
      <c r="B223" s="32" t="s">
        <v>728</v>
      </c>
      <c r="C223" s="45">
        <v>45695.0</v>
      </c>
      <c r="D223" s="47" t="s">
        <v>22</v>
      </c>
      <c r="E223" s="32" t="s">
        <v>122</v>
      </c>
      <c r="F223" s="34" t="s">
        <v>53</v>
      </c>
      <c r="G223" s="34" t="s">
        <v>729</v>
      </c>
      <c r="H223" s="35" t="s">
        <v>26</v>
      </c>
      <c r="I223" s="35" t="s">
        <v>27</v>
      </c>
      <c r="J223" s="66"/>
      <c r="K223" s="57"/>
      <c r="L223" s="84"/>
      <c r="M223" s="85"/>
    </row>
    <row r="224">
      <c r="A224" s="31" t="s">
        <v>730</v>
      </c>
      <c r="B224" s="32" t="s">
        <v>731</v>
      </c>
      <c r="C224" s="45">
        <v>45695.0</v>
      </c>
      <c r="D224" s="34" t="s">
        <v>22</v>
      </c>
      <c r="E224" s="32" t="s">
        <v>732</v>
      </c>
      <c r="F224" s="34" t="s">
        <v>156</v>
      </c>
      <c r="G224" s="34" t="s">
        <v>702</v>
      </c>
      <c r="H224" s="35" t="s">
        <v>26</v>
      </c>
      <c r="I224" s="35" t="str">
        <f>HYPERLINK("https://open.spotify.com/album/06A8e1rHyVuA0EbcTN83Ax", "S")</f>
        <v>S</v>
      </c>
      <c r="J224" s="82"/>
      <c r="K224" s="57"/>
      <c r="L224" s="84"/>
      <c r="M224" s="85"/>
    </row>
    <row r="225">
      <c r="A225" s="31" t="s">
        <v>733</v>
      </c>
      <c r="B225" s="32" t="s">
        <v>734</v>
      </c>
      <c r="C225" s="45">
        <v>45695.0</v>
      </c>
      <c r="D225" s="34" t="s">
        <v>22</v>
      </c>
      <c r="E225" s="32" t="s">
        <v>61</v>
      </c>
      <c r="F225" s="34" t="s">
        <v>24</v>
      </c>
      <c r="G225" s="34" t="s">
        <v>322</v>
      </c>
      <c r="H225" s="35" t="s">
        <v>26</v>
      </c>
      <c r="I225" s="35" t="str">
        <f>HYPERLINK("https://open.spotify.com/album/3Ap0hEVM0NrHIhxAmBYAt1", "S")</f>
        <v>S</v>
      </c>
      <c r="J225" s="57"/>
      <c r="K225" s="57"/>
      <c r="L225" s="84"/>
      <c r="M225" s="85"/>
    </row>
    <row r="226">
      <c r="A226" s="31" t="s">
        <v>735</v>
      </c>
      <c r="B226" s="32" t="s">
        <v>736</v>
      </c>
      <c r="C226" s="45">
        <v>45695.0</v>
      </c>
      <c r="D226" s="34" t="s">
        <v>22</v>
      </c>
      <c r="E226" s="32" t="s">
        <v>737</v>
      </c>
      <c r="F226" s="34" t="s">
        <v>53</v>
      </c>
      <c r="G226" s="34" t="s">
        <v>738</v>
      </c>
      <c r="H226" s="35" t="s">
        <v>26</v>
      </c>
      <c r="I226" s="35" t="s">
        <v>27</v>
      </c>
      <c r="J226" s="57"/>
      <c r="K226" s="57"/>
      <c r="L226" s="84"/>
      <c r="M226" s="85"/>
    </row>
    <row r="227">
      <c r="A227" s="31" t="s">
        <v>739</v>
      </c>
      <c r="B227" s="32" t="s">
        <v>740</v>
      </c>
      <c r="C227" s="45">
        <v>45695.0</v>
      </c>
      <c r="D227" s="34" t="s">
        <v>22</v>
      </c>
      <c r="E227" s="32" t="s">
        <v>741</v>
      </c>
      <c r="F227" s="34" t="s">
        <v>24</v>
      </c>
      <c r="G227" s="34" t="s">
        <v>742</v>
      </c>
      <c r="H227" s="35" t="s">
        <v>26</v>
      </c>
      <c r="I227" s="35" t="s">
        <v>27</v>
      </c>
      <c r="J227" s="35" t="s">
        <v>100</v>
      </c>
      <c r="K227" s="57"/>
      <c r="L227" s="84"/>
      <c r="M227" s="85"/>
    </row>
    <row r="228">
      <c r="A228" s="31" t="s">
        <v>743</v>
      </c>
      <c r="B228" s="32" t="s">
        <v>744</v>
      </c>
      <c r="C228" s="45">
        <v>45695.0</v>
      </c>
      <c r="D228" s="34" t="s">
        <v>22</v>
      </c>
      <c r="E228" s="32" t="s">
        <v>745</v>
      </c>
      <c r="F228" s="34" t="s">
        <v>24</v>
      </c>
      <c r="G228" s="34" t="s">
        <v>199</v>
      </c>
      <c r="H228" s="35" t="s">
        <v>26</v>
      </c>
      <c r="I228" s="35" t="s">
        <v>27</v>
      </c>
      <c r="J228" s="35" t="s">
        <v>100</v>
      </c>
      <c r="K228" s="57"/>
      <c r="L228" s="84"/>
      <c r="M228" s="85"/>
    </row>
    <row r="229">
      <c r="A229" s="31" t="s">
        <v>746</v>
      </c>
      <c r="B229" s="32" t="s">
        <v>747</v>
      </c>
      <c r="C229" s="45">
        <v>45695.0</v>
      </c>
      <c r="D229" s="34" t="s">
        <v>22</v>
      </c>
      <c r="E229" s="32" t="s">
        <v>513</v>
      </c>
      <c r="F229" s="34" t="s">
        <v>156</v>
      </c>
      <c r="G229" s="34" t="s">
        <v>299</v>
      </c>
      <c r="H229" s="35" t="s">
        <v>26</v>
      </c>
      <c r="I229" s="35" t="s">
        <v>27</v>
      </c>
      <c r="J229" s="57"/>
      <c r="K229" s="57"/>
      <c r="L229" s="84"/>
    </row>
    <row r="230">
      <c r="A230" s="31" t="s">
        <v>748</v>
      </c>
      <c r="B230" s="32" t="s">
        <v>749</v>
      </c>
      <c r="C230" s="45">
        <v>45695.0</v>
      </c>
      <c r="D230" s="34" t="s">
        <v>22</v>
      </c>
      <c r="E230" s="32" t="s">
        <v>750</v>
      </c>
      <c r="F230" s="34" t="s">
        <v>53</v>
      </c>
      <c r="G230" s="34" t="s">
        <v>751</v>
      </c>
      <c r="H230" s="35" t="s">
        <v>26</v>
      </c>
      <c r="I230" s="35" t="s">
        <v>27</v>
      </c>
      <c r="J230" s="35" t="s">
        <v>100</v>
      </c>
      <c r="K230" s="57"/>
      <c r="L230" s="84"/>
    </row>
    <row r="231">
      <c r="A231" s="31" t="s">
        <v>752</v>
      </c>
      <c r="B231" s="32" t="s">
        <v>753</v>
      </c>
      <c r="C231" s="45">
        <v>45695.0</v>
      </c>
      <c r="D231" s="34" t="s">
        <v>22</v>
      </c>
      <c r="E231" s="32" t="s">
        <v>754</v>
      </c>
      <c r="F231" s="34" t="s">
        <v>24</v>
      </c>
      <c r="G231" s="34" t="s">
        <v>292</v>
      </c>
      <c r="H231" s="35" t="s">
        <v>26</v>
      </c>
      <c r="I231" s="35" t="str">
        <f>HYPERLINK("https://open.spotify.com/album/6iMIc8aG8HyT1n3niOL6zJ", "S")</f>
        <v>S</v>
      </c>
      <c r="J231" s="35" t="s">
        <v>100</v>
      </c>
      <c r="K231" s="57"/>
      <c r="L231" s="84"/>
    </row>
    <row r="232">
      <c r="A232" s="31" t="s">
        <v>755</v>
      </c>
      <c r="B232" s="32" t="s">
        <v>756</v>
      </c>
      <c r="C232" s="33">
        <v>45695.0</v>
      </c>
      <c r="D232" s="34" t="s">
        <v>22</v>
      </c>
      <c r="E232" s="32" t="s">
        <v>757</v>
      </c>
      <c r="F232" s="34" t="s">
        <v>156</v>
      </c>
      <c r="G232" s="34" t="s">
        <v>423</v>
      </c>
      <c r="H232" s="35" t="s">
        <v>26</v>
      </c>
      <c r="I232" s="35" t="s">
        <v>27</v>
      </c>
      <c r="J232" s="35" t="s">
        <v>100</v>
      </c>
      <c r="K232" s="57"/>
      <c r="L232" s="84"/>
    </row>
    <row r="233">
      <c r="A233" s="31" t="s">
        <v>758</v>
      </c>
      <c r="B233" s="32" t="s">
        <v>759</v>
      </c>
      <c r="C233" s="59">
        <v>45695.0</v>
      </c>
      <c r="D233" s="47" t="s">
        <v>39</v>
      </c>
      <c r="E233" s="32" t="s">
        <v>760</v>
      </c>
      <c r="F233" s="34" t="s">
        <v>53</v>
      </c>
      <c r="G233" s="34" t="s">
        <v>761</v>
      </c>
      <c r="H233" s="57"/>
      <c r="I233" s="35" t="s">
        <v>27</v>
      </c>
      <c r="J233" s="57"/>
      <c r="K233" s="57"/>
      <c r="L233" s="84"/>
    </row>
    <row r="234">
      <c r="A234" s="31" t="s">
        <v>762</v>
      </c>
      <c r="B234" s="32" t="s">
        <v>763</v>
      </c>
      <c r="C234" s="33">
        <v>45695.0</v>
      </c>
      <c r="D234" s="34" t="s">
        <v>39</v>
      </c>
      <c r="E234" s="32" t="s">
        <v>764</v>
      </c>
      <c r="F234" s="34" t="s">
        <v>156</v>
      </c>
      <c r="G234" s="34" t="s">
        <v>440</v>
      </c>
      <c r="H234" s="35" t="s">
        <v>26</v>
      </c>
      <c r="I234" s="35" t="s">
        <v>27</v>
      </c>
      <c r="J234" s="57"/>
      <c r="K234" s="57"/>
      <c r="L234" s="84"/>
    </row>
    <row r="235">
      <c r="A235" s="31" t="s">
        <v>765</v>
      </c>
      <c r="B235" s="32" t="s">
        <v>766</v>
      </c>
      <c r="C235" s="33">
        <v>45695.0</v>
      </c>
      <c r="D235" s="34" t="s">
        <v>22</v>
      </c>
      <c r="E235" s="32" t="s">
        <v>98</v>
      </c>
      <c r="F235" s="34" t="s">
        <v>24</v>
      </c>
      <c r="G235" s="34" t="s">
        <v>767</v>
      </c>
      <c r="H235" s="35" t="s">
        <v>26</v>
      </c>
      <c r="I235" s="35" t="s">
        <v>27</v>
      </c>
      <c r="J235" s="57"/>
      <c r="K235" s="57"/>
      <c r="L235" s="84"/>
    </row>
    <row r="236">
      <c r="A236" s="31" t="s">
        <v>768</v>
      </c>
      <c r="B236" s="32" t="s">
        <v>769</v>
      </c>
      <c r="C236" s="33">
        <v>45695.0</v>
      </c>
      <c r="D236" s="47" t="s">
        <v>22</v>
      </c>
      <c r="E236" s="32" t="s">
        <v>770</v>
      </c>
      <c r="F236" s="34" t="s">
        <v>24</v>
      </c>
      <c r="G236" s="34" t="s">
        <v>771</v>
      </c>
      <c r="H236" s="35" t="s">
        <v>26</v>
      </c>
      <c r="I236" s="35" t="s">
        <v>27</v>
      </c>
      <c r="J236" s="35" t="s">
        <v>100</v>
      </c>
      <c r="K236" s="57"/>
      <c r="L236" s="84"/>
    </row>
    <row r="237">
      <c r="A237" s="31" t="s">
        <v>772</v>
      </c>
      <c r="B237" s="32" t="s">
        <v>773</v>
      </c>
      <c r="C237" s="33">
        <v>45695.0</v>
      </c>
      <c r="D237" s="34" t="s">
        <v>22</v>
      </c>
      <c r="E237" s="32" t="s">
        <v>774</v>
      </c>
      <c r="F237" s="34" t="s">
        <v>53</v>
      </c>
      <c r="G237" s="34" t="s">
        <v>41</v>
      </c>
      <c r="H237" s="35" t="s">
        <v>26</v>
      </c>
      <c r="I237" s="35" t="s">
        <v>27</v>
      </c>
      <c r="J237" s="57"/>
      <c r="K237" s="57"/>
      <c r="L237" s="84"/>
    </row>
    <row r="238">
      <c r="A238" s="31" t="s">
        <v>775</v>
      </c>
      <c r="B238" s="32" t="s">
        <v>776</v>
      </c>
      <c r="C238" s="33">
        <v>45695.0</v>
      </c>
      <c r="D238" s="47" t="s">
        <v>39</v>
      </c>
      <c r="E238" s="32" t="s">
        <v>374</v>
      </c>
      <c r="F238" s="34" t="s">
        <v>24</v>
      </c>
      <c r="G238" s="34" t="s">
        <v>660</v>
      </c>
      <c r="H238" s="35" t="s">
        <v>26</v>
      </c>
      <c r="I238" s="35" t="str">
        <f>HYPERLINK("https://open.spotify.com/album/5E2eyU4rEGqibHslbtreXf", "S")</f>
        <v>S</v>
      </c>
      <c r="J238" s="35" t="s">
        <v>100</v>
      </c>
      <c r="K238" s="57"/>
      <c r="L238" s="84"/>
    </row>
    <row r="239">
      <c r="A239" s="31" t="s">
        <v>777</v>
      </c>
      <c r="B239" s="32" t="s">
        <v>778</v>
      </c>
      <c r="C239" s="33">
        <v>45695.0</v>
      </c>
      <c r="D239" s="34" t="s">
        <v>39</v>
      </c>
      <c r="E239" s="32" t="s">
        <v>61</v>
      </c>
      <c r="F239" s="34" t="s">
        <v>24</v>
      </c>
      <c r="G239" s="34" t="s">
        <v>62</v>
      </c>
      <c r="H239" s="35" t="s">
        <v>26</v>
      </c>
      <c r="I239" s="35" t="s">
        <v>27</v>
      </c>
      <c r="J239" s="57"/>
      <c r="K239" s="57"/>
      <c r="L239" s="84"/>
    </row>
    <row r="240">
      <c r="A240" s="31" t="s">
        <v>779</v>
      </c>
      <c r="B240" s="32" t="s">
        <v>780</v>
      </c>
      <c r="C240" s="33">
        <v>45695.0</v>
      </c>
      <c r="D240" s="34" t="s">
        <v>22</v>
      </c>
      <c r="E240" s="32" t="s">
        <v>781</v>
      </c>
      <c r="F240" s="34" t="s">
        <v>24</v>
      </c>
      <c r="G240" s="34" t="s">
        <v>782</v>
      </c>
      <c r="H240" s="35" t="s">
        <v>26</v>
      </c>
      <c r="I240" s="35" t="s">
        <v>27</v>
      </c>
      <c r="J240" s="57"/>
      <c r="K240" s="57"/>
      <c r="L240" s="84"/>
    </row>
    <row r="241">
      <c r="A241" s="31" t="s">
        <v>783</v>
      </c>
      <c r="B241" s="32" t="s">
        <v>784</v>
      </c>
      <c r="C241" s="33">
        <v>45695.0</v>
      </c>
      <c r="D241" s="34" t="s">
        <v>22</v>
      </c>
      <c r="E241" s="32" t="s">
        <v>632</v>
      </c>
      <c r="F241" s="34" t="s">
        <v>24</v>
      </c>
      <c r="G241" s="34" t="s">
        <v>292</v>
      </c>
      <c r="H241" s="35" t="s">
        <v>26</v>
      </c>
      <c r="I241" s="35" t="str">
        <f>HYPERLINK("https://open.spotify.com/album/4eedhGQNkVbTfRyMUnop6E", "S")</f>
        <v>S</v>
      </c>
      <c r="J241" s="35" t="s">
        <v>100</v>
      </c>
      <c r="K241" s="57"/>
      <c r="L241" s="84"/>
    </row>
    <row r="242">
      <c r="A242" s="31" t="s">
        <v>785</v>
      </c>
      <c r="B242" s="32" t="s">
        <v>786</v>
      </c>
      <c r="C242" s="33">
        <v>45695.0</v>
      </c>
      <c r="D242" s="34" t="s">
        <v>39</v>
      </c>
      <c r="E242" s="32" t="s">
        <v>787</v>
      </c>
      <c r="F242" s="34" t="s">
        <v>53</v>
      </c>
      <c r="G242" s="34" t="s">
        <v>54</v>
      </c>
      <c r="H242" s="35" t="s">
        <v>26</v>
      </c>
      <c r="I242" s="35" t="s">
        <v>27</v>
      </c>
      <c r="J242" s="57"/>
      <c r="K242" s="57"/>
      <c r="L242" s="84"/>
    </row>
    <row r="243">
      <c r="A243" s="32" t="s">
        <v>788</v>
      </c>
      <c r="B243" s="32" t="s">
        <v>789</v>
      </c>
      <c r="C243" s="33">
        <v>45695.0</v>
      </c>
      <c r="D243" s="34" t="s">
        <v>22</v>
      </c>
      <c r="E243" s="32" t="s">
        <v>370</v>
      </c>
      <c r="F243" s="34" t="s">
        <v>53</v>
      </c>
      <c r="G243" s="34" t="s">
        <v>514</v>
      </c>
      <c r="H243" s="35" t="s">
        <v>26</v>
      </c>
      <c r="I243" s="35" t="s">
        <v>27</v>
      </c>
      <c r="J243" s="35" t="s">
        <v>100</v>
      </c>
      <c r="K243" s="57"/>
      <c r="L243" s="84"/>
    </row>
    <row r="244">
      <c r="A244" s="31" t="s">
        <v>790</v>
      </c>
      <c r="B244" s="32" t="s">
        <v>791</v>
      </c>
      <c r="C244" s="45">
        <v>45696.0</v>
      </c>
      <c r="D244" s="34" t="s">
        <v>22</v>
      </c>
      <c r="E244" s="32" t="s">
        <v>69</v>
      </c>
      <c r="F244" s="34" t="s">
        <v>53</v>
      </c>
      <c r="G244" s="34" t="s">
        <v>792</v>
      </c>
      <c r="H244" s="35" t="s">
        <v>26</v>
      </c>
      <c r="I244" s="35" t="s">
        <v>27</v>
      </c>
      <c r="J244" s="35" t="s">
        <v>100</v>
      </c>
      <c r="K244" s="57"/>
      <c r="L244" s="84"/>
    </row>
    <row r="245">
      <c r="A245" s="31" t="s">
        <v>793</v>
      </c>
      <c r="B245" s="32" t="s">
        <v>794</v>
      </c>
      <c r="C245" s="33">
        <v>45697.0</v>
      </c>
      <c r="D245" s="47" t="s">
        <v>22</v>
      </c>
      <c r="E245" s="32" t="s">
        <v>795</v>
      </c>
      <c r="F245" s="34" t="s">
        <v>53</v>
      </c>
      <c r="G245" s="34" t="s">
        <v>510</v>
      </c>
      <c r="H245" s="35" t="s">
        <v>26</v>
      </c>
      <c r="I245" s="35" t="str">
        <f>HYPERLINK("https://open.spotify.com/album/1PBVfSLGEEDyIBmTlvAclB", "S")</f>
        <v>S</v>
      </c>
      <c r="J245" s="57"/>
      <c r="K245" s="87"/>
      <c r="L245" s="88"/>
    </row>
    <row r="246">
      <c r="A246" s="31" t="s">
        <v>796</v>
      </c>
      <c r="B246" s="32" t="s">
        <v>797</v>
      </c>
      <c r="C246" s="33">
        <v>45697.0</v>
      </c>
      <c r="D246" s="34" t="s">
        <v>22</v>
      </c>
      <c r="E246" s="32" t="s">
        <v>61</v>
      </c>
      <c r="F246" s="34" t="s">
        <v>24</v>
      </c>
      <c r="G246" s="34" t="s">
        <v>257</v>
      </c>
      <c r="H246" s="35" t="s">
        <v>26</v>
      </c>
      <c r="I246" s="35" t="s">
        <v>27</v>
      </c>
      <c r="J246" s="57"/>
      <c r="K246" s="57"/>
      <c r="L246" s="84"/>
    </row>
    <row r="247">
      <c r="A247" s="31" t="s">
        <v>798</v>
      </c>
      <c r="B247" s="32" t="s">
        <v>799</v>
      </c>
      <c r="C247" s="33">
        <v>45699.0</v>
      </c>
      <c r="D247" s="34" t="s">
        <v>22</v>
      </c>
      <c r="E247" s="32" t="s">
        <v>325</v>
      </c>
      <c r="F247" s="34" t="s">
        <v>156</v>
      </c>
      <c r="G247" s="34" t="s">
        <v>41</v>
      </c>
      <c r="H247" s="35" t="s">
        <v>26</v>
      </c>
      <c r="I247" s="35" t="str">
        <f>HYPERLINK("https://open.spotify.com/album/49RWgpkxkMWmalSgQWitEf", "S")</f>
        <v>S</v>
      </c>
      <c r="J247" s="57"/>
      <c r="K247" s="57"/>
      <c r="L247" s="84"/>
    </row>
    <row r="248">
      <c r="A248" s="31" t="s">
        <v>800</v>
      </c>
      <c r="B248" s="32" t="s">
        <v>801</v>
      </c>
      <c r="C248" s="33">
        <v>45699.0</v>
      </c>
      <c r="D248" s="34" t="s">
        <v>22</v>
      </c>
      <c r="E248" s="32" t="s">
        <v>802</v>
      </c>
      <c r="F248" s="34" t="s">
        <v>53</v>
      </c>
      <c r="G248" s="34" t="s">
        <v>257</v>
      </c>
      <c r="H248" s="35" t="s">
        <v>26</v>
      </c>
      <c r="I248" s="35" t="s">
        <v>27</v>
      </c>
      <c r="J248" s="57"/>
      <c r="K248" s="57"/>
      <c r="L248" s="84"/>
    </row>
    <row r="249">
      <c r="A249" s="31" t="s">
        <v>803</v>
      </c>
      <c r="B249" s="32" t="s">
        <v>804</v>
      </c>
      <c r="C249" s="45">
        <v>45700.0</v>
      </c>
      <c r="D249" s="34" t="s">
        <v>22</v>
      </c>
      <c r="E249" s="32" t="s">
        <v>805</v>
      </c>
      <c r="F249" s="34" t="s">
        <v>53</v>
      </c>
      <c r="G249" s="34" t="s">
        <v>806</v>
      </c>
      <c r="H249" s="35" t="s">
        <v>26</v>
      </c>
      <c r="I249" s="35" t="str">
        <f>HYPERLINK("https://open.spotify.com/album/3TyS7XiF0tftYDPqlWXFtZ", "S")</f>
        <v>S</v>
      </c>
      <c r="J249" s="57"/>
      <c r="K249" s="57"/>
      <c r="L249" s="84"/>
    </row>
    <row r="250">
      <c r="A250" s="31" t="s">
        <v>807</v>
      </c>
      <c r="B250" s="32" t="s">
        <v>808</v>
      </c>
      <c r="C250" s="33">
        <v>45700.0</v>
      </c>
      <c r="D250" s="34" t="s">
        <v>39</v>
      </c>
      <c r="E250" s="32" t="s">
        <v>77</v>
      </c>
      <c r="F250" s="34" t="s">
        <v>53</v>
      </c>
      <c r="G250" s="34" t="s">
        <v>809</v>
      </c>
      <c r="H250" s="35" t="s">
        <v>26</v>
      </c>
      <c r="I250" s="35" t="str">
        <f>HYPERLINK("https://open.spotify.com/album/0PkbJAMOKDCWKDZ8XeTAkU", "S")</f>
        <v>S</v>
      </c>
      <c r="J250" s="57"/>
      <c r="K250" s="57"/>
      <c r="L250" s="84"/>
    </row>
    <row r="251">
      <c r="A251" s="31" t="s">
        <v>810</v>
      </c>
      <c r="B251" s="32" t="s">
        <v>811</v>
      </c>
      <c r="C251" s="33">
        <v>45701.0</v>
      </c>
      <c r="D251" s="47" t="s">
        <v>22</v>
      </c>
      <c r="E251" s="32" t="s">
        <v>632</v>
      </c>
      <c r="F251" s="34" t="s">
        <v>24</v>
      </c>
      <c r="G251" s="34" t="s">
        <v>812</v>
      </c>
      <c r="H251" s="35" t="s">
        <v>26</v>
      </c>
      <c r="I251" s="35" t="s">
        <v>27</v>
      </c>
      <c r="J251" s="57"/>
      <c r="K251" s="57"/>
      <c r="L251" s="84"/>
    </row>
    <row r="252">
      <c r="A252" s="31" t="s">
        <v>813</v>
      </c>
      <c r="B252" s="32" t="s">
        <v>814</v>
      </c>
      <c r="C252" s="33">
        <v>45701.0</v>
      </c>
      <c r="D252" s="34" t="s">
        <v>39</v>
      </c>
      <c r="E252" s="32" t="s">
        <v>61</v>
      </c>
      <c r="F252" s="34" t="s">
        <v>24</v>
      </c>
      <c r="G252" s="34" t="s">
        <v>41</v>
      </c>
      <c r="H252" s="35" t="s">
        <v>26</v>
      </c>
      <c r="I252" s="65"/>
      <c r="J252" s="57"/>
      <c r="K252" s="57"/>
      <c r="L252" s="84"/>
    </row>
    <row r="253">
      <c r="A253" s="31" t="s">
        <v>815</v>
      </c>
      <c r="B253" s="32" t="s">
        <v>816</v>
      </c>
      <c r="C253" s="33">
        <v>45701.0</v>
      </c>
      <c r="D253" s="34" t="s">
        <v>22</v>
      </c>
      <c r="E253" s="32" t="s">
        <v>817</v>
      </c>
      <c r="F253" s="34" t="s">
        <v>53</v>
      </c>
      <c r="G253" s="34" t="s">
        <v>629</v>
      </c>
      <c r="H253" s="35" t="s">
        <v>26</v>
      </c>
      <c r="I253" s="35" t="s">
        <v>27</v>
      </c>
      <c r="J253" s="35" t="s">
        <v>100</v>
      </c>
      <c r="K253" s="57"/>
      <c r="L253" s="84"/>
    </row>
    <row r="254">
      <c r="A254" s="31" t="s">
        <v>818</v>
      </c>
      <c r="B254" s="32" t="s">
        <v>819</v>
      </c>
      <c r="C254" s="33">
        <v>45702.0</v>
      </c>
      <c r="D254" s="34" t="s">
        <v>22</v>
      </c>
      <c r="E254" s="32" t="s">
        <v>325</v>
      </c>
      <c r="F254" s="34" t="s">
        <v>156</v>
      </c>
      <c r="G254" s="34" t="s">
        <v>526</v>
      </c>
      <c r="H254" s="66"/>
      <c r="I254" s="35" t="s">
        <v>27</v>
      </c>
      <c r="J254" s="57"/>
      <c r="K254" s="57"/>
      <c r="L254" s="84"/>
    </row>
    <row r="255">
      <c r="A255" s="31" t="s">
        <v>820</v>
      </c>
      <c r="B255" s="32" t="s">
        <v>821</v>
      </c>
      <c r="C255" s="33">
        <v>45702.0</v>
      </c>
      <c r="D255" s="34" t="s">
        <v>22</v>
      </c>
      <c r="E255" s="32" t="s">
        <v>822</v>
      </c>
      <c r="F255" s="34" t="s">
        <v>24</v>
      </c>
      <c r="G255" s="34" t="s">
        <v>823</v>
      </c>
      <c r="H255" s="35" t="s">
        <v>26</v>
      </c>
      <c r="I255" s="35" t="s">
        <v>27</v>
      </c>
      <c r="J255" s="57"/>
      <c r="K255" s="57"/>
      <c r="L255" s="84"/>
    </row>
    <row r="256">
      <c r="A256" s="31" t="s">
        <v>824</v>
      </c>
      <c r="B256" s="32" t="s">
        <v>825</v>
      </c>
      <c r="C256" s="33">
        <v>45702.0</v>
      </c>
      <c r="D256" s="34" t="s">
        <v>39</v>
      </c>
      <c r="E256" s="32" t="s">
        <v>826</v>
      </c>
      <c r="F256" s="34" t="s">
        <v>24</v>
      </c>
      <c r="G256" s="34" t="s">
        <v>365</v>
      </c>
      <c r="H256" s="35" t="s">
        <v>26</v>
      </c>
      <c r="I256" s="58" t="str">
        <f>HYPERLINK("https://open.spotify.com/album/4Jwmdm8cS5rM1dEBJsVWq3", "S")</f>
        <v>S</v>
      </c>
      <c r="J256" s="57"/>
      <c r="K256" s="57"/>
      <c r="L256" s="84"/>
    </row>
    <row r="257">
      <c r="A257" s="31" t="s">
        <v>827</v>
      </c>
      <c r="B257" s="32" t="s">
        <v>828</v>
      </c>
      <c r="C257" s="33">
        <v>45702.0</v>
      </c>
      <c r="D257" s="34" t="s">
        <v>22</v>
      </c>
      <c r="E257" s="32" t="s">
        <v>61</v>
      </c>
      <c r="F257" s="34" t="s">
        <v>24</v>
      </c>
      <c r="G257" s="34" t="s">
        <v>829</v>
      </c>
      <c r="H257" s="35" t="s">
        <v>26</v>
      </c>
      <c r="I257" s="65"/>
      <c r="J257" s="57"/>
      <c r="K257" s="57"/>
      <c r="L257" s="84"/>
    </row>
    <row r="258">
      <c r="A258" s="31" t="s">
        <v>830</v>
      </c>
      <c r="B258" s="32" t="s">
        <v>831</v>
      </c>
      <c r="C258" s="33">
        <v>45702.0</v>
      </c>
      <c r="D258" s="34" t="s">
        <v>22</v>
      </c>
      <c r="E258" s="32" t="s">
        <v>535</v>
      </c>
      <c r="F258" s="34" t="s">
        <v>24</v>
      </c>
      <c r="G258" s="34" t="s">
        <v>336</v>
      </c>
      <c r="H258" s="35" t="s">
        <v>26</v>
      </c>
      <c r="I258" s="35" t="s">
        <v>27</v>
      </c>
      <c r="J258" s="35" t="s">
        <v>100</v>
      </c>
      <c r="K258" s="57"/>
      <c r="L258" s="84"/>
    </row>
    <row r="259">
      <c r="A259" s="31" t="s">
        <v>832</v>
      </c>
      <c r="B259" s="32" t="s">
        <v>833</v>
      </c>
      <c r="C259" s="33">
        <v>45702.0</v>
      </c>
      <c r="D259" s="34" t="s">
        <v>22</v>
      </c>
      <c r="E259" s="32" t="s">
        <v>834</v>
      </c>
      <c r="F259" s="34" t="s">
        <v>24</v>
      </c>
      <c r="G259" s="34" t="s">
        <v>169</v>
      </c>
      <c r="H259" s="35" t="s">
        <v>26</v>
      </c>
      <c r="I259" s="35" t="s">
        <v>27</v>
      </c>
      <c r="J259" s="57"/>
      <c r="K259" s="57"/>
      <c r="L259" s="84"/>
    </row>
    <row r="260">
      <c r="A260" s="31" t="s">
        <v>835</v>
      </c>
      <c r="B260" s="32" t="s">
        <v>836</v>
      </c>
      <c r="C260" s="33">
        <v>45702.0</v>
      </c>
      <c r="D260" s="34" t="s">
        <v>22</v>
      </c>
      <c r="E260" s="32" t="s">
        <v>837</v>
      </c>
      <c r="F260" s="34" t="s">
        <v>53</v>
      </c>
      <c r="G260" s="34" t="s">
        <v>299</v>
      </c>
      <c r="H260" s="35" t="s">
        <v>26</v>
      </c>
      <c r="I260" s="35" t="s">
        <v>27</v>
      </c>
      <c r="J260" s="35" t="s">
        <v>100</v>
      </c>
      <c r="K260" s="57"/>
      <c r="L260" s="84"/>
    </row>
    <row r="261">
      <c r="A261" s="31" t="s">
        <v>838</v>
      </c>
      <c r="B261" s="32" t="s">
        <v>839</v>
      </c>
      <c r="C261" s="33">
        <v>45702.0</v>
      </c>
      <c r="D261" s="34" t="s">
        <v>22</v>
      </c>
      <c r="E261" s="32" t="s">
        <v>707</v>
      </c>
      <c r="F261" s="34" t="s">
        <v>24</v>
      </c>
      <c r="G261" s="34" t="s">
        <v>840</v>
      </c>
      <c r="H261" s="35" t="s">
        <v>26</v>
      </c>
      <c r="I261" s="35" t="s">
        <v>27</v>
      </c>
      <c r="J261" s="57"/>
      <c r="K261" s="57"/>
      <c r="L261" s="84"/>
    </row>
    <row r="262">
      <c r="A262" s="67" t="s">
        <v>841</v>
      </c>
      <c r="B262" s="67" t="s">
        <v>842</v>
      </c>
      <c r="C262" s="45">
        <v>45702.0</v>
      </c>
      <c r="D262" s="68" t="s">
        <v>22</v>
      </c>
      <c r="E262" s="32" t="s">
        <v>84</v>
      </c>
      <c r="F262" s="34" t="s">
        <v>53</v>
      </c>
      <c r="G262" s="34" t="s">
        <v>41</v>
      </c>
      <c r="H262" s="65"/>
      <c r="I262" s="35" t="s">
        <v>27</v>
      </c>
      <c r="J262" s="57"/>
      <c r="K262" s="57"/>
      <c r="L262" s="84"/>
    </row>
    <row r="263">
      <c r="A263" s="67" t="s">
        <v>843</v>
      </c>
      <c r="B263" s="67" t="s">
        <v>844</v>
      </c>
      <c r="C263" s="45">
        <v>45702.0</v>
      </c>
      <c r="D263" s="68" t="s">
        <v>22</v>
      </c>
      <c r="E263" s="32" t="s">
        <v>845</v>
      </c>
      <c r="F263" s="34" t="s">
        <v>53</v>
      </c>
      <c r="G263" s="34" t="s">
        <v>292</v>
      </c>
      <c r="H263" s="35" t="s">
        <v>26</v>
      </c>
      <c r="I263" s="35" t="s">
        <v>27</v>
      </c>
      <c r="J263" s="35" t="s">
        <v>100</v>
      </c>
      <c r="K263" s="57"/>
      <c r="L263" s="84"/>
    </row>
    <row r="264">
      <c r="A264" s="31" t="s">
        <v>846</v>
      </c>
      <c r="B264" s="32" t="s">
        <v>847</v>
      </c>
      <c r="C264" s="45">
        <v>45702.0</v>
      </c>
      <c r="D264" s="34" t="s">
        <v>22</v>
      </c>
      <c r="E264" s="32" t="s">
        <v>436</v>
      </c>
      <c r="F264" s="34" t="s">
        <v>31</v>
      </c>
      <c r="G264" s="34" t="s">
        <v>119</v>
      </c>
      <c r="H264" s="35" t="s">
        <v>26</v>
      </c>
      <c r="I264" s="35" t="s">
        <v>27</v>
      </c>
      <c r="J264" s="57"/>
      <c r="K264" s="57"/>
      <c r="L264" s="84"/>
    </row>
    <row r="265">
      <c r="A265" s="31" t="s">
        <v>848</v>
      </c>
      <c r="B265" s="32" t="s">
        <v>848</v>
      </c>
      <c r="C265" s="59">
        <v>45702.0</v>
      </c>
      <c r="D265" s="34" t="s">
        <v>22</v>
      </c>
      <c r="E265" s="32" t="s">
        <v>98</v>
      </c>
      <c r="F265" s="34" t="s">
        <v>24</v>
      </c>
      <c r="G265" s="34" t="s">
        <v>849</v>
      </c>
      <c r="H265" s="65"/>
      <c r="I265" s="35" t="s">
        <v>27</v>
      </c>
      <c r="J265" s="57"/>
      <c r="K265" s="57"/>
      <c r="L265" s="84"/>
    </row>
    <row r="266">
      <c r="A266" s="31" t="s">
        <v>850</v>
      </c>
      <c r="B266" s="32" t="s">
        <v>851</v>
      </c>
      <c r="C266" s="45">
        <v>45702.0</v>
      </c>
      <c r="D266" s="34" t="s">
        <v>22</v>
      </c>
      <c r="E266" s="32" t="s">
        <v>122</v>
      </c>
      <c r="F266" s="34" t="s">
        <v>53</v>
      </c>
      <c r="G266" s="34" t="s">
        <v>852</v>
      </c>
      <c r="H266" s="35" t="s">
        <v>26</v>
      </c>
      <c r="I266" s="35" t="s">
        <v>27</v>
      </c>
      <c r="J266" s="35" t="s">
        <v>100</v>
      </c>
      <c r="K266" s="57"/>
      <c r="L266" s="84"/>
    </row>
    <row r="267">
      <c r="A267" s="31" t="s">
        <v>853</v>
      </c>
      <c r="B267" s="32" t="s">
        <v>854</v>
      </c>
      <c r="C267" s="45">
        <v>45702.0</v>
      </c>
      <c r="D267" s="34" t="s">
        <v>22</v>
      </c>
      <c r="E267" s="32" t="s">
        <v>855</v>
      </c>
      <c r="F267" s="34" t="s">
        <v>53</v>
      </c>
      <c r="G267" s="34" t="s">
        <v>442</v>
      </c>
      <c r="H267" s="35" t="s">
        <v>26</v>
      </c>
      <c r="I267" s="35" t="s">
        <v>27</v>
      </c>
      <c r="J267" s="57"/>
      <c r="K267" s="57"/>
      <c r="L267" s="84"/>
    </row>
    <row r="268">
      <c r="A268" s="32" t="s">
        <v>856</v>
      </c>
      <c r="B268" s="32" t="s">
        <v>857</v>
      </c>
      <c r="C268" s="45">
        <v>45702.0</v>
      </c>
      <c r="D268" s="68" t="s">
        <v>22</v>
      </c>
      <c r="E268" s="32" t="s">
        <v>858</v>
      </c>
      <c r="F268" s="34" t="s">
        <v>156</v>
      </c>
      <c r="G268" s="34" t="s">
        <v>292</v>
      </c>
      <c r="H268" s="35" t="str">
        <f>HYPERLINK("https://hangmanschair.bandcamp.com/album/saddiction", "BC")</f>
        <v>BC</v>
      </c>
      <c r="I268" s="35" t="s">
        <v>27</v>
      </c>
      <c r="J268" s="35" t="s">
        <v>100</v>
      </c>
      <c r="K268" s="57"/>
      <c r="L268" s="84"/>
    </row>
    <row r="269">
      <c r="A269" s="32" t="s">
        <v>859</v>
      </c>
      <c r="B269" s="32" t="s">
        <v>860</v>
      </c>
      <c r="C269" s="45">
        <v>45702.0</v>
      </c>
      <c r="D269" s="68" t="s">
        <v>22</v>
      </c>
      <c r="E269" s="32" t="s">
        <v>861</v>
      </c>
      <c r="F269" s="34" t="s">
        <v>53</v>
      </c>
      <c r="G269" s="34" t="s">
        <v>862</v>
      </c>
      <c r="H269" s="65"/>
      <c r="I269" s="35" t="s">
        <v>27</v>
      </c>
      <c r="J269" s="87"/>
      <c r="K269" s="57"/>
      <c r="L269" s="84"/>
    </row>
    <row r="270">
      <c r="A270" s="31" t="s">
        <v>863</v>
      </c>
      <c r="B270" s="32" t="s">
        <v>864</v>
      </c>
      <c r="C270" s="45">
        <v>45702.0</v>
      </c>
      <c r="D270" s="34" t="s">
        <v>22</v>
      </c>
      <c r="E270" s="32" t="s">
        <v>865</v>
      </c>
      <c r="F270" s="34" t="s">
        <v>53</v>
      </c>
      <c r="G270" s="34" t="s">
        <v>423</v>
      </c>
      <c r="H270" s="35" t="s">
        <v>26</v>
      </c>
      <c r="I270" s="35" t="s">
        <v>27</v>
      </c>
      <c r="J270" s="65"/>
      <c r="K270" s="57"/>
      <c r="L270" s="84"/>
    </row>
    <row r="271">
      <c r="A271" s="31" t="s">
        <v>866</v>
      </c>
      <c r="B271" s="32" t="s">
        <v>867</v>
      </c>
      <c r="C271" s="45">
        <v>45702.0</v>
      </c>
      <c r="D271" s="47" t="s">
        <v>39</v>
      </c>
      <c r="E271" s="32" t="s">
        <v>61</v>
      </c>
      <c r="F271" s="34" t="s">
        <v>24</v>
      </c>
      <c r="G271" s="34" t="s">
        <v>868</v>
      </c>
      <c r="H271" s="35" t="s">
        <v>26</v>
      </c>
      <c r="I271" s="35" t="s">
        <v>27</v>
      </c>
      <c r="J271" s="35" t="s">
        <v>100</v>
      </c>
      <c r="K271" s="57"/>
      <c r="L271" s="84"/>
    </row>
    <row r="272">
      <c r="A272" s="31" t="s">
        <v>869</v>
      </c>
      <c r="B272" s="32" t="s">
        <v>870</v>
      </c>
      <c r="C272" s="45">
        <v>45702.0</v>
      </c>
      <c r="D272" s="34" t="s">
        <v>22</v>
      </c>
      <c r="E272" s="32" t="s">
        <v>707</v>
      </c>
      <c r="F272" s="34" t="s">
        <v>53</v>
      </c>
      <c r="G272" s="34" t="s">
        <v>871</v>
      </c>
      <c r="H272" s="35" t="s">
        <v>26</v>
      </c>
      <c r="I272" s="35" t="s">
        <v>27</v>
      </c>
      <c r="J272" s="35" t="s">
        <v>100</v>
      </c>
      <c r="K272" s="57"/>
      <c r="L272" s="84"/>
    </row>
    <row r="273">
      <c r="A273" s="31" t="s">
        <v>872</v>
      </c>
      <c r="B273" s="32" t="s">
        <v>873</v>
      </c>
      <c r="C273" s="45">
        <v>45702.0</v>
      </c>
      <c r="D273" s="34" t="s">
        <v>22</v>
      </c>
      <c r="E273" s="32" t="s">
        <v>126</v>
      </c>
      <c r="F273" s="34" t="s">
        <v>53</v>
      </c>
      <c r="G273" s="34" t="s">
        <v>874</v>
      </c>
      <c r="H273" s="35" t="s">
        <v>26</v>
      </c>
      <c r="I273" s="35" t="s">
        <v>27</v>
      </c>
      <c r="J273" s="35" t="s">
        <v>100</v>
      </c>
      <c r="K273" s="57"/>
      <c r="L273" s="84"/>
    </row>
    <row r="274">
      <c r="A274" s="31" t="s">
        <v>875</v>
      </c>
      <c r="B274" s="32" t="s">
        <v>876</v>
      </c>
      <c r="C274" s="45">
        <v>45702.0</v>
      </c>
      <c r="D274" s="34" t="s">
        <v>22</v>
      </c>
      <c r="E274" s="32" t="s">
        <v>877</v>
      </c>
      <c r="F274" s="34" t="s">
        <v>53</v>
      </c>
      <c r="G274" s="34" t="s">
        <v>878</v>
      </c>
      <c r="H274" s="35" t="s">
        <v>26</v>
      </c>
      <c r="I274" s="89" t="s">
        <v>27</v>
      </c>
      <c r="J274" s="57"/>
      <c r="K274" s="57"/>
      <c r="L274" s="84"/>
    </row>
    <row r="275">
      <c r="A275" s="31" t="s">
        <v>879</v>
      </c>
      <c r="B275" s="32" t="s">
        <v>880</v>
      </c>
      <c r="C275" s="45">
        <v>45702.0</v>
      </c>
      <c r="D275" s="34" t="s">
        <v>22</v>
      </c>
      <c r="E275" s="32" t="s">
        <v>122</v>
      </c>
      <c r="F275" s="34" t="s">
        <v>156</v>
      </c>
      <c r="G275" s="34" t="s">
        <v>881</v>
      </c>
      <c r="H275" s="35" t="s">
        <v>26</v>
      </c>
      <c r="I275" s="35" t="s">
        <v>27</v>
      </c>
      <c r="J275" s="35" t="s">
        <v>100</v>
      </c>
      <c r="K275" s="57"/>
      <c r="L275" s="84"/>
    </row>
    <row r="276">
      <c r="A276" s="31" t="s">
        <v>882</v>
      </c>
      <c r="B276" s="32" t="s">
        <v>883</v>
      </c>
      <c r="C276" s="45">
        <v>45702.0</v>
      </c>
      <c r="D276" s="34" t="s">
        <v>39</v>
      </c>
      <c r="E276" s="32" t="s">
        <v>129</v>
      </c>
      <c r="F276" s="34" t="s">
        <v>24</v>
      </c>
      <c r="G276" s="34" t="s">
        <v>884</v>
      </c>
      <c r="H276" s="35" t="s">
        <v>26</v>
      </c>
      <c r="I276" s="58" t="str">
        <f>HYPERLINK("https://open.spotify.com/album/4cvngkjwF7jIWUipksDT88", "S")</f>
        <v>S</v>
      </c>
      <c r="J276" s="35" t="s">
        <v>100</v>
      </c>
      <c r="K276" s="57"/>
      <c r="L276" s="84"/>
    </row>
    <row r="277">
      <c r="A277" s="31" t="s">
        <v>885</v>
      </c>
      <c r="B277" s="32" t="s">
        <v>886</v>
      </c>
      <c r="C277" s="45">
        <v>45702.0</v>
      </c>
      <c r="D277" s="34" t="s">
        <v>22</v>
      </c>
      <c r="E277" s="32" t="s">
        <v>107</v>
      </c>
      <c r="F277" s="34" t="s">
        <v>53</v>
      </c>
      <c r="G277" s="34" t="s">
        <v>342</v>
      </c>
      <c r="H277" s="35" t="s">
        <v>26</v>
      </c>
      <c r="I277" s="35" t="s">
        <v>27</v>
      </c>
      <c r="J277" s="57"/>
      <c r="K277" s="57"/>
      <c r="L277" s="84"/>
    </row>
    <row r="278">
      <c r="A278" s="31" t="s">
        <v>887</v>
      </c>
      <c r="B278" s="32" t="s">
        <v>888</v>
      </c>
      <c r="C278" s="45">
        <v>45702.0</v>
      </c>
      <c r="D278" s="34" t="s">
        <v>22</v>
      </c>
      <c r="E278" s="32" t="s">
        <v>889</v>
      </c>
      <c r="F278" s="34" t="s">
        <v>156</v>
      </c>
      <c r="G278" s="34" t="s">
        <v>890</v>
      </c>
      <c r="H278" s="35" t="s">
        <v>26</v>
      </c>
      <c r="I278" s="35" t="s">
        <v>27</v>
      </c>
      <c r="J278" s="57"/>
      <c r="K278" s="57"/>
      <c r="L278" s="84"/>
    </row>
    <row r="279">
      <c r="A279" s="31" t="s">
        <v>891</v>
      </c>
      <c r="B279" s="32" t="s">
        <v>891</v>
      </c>
      <c r="C279" s="45">
        <v>45702.0</v>
      </c>
      <c r="D279" s="47" t="s">
        <v>39</v>
      </c>
      <c r="E279" s="32" t="s">
        <v>136</v>
      </c>
      <c r="F279" s="34" t="s">
        <v>53</v>
      </c>
      <c r="G279" s="34" t="s">
        <v>892</v>
      </c>
      <c r="H279" s="35" t="s">
        <v>26</v>
      </c>
      <c r="I279" s="58" t="str">
        <f>HYPERLINK("https://open.spotify.com/album/6MrIzG2FE5UOYM6NINza2E", "S")</f>
        <v>S</v>
      </c>
      <c r="J279" s="57"/>
      <c r="K279" s="57"/>
      <c r="L279" s="84"/>
    </row>
    <row r="280">
      <c r="A280" s="31" t="s">
        <v>893</v>
      </c>
      <c r="B280" s="32" t="s">
        <v>894</v>
      </c>
      <c r="C280" s="45">
        <v>45702.0</v>
      </c>
      <c r="D280" s="47" t="s">
        <v>22</v>
      </c>
      <c r="E280" s="32" t="s">
        <v>895</v>
      </c>
      <c r="F280" s="34" t="s">
        <v>53</v>
      </c>
      <c r="G280" s="34" t="s">
        <v>89</v>
      </c>
      <c r="H280" s="35" t="s">
        <v>26</v>
      </c>
      <c r="I280" s="35" t="s">
        <v>27</v>
      </c>
      <c r="J280" s="35" t="s">
        <v>100</v>
      </c>
      <c r="K280" s="57"/>
      <c r="L280" s="84"/>
    </row>
    <row r="281">
      <c r="A281" s="31" t="s">
        <v>896</v>
      </c>
      <c r="B281" s="32" t="s">
        <v>897</v>
      </c>
      <c r="C281" s="45">
        <v>45702.0</v>
      </c>
      <c r="D281" s="34" t="s">
        <v>22</v>
      </c>
      <c r="E281" s="32" t="s">
        <v>73</v>
      </c>
      <c r="F281" s="34" t="s">
        <v>24</v>
      </c>
      <c r="G281" s="34" t="s">
        <v>898</v>
      </c>
      <c r="H281" s="35" t="s">
        <v>26</v>
      </c>
      <c r="I281" s="35" t="s">
        <v>27</v>
      </c>
      <c r="J281" s="35" t="s">
        <v>100</v>
      </c>
      <c r="K281" s="57"/>
      <c r="L281" s="84"/>
    </row>
    <row r="282">
      <c r="A282" s="31" t="s">
        <v>899</v>
      </c>
      <c r="B282" s="32" t="s">
        <v>900</v>
      </c>
      <c r="C282" s="45">
        <v>45702.0</v>
      </c>
      <c r="D282" s="34" t="s">
        <v>22</v>
      </c>
      <c r="E282" s="32" t="s">
        <v>176</v>
      </c>
      <c r="F282" s="34" t="s">
        <v>156</v>
      </c>
      <c r="G282" s="34" t="s">
        <v>434</v>
      </c>
      <c r="H282" s="35" t="s">
        <v>26</v>
      </c>
      <c r="I282" s="58" t="str">
        <f>HYPERLINK("https://open.spotify.com/album/0eeRJaueNxgQexXwABSuUM", "S")</f>
        <v>S</v>
      </c>
      <c r="J282" s="35" t="s">
        <v>100</v>
      </c>
      <c r="K282" s="57"/>
      <c r="L282" s="84"/>
    </row>
    <row r="283">
      <c r="A283" s="31" t="s">
        <v>901</v>
      </c>
      <c r="B283" s="32" t="s">
        <v>902</v>
      </c>
      <c r="C283" s="45">
        <v>45702.0</v>
      </c>
      <c r="D283" s="47" t="s">
        <v>39</v>
      </c>
      <c r="E283" s="32" t="s">
        <v>903</v>
      </c>
      <c r="F283" s="34" t="s">
        <v>24</v>
      </c>
      <c r="G283" s="34" t="s">
        <v>257</v>
      </c>
      <c r="H283" s="35" t="s">
        <v>26</v>
      </c>
      <c r="I283" s="35" t="s">
        <v>27</v>
      </c>
      <c r="J283" s="57"/>
      <c r="K283" s="57"/>
      <c r="L283" s="84"/>
    </row>
    <row r="284">
      <c r="A284" s="31" t="s">
        <v>904</v>
      </c>
      <c r="B284" s="32" t="s">
        <v>905</v>
      </c>
      <c r="C284" s="33">
        <v>45702.0</v>
      </c>
      <c r="D284" s="47" t="s">
        <v>22</v>
      </c>
      <c r="E284" s="32" t="s">
        <v>608</v>
      </c>
      <c r="F284" s="34" t="s">
        <v>24</v>
      </c>
      <c r="G284" s="34" t="s">
        <v>693</v>
      </c>
      <c r="H284" s="35" t="s">
        <v>26</v>
      </c>
      <c r="I284" s="35" t="s">
        <v>27</v>
      </c>
      <c r="J284" s="57"/>
      <c r="K284" s="57"/>
      <c r="L284" s="84"/>
    </row>
    <row r="285">
      <c r="A285" s="31" t="s">
        <v>906</v>
      </c>
      <c r="B285" s="32" t="s">
        <v>907</v>
      </c>
      <c r="C285" s="33">
        <v>45702.0</v>
      </c>
      <c r="D285" s="34" t="s">
        <v>39</v>
      </c>
      <c r="E285" s="32" t="s">
        <v>569</v>
      </c>
      <c r="F285" s="34" t="s">
        <v>24</v>
      </c>
      <c r="G285" s="34" t="s">
        <v>430</v>
      </c>
      <c r="H285" s="35" t="s">
        <v>26</v>
      </c>
      <c r="I285" s="35" t="s">
        <v>27</v>
      </c>
      <c r="J285" s="57"/>
      <c r="K285" s="57"/>
      <c r="L285" s="84"/>
    </row>
    <row r="286">
      <c r="A286" s="31" t="s">
        <v>908</v>
      </c>
      <c r="B286" s="32" t="s">
        <v>909</v>
      </c>
      <c r="C286" s="33">
        <v>45702.0</v>
      </c>
      <c r="D286" s="34" t="s">
        <v>22</v>
      </c>
      <c r="E286" s="32" t="s">
        <v>436</v>
      </c>
      <c r="F286" s="34" t="s">
        <v>24</v>
      </c>
      <c r="G286" s="34" t="s">
        <v>660</v>
      </c>
      <c r="H286" s="35" t="s">
        <v>26</v>
      </c>
      <c r="I286" s="35" t="s">
        <v>27</v>
      </c>
      <c r="J286" s="57"/>
      <c r="K286" s="57"/>
      <c r="L286" s="84"/>
    </row>
    <row r="287">
      <c r="A287" s="31" t="s">
        <v>910</v>
      </c>
      <c r="B287" s="32" t="s">
        <v>911</v>
      </c>
      <c r="C287" s="33">
        <v>45702.0</v>
      </c>
      <c r="D287" s="47" t="s">
        <v>22</v>
      </c>
      <c r="E287" s="32" t="s">
        <v>912</v>
      </c>
      <c r="F287" s="34" t="s">
        <v>53</v>
      </c>
      <c r="G287" s="34" t="s">
        <v>913</v>
      </c>
      <c r="H287" s="35" t="s">
        <v>26</v>
      </c>
      <c r="I287" s="58" t="str">
        <f>HYPERLINK("https://open.spotify.com/album/0pxfDGUxPQHPKX2OkC3MF7", "S")</f>
        <v>S</v>
      </c>
      <c r="J287" s="57"/>
      <c r="K287" s="57"/>
      <c r="L287" s="84"/>
    </row>
    <row r="288">
      <c r="A288" s="31" t="s">
        <v>914</v>
      </c>
      <c r="B288" s="32" t="s">
        <v>915</v>
      </c>
      <c r="C288" s="33">
        <v>45702.0</v>
      </c>
      <c r="D288" s="47" t="s">
        <v>22</v>
      </c>
      <c r="E288" s="32" t="s">
        <v>916</v>
      </c>
      <c r="F288" s="34" t="s">
        <v>156</v>
      </c>
      <c r="G288" s="34" t="s">
        <v>514</v>
      </c>
      <c r="H288" s="35" t="s">
        <v>26</v>
      </c>
      <c r="I288" s="35" t="s">
        <v>27</v>
      </c>
      <c r="J288" s="35" t="s">
        <v>100</v>
      </c>
      <c r="K288" s="57"/>
      <c r="L288" s="84"/>
    </row>
    <row r="289">
      <c r="A289" s="31" t="s">
        <v>917</v>
      </c>
      <c r="B289" s="32" t="s">
        <v>918</v>
      </c>
      <c r="C289" s="33">
        <v>45702.0</v>
      </c>
      <c r="D289" s="34" t="s">
        <v>22</v>
      </c>
      <c r="E289" s="32" t="s">
        <v>919</v>
      </c>
      <c r="F289" s="34" t="s">
        <v>24</v>
      </c>
      <c r="G289" s="34" t="s">
        <v>920</v>
      </c>
      <c r="H289" s="35" t="s">
        <v>26</v>
      </c>
      <c r="I289" s="35" t="s">
        <v>27</v>
      </c>
      <c r="J289" s="57"/>
      <c r="K289" s="57"/>
      <c r="L289" s="84"/>
    </row>
    <row r="290">
      <c r="A290" s="31" t="s">
        <v>921</v>
      </c>
      <c r="B290" s="32" t="s">
        <v>922</v>
      </c>
      <c r="C290" s="33">
        <v>45702.0</v>
      </c>
      <c r="D290" s="34" t="s">
        <v>22</v>
      </c>
      <c r="E290" s="32" t="s">
        <v>436</v>
      </c>
      <c r="F290" s="34" t="s">
        <v>156</v>
      </c>
      <c r="G290" s="34" t="s">
        <v>923</v>
      </c>
      <c r="H290" s="35" t="s">
        <v>26</v>
      </c>
      <c r="I290" s="35" t="s">
        <v>27</v>
      </c>
      <c r="J290" s="57"/>
      <c r="K290" s="57"/>
      <c r="L290" s="84"/>
    </row>
    <row r="291">
      <c r="A291" s="31" t="s">
        <v>924</v>
      </c>
      <c r="B291" s="32" t="s">
        <v>925</v>
      </c>
      <c r="C291" s="33">
        <v>45702.0</v>
      </c>
      <c r="D291" s="34" t="s">
        <v>39</v>
      </c>
      <c r="E291" s="32" t="s">
        <v>61</v>
      </c>
      <c r="F291" s="34" t="s">
        <v>24</v>
      </c>
      <c r="G291" s="34" t="s">
        <v>365</v>
      </c>
      <c r="H291" s="35" t="s">
        <v>26</v>
      </c>
      <c r="I291" s="35" t="s">
        <v>27</v>
      </c>
      <c r="J291" s="35" t="s">
        <v>100</v>
      </c>
      <c r="K291" s="57"/>
      <c r="L291" s="84"/>
    </row>
    <row r="292">
      <c r="A292" s="31" t="s">
        <v>926</v>
      </c>
      <c r="B292" s="32" t="s">
        <v>927</v>
      </c>
      <c r="C292" s="33">
        <v>45703.0</v>
      </c>
      <c r="D292" s="34" t="s">
        <v>39</v>
      </c>
      <c r="E292" s="32" t="s">
        <v>928</v>
      </c>
      <c r="F292" s="34" t="s">
        <v>156</v>
      </c>
      <c r="G292" s="34" t="s">
        <v>32</v>
      </c>
      <c r="H292" s="35" t="s">
        <v>26</v>
      </c>
      <c r="I292" s="35" t="s">
        <v>27</v>
      </c>
      <c r="J292" s="57"/>
      <c r="K292" s="57"/>
      <c r="L292" s="84"/>
    </row>
    <row r="293">
      <c r="A293" s="31" t="s">
        <v>929</v>
      </c>
      <c r="B293" s="32" t="s">
        <v>930</v>
      </c>
      <c r="C293" s="33">
        <v>45703.0</v>
      </c>
      <c r="D293" s="34" t="s">
        <v>22</v>
      </c>
      <c r="E293" s="32" t="s">
        <v>370</v>
      </c>
      <c r="F293" s="34" t="s">
        <v>24</v>
      </c>
      <c r="G293" s="34" t="s">
        <v>725</v>
      </c>
      <c r="H293" s="35" t="s">
        <v>26</v>
      </c>
      <c r="I293" s="35" t="s">
        <v>27</v>
      </c>
      <c r="J293" s="57"/>
      <c r="K293" s="57"/>
      <c r="L293" s="84"/>
    </row>
    <row r="294">
      <c r="A294" s="31" t="s">
        <v>931</v>
      </c>
      <c r="B294" s="32" t="s">
        <v>932</v>
      </c>
      <c r="C294" s="33">
        <v>45705.0</v>
      </c>
      <c r="D294" s="34" t="s">
        <v>22</v>
      </c>
      <c r="E294" s="32" t="s">
        <v>73</v>
      </c>
      <c r="F294" s="34" t="s">
        <v>24</v>
      </c>
      <c r="G294" s="34" t="s">
        <v>933</v>
      </c>
      <c r="H294" s="35" t="s">
        <v>26</v>
      </c>
      <c r="I294" s="35" t="s">
        <v>27</v>
      </c>
      <c r="J294" s="57"/>
      <c r="K294" s="57"/>
      <c r="L294" s="84"/>
    </row>
    <row r="295">
      <c r="A295" s="31" t="s">
        <v>934</v>
      </c>
      <c r="B295" s="32" t="s">
        <v>935</v>
      </c>
      <c r="C295" s="45">
        <v>45706.0</v>
      </c>
      <c r="D295" s="34" t="s">
        <v>22</v>
      </c>
      <c r="E295" s="32" t="s">
        <v>129</v>
      </c>
      <c r="F295" s="34" t="s">
        <v>24</v>
      </c>
      <c r="G295" s="34" t="s">
        <v>936</v>
      </c>
      <c r="H295" s="35" t="s">
        <v>26</v>
      </c>
      <c r="I295" s="36" t="str">
        <f>HYPERLINK("https://open.spotify.com/album/1rc0P1hov0ZdvAw1ysSgBO", "S")</f>
        <v>S</v>
      </c>
      <c r="J295" s="35" t="s">
        <v>100</v>
      </c>
      <c r="K295" s="57"/>
      <c r="L295" s="84"/>
    </row>
    <row r="296">
      <c r="A296" s="31" t="s">
        <v>937</v>
      </c>
      <c r="B296" s="32" t="s">
        <v>938</v>
      </c>
      <c r="C296" s="33">
        <v>45706.0</v>
      </c>
      <c r="D296" s="34" t="s">
        <v>22</v>
      </c>
      <c r="E296" s="32" t="s">
        <v>61</v>
      </c>
      <c r="F296" s="34" t="s">
        <v>24</v>
      </c>
      <c r="G296" s="34" t="s">
        <v>939</v>
      </c>
      <c r="H296" s="35" t="s">
        <v>26</v>
      </c>
      <c r="I296" s="36" t="str">
        <f>HYPERLINK("https://open.spotify.com/album/7tIQdvbxSfEvnrRosN3TYu", "S")</f>
        <v>S</v>
      </c>
      <c r="J296" s="57"/>
      <c r="K296" s="57"/>
      <c r="L296" s="84"/>
    </row>
    <row r="297">
      <c r="A297" s="31" t="s">
        <v>940</v>
      </c>
      <c r="B297" s="32" t="s">
        <v>941</v>
      </c>
      <c r="C297" s="33">
        <v>45707.0</v>
      </c>
      <c r="D297" s="34" t="s">
        <v>39</v>
      </c>
      <c r="E297" s="32" t="s">
        <v>942</v>
      </c>
      <c r="F297" s="34" t="s">
        <v>24</v>
      </c>
      <c r="G297" s="34" t="s">
        <v>437</v>
      </c>
      <c r="H297" s="35" t="s">
        <v>26</v>
      </c>
      <c r="I297" s="35" t="s">
        <v>27</v>
      </c>
      <c r="J297" s="57"/>
      <c r="K297" s="57"/>
      <c r="L297" s="84"/>
    </row>
    <row r="298">
      <c r="A298" s="31" t="s">
        <v>943</v>
      </c>
      <c r="B298" s="32" t="s">
        <v>944</v>
      </c>
      <c r="C298" s="45">
        <v>45708.0</v>
      </c>
      <c r="D298" s="47" t="s">
        <v>22</v>
      </c>
      <c r="E298" s="32" t="s">
        <v>945</v>
      </c>
      <c r="F298" s="34" t="s">
        <v>53</v>
      </c>
      <c r="G298" s="34" t="s">
        <v>152</v>
      </c>
      <c r="H298" s="35" t="s">
        <v>26</v>
      </c>
      <c r="I298" s="35" t="s">
        <v>27</v>
      </c>
      <c r="J298" s="35" t="s">
        <v>100</v>
      </c>
      <c r="K298" s="57"/>
      <c r="L298" s="84"/>
    </row>
    <row r="299">
      <c r="A299" s="31" t="s">
        <v>946</v>
      </c>
      <c r="B299" s="32" t="s">
        <v>947</v>
      </c>
      <c r="C299" s="45">
        <v>45708.0</v>
      </c>
      <c r="D299" s="47" t="s">
        <v>22</v>
      </c>
      <c r="E299" s="32" t="s">
        <v>889</v>
      </c>
      <c r="F299" s="34" t="s">
        <v>156</v>
      </c>
      <c r="G299" s="34" t="s">
        <v>342</v>
      </c>
      <c r="H299" s="35" t="s">
        <v>26</v>
      </c>
      <c r="I299" s="36" t="str">
        <f>HYPERLINK("https://open.spotify.com/album/0I4lPPDPDf8PQkwCYV40B0", "S")</f>
        <v>S</v>
      </c>
      <c r="J299" s="57"/>
      <c r="K299" s="57"/>
      <c r="L299" s="84"/>
    </row>
    <row r="300">
      <c r="A300" s="31" t="s">
        <v>948</v>
      </c>
      <c r="B300" s="32" t="s">
        <v>949</v>
      </c>
      <c r="C300" s="33">
        <v>45708.0</v>
      </c>
      <c r="D300" s="47" t="s">
        <v>39</v>
      </c>
      <c r="E300" s="32" t="s">
        <v>436</v>
      </c>
      <c r="F300" s="34" t="s">
        <v>24</v>
      </c>
      <c r="G300" s="34" t="s">
        <v>950</v>
      </c>
      <c r="H300" s="35" t="s">
        <v>26</v>
      </c>
      <c r="I300" s="35" t="s">
        <v>27</v>
      </c>
      <c r="J300" s="57"/>
      <c r="K300" s="57"/>
      <c r="L300" s="84"/>
    </row>
    <row r="301">
      <c r="A301" s="31" t="s">
        <v>951</v>
      </c>
      <c r="B301" s="32" t="s">
        <v>952</v>
      </c>
      <c r="C301" s="33">
        <v>45709.0</v>
      </c>
      <c r="D301" s="34" t="s">
        <v>22</v>
      </c>
      <c r="E301" s="32" t="s">
        <v>122</v>
      </c>
      <c r="F301" s="34" t="s">
        <v>156</v>
      </c>
      <c r="G301" s="34" t="s">
        <v>442</v>
      </c>
      <c r="H301" s="35" t="s">
        <v>26</v>
      </c>
      <c r="I301" s="35" t="s">
        <v>27</v>
      </c>
      <c r="J301" s="57"/>
      <c r="K301" s="57"/>
      <c r="L301" s="84"/>
    </row>
    <row r="302">
      <c r="A302" s="31" t="s">
        <v>953</v>
      </c>
      <c r="B302" s="32" t="s">
        <v>954</v>
      </c>
      <c r="C302" s="33">
        <v>45709.0</v>
      </c>
      <c r="D302" s="34" t="s">
        <v>22</v>
      </c>
      <c r="E302" s="32" t="s">
        <v>955</v>
      </c>
      <c r="F302" s="34" t="s">
        <v>53</v>
      </c>
      <c r="G302" s="34" t="s">
        <v>956</v>
      </c>
      <c r="H302" s="35" t="s">
        <v>26</v>
      </c>
      <c r="I302" s="35" t="s">
        <v>27</v>
      </c>
      <c r="J302" s="35" t="s">
        <v>100</v>
      </c>
      <c r="K302" s="57"/>
      <c r="L302" s="84"/>
    </row>
    <row r="303">
      <c r="A303" s="31" t="s">
        <v>957</v>
      </c>
      <c r="B303" s="32" t="s">
        <v>958</v>
      </c>
      <c r="C303" s="33">
        <v>45709.0</v>
      </c>
      <c r="D303" s="34" t="s">
        <v>22</v>
      </c>
      <c r="E303" s="32" t="s">
        <v>73</v>
      </c>
      <c r="F303" s="34" t="s">
        <v>24</v>
      </c>
      <c r="G303" s="34" t="s">
        <v>49</v>
      </c>
      <c r="H303" s="35" t="s">
        <v>26</v>
      </c>
      <c r="I303" s="58" t="str">
        <f>HYPERLINK("https://open.spotify.com/album/5pum65gleBWpO8E1wYuWuo", "S")</f>
        <v>S</v>
      </c>
      <c r="J303" s="57"/>
      <c r="K303" s="57"/>
      <c r="L303" s="84"/>
    </row>
    <row r="304">
      <c r="A304" s="31" t="s">
        <v>959</v>
      </c>
      <c r="B304" s="32" t="s">
        <v>960</v>
      </c>
      <c r="C304" s="33">
        <v>45709.0</v>
      </c>
      <c r="D304" s="34" t="s">
        <v>22</v>
      </c>
      <c r="E304" s="32" t="s">
        <v>160</v>
      </c>
      <c r="F304" s="34" t="s">
        <v>24</v>
      </c>
      <c r="G304" s="34" t="s">
        <v>339</v>
      </c>
      <c r="H304" s="66"/>
      <c r="I304" s="35" t="s">
        <v>27</v>
      </c>
      <c r="J304" s="57"/>
      <c r="K304" s="57"/>
      <c r="L304" s="84"/>
    </row>
    <row r="305">
      <c r="A305" s="31" t="s">
        <v>961</v>
      </c>
      <c r="B305" s="32" t="s">
        <v>962</v>
      </c>
      <c r="C305" s="59">
        <v>45709.0</v>
      </c>
      <c r="D305" s="34" t="s">
        <v>22</v>
      </c>
      <c r="E305" s="32" t="s">
        <v>160</v>
      </c>
      <c r="F305" s="34" t="s">
        <v>24</v>
      </c>
      <c r="G305" s="34" t="s">
        <v>423</v>
      </c>
      <c r="H305" s="35" t="s">
        <v>26</v>
      </c>
      <c r="I305" s="35" t="s">
        <v>27</v>
      </c>
      <c r="J305" s="57"/>
      <c r="K305" s="57"/>
      <c r="L305" s="84"/>
    </row>
    <row r="306">
      <c r="A306" s="31" t="s">
        <v>963</v>
      </c>
      <c r="B306" s="32" t="s">
        <v>964</v>
      </c>
      <c r="C306" s="33">
        <v>45709.0</v>
      </c>
      <c r="D306" s="34" t="s">
        <v>22</v>
      </c>
      <c r="E306" s="32" t="s">
        <v>61</v>
      </c>
      <c r="F306" s="34" t="s">
        <v>24</v>
      </c>
      <c r="G306" s="34" t="s">
        <v>599</v>
      </c>
      <c r="H306" s="35" t="s">
        <v>26</v>
      </c>
      <c r="I306" s="35" t="s">
        <v>27</v>
      </c>
      <c r="J306" s="35" t="s">
        <v>100</v>
      </c>
      <c r="K306" s="57"/>
      <c r="L306" s="84"/>
    </row>
    <row r="307">
      <c r="A307" s="31" t="s">
        <v>965</v>
      </c>
      <c r="B307" s="32" t="s">
        <v>966</v>
      </c>
      <c r="C307" s="33">
        <v>45709.0</v>
      </c>
      <c r="D307" s="34" t="s">
        <v>39</v>
      </c>
      <c r="E307" s="32" t="s">
        <v>389</v>
      </c>
      <c r="F307" s="34" t="s">
        <v>24</v>
      </c>
      <c r="G307" s="34" t="s">
        <v>70</v>
      </c>
      <c r="H307" s="35" t="s">
        <v>26</v>
      </c>
      <c r="I307" s="35" t="s">
        <v>27</v>
      </c>
      <c r="J307" s="57"/>
      <c r="K307" s="57"/>
      <c r="L307" s="84"/>
    </row>
    <row r="308">
      <c r="A308" s="31" t="s">
        <v>967</v>
      </c>
      <c r="B308" s="32" t="s">
        <v>968</v>
      </c>
      <c r="C308" s="33">
        <v>45709.0</v>
      </c>
      <c r="D308" s="34" t="s">
        <v>22</v>
      </c>
      <c r="E308" s="32" t="s">
        <v>969</v>
      </c>
      <c r="F308" s="34" t="s">
        <v>24</v>
      </c>
      <c r="G308" s="34" t="s">
        <v>970</v>
      </c>
      <c r="H308" s="35" t="s">
        <v>26</v>
      </c>
      <c r="I308" s="35" t="s">
        <v>27</v>
      </c>
      <c r="J308" s="57"/>
      <c r="K308" s="57"/>
      <c r="L308" s="84"/>
    </row>
    <row r="309">
      <c r="A309" s="31" t="s">
        <v>971</v>
      </c>
      <c r="B309" s="32" t="s">
        <v>972</v>
      </c>
      <c r="C309" s="33">
        <v>45709.0</v>
      </c>
      <c r="D309" s="34" t="s">
        <v>22</v>
      </c>
      <c r="E309" s="32" t="s">
        <v>73</v>
      </c>
      <c r="F309" s="34" t="s">
        <v>24</v>
      </c>
      <c r="G309" s="34" t="s">
        <v>41</v>
      </c>
      <c r="H309" s="35" t="s">
        <v>26</v>
      </c>
      <c r="I309" s="35" t="s">
        <v>27</v>
      </c>
      <c r="J309" s="35" t="s">
        <v>100</v>
      </c>
      <c r="K309" s="57"/>
      <c r="L309" s="84"/>
    </row>
    <row r="310">
      <c r="A310" s="32" t="s">
        <v>973</v>
      </c>
      <c r="B310" s="32" t="s">
        <v>973</v>
      </c>
      <c r="C310" s="45">
        <v>45709.0</v>
      </c>
      <c r="D310" s="47" t="s">
        <v>39</v>
      </c>
      <c r="E310" s="32" t="s">
        <v>974</v>
      </c>
      <c r="F310" s="34" t="s">
        <v>24</v>
      </c>
      <c r="G310" s="34" t="s">
        <v>225</v>
      </c>
      <c r="H310" s="35" t="s">
        <v>26</v>
      </c>
      <c r="I310" s="35" t="s">
        <v>27</v>
      </c>
      <c r="J310" s="57"/>
      <c r="K310" s="57"/>
      <c r="L310" s="84"/>
    </row>
    <row r="311">
      <c r="A311" s="32" t="s">
        <v>975</v>
      </c>
      <c r="B311" s="32" t="s">
        <v>976</v>
      </c>
      <c r="C311" s="45">
        <v>45709.0</v>
      </c>
      <c r="D311" s="68" t="s">
        <v>22</v>
      </c>
      <c r="E311" s="32" t="s">
        <v>84</v>
      </c>
      <c r="F311" s="34" t="s">
        <v>53</v>
      </c>
      <c r="G311" s="34" t="s">
        <v>977</v>
      </c>
      <c r="H311" s="35" t="str">
        <f>HYPERLINK("https://killswitchengage.bandcamp.com/album/this-consequence", "BC")</f>
        <v>BC</v>
      </c>
      <c r="I311" s="35" t="s">
        <v>27</v>
      </c>
      <c r="J311" s="35" t="s">
        <v>100</v>
      </c>
      <c r="K311" s="57"/>
      <c r="L311" s="84"/>
    </row>
    <row r="312">
      <c r="A312" s="32" t="s">
        <v>978</v>
      </c>
      <c r="B312" s="32" t="s">
        <v>979</v>
      </c>
      <c r="C312" s="45">
        <v>45709.0</v>
      </c>
      <c r="D312" s="68" t="s">
        <v>39</v>
      </c>
      <c r="E312" s="32" t="s">
        <v>980</v>
      </c>
      <c r="F312" s="34" t="s">
        <v>24</v>
      </c>
      <c r="G312" s="34" t="s">
        <v>199</v>
      </c>
      <c r="H312" s="35" t="str">
        <f>HYPERLINK("https://throughloverec.bandcamp.com/album/better-mistakes", "BC")</f>
        <v>BC</v>
      </c>
      <c r="I312" s="35" t="s">
        <v>27</v>
      </c>
      <c r="J312" s="35" t="s">
        <v>100</v>
      </c>
      <c r="K312" s="57"/>
      <c r="L312" s="84"/>
    </row>
    <row r="313">
      <c r="A313" s="32" t="s">
        <v>981</v>
      </c>
      <c r="B313" s="32" t="s">
        <v>982</v>
      </c>
      <c r="C313" s="45">
        <v>45709.0</v>
      </c>
      <c r="D313" s="68" t="s">
        <v>22</v>
      </c>
      <c r="E313" s="32" t="s">
        <v>983</v>
      </c>
      <c r="F313" s="34" t="s">
        <v>53</v>
      </c>
      <c r="G313" s="34" t="s">
        <v>984</v>
      </c>
      <c r="H313" s="35" t="s">
        <v>26</v>
      </c>
      <c r="I313" s="35" t="s">
        <v>27</v>
      </c>
      <c r="J313" s="57"/>
      <c r="K313" s="57"/>
      <c r="L313" s="84"/>
    </row>
    <row r="314">
      <c r="A314" s="31" t="s">
        <v>985</v>
      </c>
      <c r="B314" s="32" t="s">
        <v>986</v>
      </c>
      <c r="C314" s="45">
        <v>45709.0</v>
      </c>
      <c r="D314" s="34" t="s">
        <v>22</v>
      </c>
      <c r="E314" s="32" t="s">
        <v>73</v>
      </c>
      <c r="F314" s="34" t="s">
        <v>24</v>
      </c>
      <c r="G314" s="34" t="s">
        <v>199</v>
      </c>
      <c r="H314" s="35" t="s">
        <v>26</v>
      </c>
      <c r="I314" s="35" t="s">
        <v>27</v>
      </c>
      <c r="J314" s="35" t="s">
        <v>100</v>
      </c>
      <c r="K314" s="57"/>
      <c r="L314" s="84"/>
    </row>
    <row r="315">
      <c r="A315" s="31" t="s">
        <v>987</v>
      </c>
      <c r="B315" s="32" t="s">
        <v>988</v>
      </c>
      <c r="C315" s="45">
        <v>45709.0</v>
      </c>
      <c r="D315" s="34" t="s">
        <v>22</v>
      </c>
      <c r="E315" s="32" t="s">
        <v>989</v>
      </c>
      <c r="F315" s="34" t="s">
        <v>230</v>
      </c>
      <c r="G315" s="34" t="s">
        <v>990</v>
      </c>
      <c r="H315" s="35" t="s">
        <v>26</v>
      </c>
      <c r="I315" s="35" t="s">
        <v>27</v>
      </c>
      <c r="J315" s="57"/>
      <c r="K315" s="57"/>
      <c r="L315" s="84"/>
    </row>
    <row r="316">
      <c r="A316" s="31" t="s">
        <v>991</v>
      </c>
      <c r="B316" s="32" t="s">
        <v>992</v>
      </c>
      <c r="C316" s="45">
        <v>45709.0</v>
      </c>
      <c r="D316" s="47" t="s">
        <v>22</v>
      </c>
      <c r="E316" s="32" t="s">
        <v>632</v>
      </c>
      <c r="F316" s="34" t="s">
        <v>24</v>
      </c>
      <c r="G316" s="34" t="s">
        <v>202</v>
      </c>
      <c r="H316" s="35" t="s">
        <v>26</v>
      </c>
      <c r="I316" s="58" t="str">
        <f>HYPERLINK("https://open.spotify.com/album/4MzXiiyC5W2hHvJuFZvceH", "S")</f>
        <v>S</v>
      </c>
      <c r="J316" s="57"/>
      <c r="K316" s="57"/>
      <c r="L316" s="84"/>
    </row>
    <row r="317">
      <c r="A317" s="31" t="s">
        <v>993</v>
      </c>
      <c r="B317" s="32" t="s">
        <v>994</v>
      </c>
      <c r="C317" s="45">
        <v>45709.0</v>
      </c>
      <c r="D317" s="47" t="s">
        <v>22</v>
      </c>
      <c r="E317" s="32" t="s">
        <v>129</v>
      </c>
      <c r="F317" s="34" t="s">
        <v>24</v>
      </c>
      <c r="G317" s="34" t="s">
        <v>342</v>
      </c>
      <c r="H317" s="35" t="s">
        <v>26</v>
      </c>
      <c r="I317" s="35" t="s">
        <v>27</v>
      </c>
      <c r="J317" s="35" t="s">
        <v>100</v>
      </c>
      <c r="K317" s="57"/>
      <c r="L317" s="84"/>
    </row>
    <row r="318">
      <c r="A318" s="31" t="s">
        <v>995</v>
      </c>
      <c r="B318" s="32" t="s">
        <v>996</v>
      </c>
      <c r="C318" s="45">
        <v>45709.0</v>
      </c>
      <c r="D318" s="47" t="s">
        <v>22</v>
      </c>
      <c r="E318" s="32" t="s">
        <v>160</v>
      </c>
      <c r="F318" s="34" t="s">
        <v>24</v>
      </c>
      <c r="G318" s="34" t="s">
        <v>997</v>
      </c>
      <c r="H318" s="35" t="s">
        <v>26</v>
      </c>
      <c r="I318" s="35" t="s">
        <v>27</v>
      </c>
      <c r="J318" s="35" t="s">
        <v>100</v>
      </c>
      <c r="K318" s="57"/>
      <c r="L318" s="84"/>
    </row>
    <row r="319">
      <c r="A319" s="31" t="s">
        <v>998</v>
      </c>
      <c r="B319" s="32" t="s">
        <v>999</v>
      </c>
      <c r="C319" s="45">
        <v>45709.0</v>
      </c>
      <c r="D319" s="34" t="s">
        <v>22</v>
      </c>
      <c r="E319" s="32" t="s">
        <v>1000</v>
      </c>
      <c r="F319" s="34" t="s">
        <v>24</v>
      </c>
      <c r="G319" s="34" t="s">
        <v>62</v>
      </c>
      <c r="H319" s="35" t="s">
        <v>26</v>
      </c>
      <c r="I319" s="35" t="s">
        <v>27</v>
      </c>
      <c r="J319" s="57"/>
      <c r="K319" s="57"/>
      <c r="L319" s="84"/>
    </row>
    <row r="320">
      <c r="A320" s="31" t="s">
        <v>1001</v>
      </c>
      <c r="B320" s="32" t="s">
        <v>1002</v>
      </c>
      <c r="C320" s="45">
        <v>45709.0</v>
      </c>
      <c r="D320" s="34" t="s">
        <v>22</v>
      </c>
      <c r="E320" s="32" t="s">
        <v>1003</v>
      </c>
      <c r="F320" s="34" t="s">
        <v>53</v>
      </c>
      <c r="G320" s="34" t="s">
        <v>1004</v>
      </c>
      <c r="H320" s="35" t="s">
        <v>26</v>
      </c>
      <c r="I320" s="35" t="s">
        <v>27</v>
      </c>
      <c r="J320" s="57"/>
      <c r="K320" s="57"/>
      <c r="L320" s="84"/>
    </row>
    <row r="321">
      <c r="A321" s="31" t="s">
        <v>1005</v>
      </c>
      <c r="B321" s="32" t="s">
        <v>1006</v>
      </c>
      <c r="C321" s="45">
        <v>45709.0</v>
      </c>
      <c r="D321" s="34" t="s">
        <v>39</v>
      </c>
      <c r="E321" s="32" t="s">
        <v>256</v>
      </c>
      <c r="F321" s="34" t="s">
        <v>156</v>
      </c>
      <c r="G321" s="34" t="s">
        <v>161</v>
      </c>
      <c r="H321" s="35" t="s">
        <v>26</v>
      </c>
      <c r="I321" s="35" t="s">
        <v>27</v>
      </c>
      <c r="J321" s="57"/>
      <c r="K321" s="57"/>
      <c r="L321" s="84"/>
    </row>
    <row r="322">
      <c r="A322" s="31" t="s">
        <v>1007</v>
      </c>
      <c r="B322" s="32" t="s">
        <v>1008</v>
      </c>
      <c r="C322" s="45">
        <v>45709.0</v>
      </c>
      <c r="D322" s="47" t="s">
        <v>22</v>
      </c>
      <c r="E322" s="32" t="s">
        <v>513</v>
      </c>
      <c r="F322" s="34" t="s">
        <v>156</v>
      </c>
      <c r="G322" s="34" t="s">
        <v>1009</v>
      </c>
      <c r="H322" s="35" t="s">
        <v>26</v>
      </c>
      <c r="I322" s="35" t="s">
        <v>27</v>
      </c>
      <c r="J322" s="57"/>
      <c r="K322" s="57"/>
      <c r="L322" s="84"/>
    </row>
    <row r="323">
      <c r="A323" s="31" t="s">
        <v>1010</v>
      </c>
      <c r="B323" s="32" t="s">
        <v>1011</v>
      </c>
      <c r="C323" s="45">
        <v>45709.0</v>
      </c>
      <c r="D323" s="34" t="s">
        <v>39</v>
      </c>
      <c r="E323" s="32" t="s">
        <v>122</v>
      </c>
      <c r="F323" s="34" t="s">
        <v>53</v>
      </c>
      <c r="G323" s="34" t="s">
        <v>1012</v>
      </c>
      <c r="H323" s="35" t="s">
        <v>26</v>
      </c>
      <c r="I323" s="35" t="s">
        <v>27</v>
      </c>
      <c r="J323" s="35" t="s">
        <v>100</v>
      </c>
      <c r="K323" s="57"/>
      <c r="L323" s="84"/>
    </row>
    <row r="324">
      <c r="A324" s="31" t="s">
        <v>1013</v>
      </c>
      <c r="B324" s="32" t="s">
        <v>1014</v>
      </c>
      <c r="C324" s="45">
        <v>45709.0</v>
      </c>
      <c r="D324" s="34" t="s">
        <v>22</v>
      </c>
      <c r="E324" s="32" t="s">
        <v>61</v>
      </c>
      <c r="F324" s="34" t="s">
        <v>24</v>
      </c>
      <c r="G324" s="34" t="s">
        <v>257</v>
      </c>
      <c r="H324" s="35" t="s">
        <v>26</v>
      </c>
      <c r="I324" s="35" t="s">
        <v>27</v>
      </c>
      <c r="J324" s="57"/>
      <c r="K324" s="57"/>
      <c r="L324" s="84"/>
    </row>
    <row r="325">
      <c r="A325" s="31" t="s">
        <v>1015</v>
      </c>
      <c r="B325" s="32" t="s">
        <v>1016</v>
      </c>
      <c r="C325" s="45">
        <v>45709.0</v>
      </c>
      <c r="D325" s="34" t="s">
        <v>22</v>
      </c>
      <c r="E325" s="32" t="s">
        <v>69</v>
      </c>
      <c r="F325" s="34" t="s">
        <v>24</v>
      </c>
      <c r="G325" s="34" t="s">
        <v>1017</v>
      </c>
      <c r="H325" s="35" t="s">
        <v>26</v>
      </c>
      <c r="I325" s="35" t="s">
        <v>27</v>
      </c>
      <c r="J325" s="57"/>
      <c r="K325" s="57"/>
      <c r="L325" s="84"/>
    </row>
    <row r="326">
      <c r="A326" s="31" t="s">
        <v>1018</v>
      </c>
      <c r="B326" s="32" t="s">
        <v>1019</v>
      </c>
      <c r="C326" s="45">
        <v>45709.0</v>
      </c>
      <c r="D326" s="34" t="s">
        <v>22</v>
      </c>
      <c r="E326" s="32" t="s">
        <v>463</v>
      </c>
      <c r="F326" s="34" t="s">
        <v>156</v>
      </c>
      <c r="G326" s="34" t="s">
        <v>177</v>
      </c>
      <c r="H326" s="35" t="s">
        <v>26</v>
      </c>
      <c r="I326" s="35" t="s">
        <v>27</v>
      </c>
      <c r="J326" s="57"/>
      <c r="K326" s="57"/>
      <c r="L326" s="84"/>
    </row>
    <row r="327">
      <c r="A327" s="31" t="s">
        <v>1020</v>
      </c>
      <c r="B327" s="32" t="s">
        <v>1021</v>
      </c>
      <c r="C327" s="45">
        <v>45709.0</v>
      </c>
      <c r="D327" s="34" t="s">
        <v>22</v>
      </c>
      <c r="E327" s="32" t="s">
        <v>73</v>
      </c>
      <c r="F327" s="34" t="s">
        <v>24</v>
      </c>
      <c r="G327" s="34" t="s">
        <v>1022</v>
      </c>
      <c r="H327" s="35" t="s">
        <v>26</v>
      </c>
      <c r="I327" s="35" t="s">
        <v>27</v>
      </c>
      <c r="J327" s="57"/>
      <c r="K327" s="57"/>
      <c r="L327" s="84"/>
    </row>
    <row r="328">
      <c r="A328" s="31" t="s">
        <v>1023</v>
      </c>
      <c r="B328" s="32" t="s">
        <v>1024</v>
      </c>
      <c r="C328" s="45">
        <v>45709.0</v>
      </c>
      <c r="D328" s="47" t="s">
        <v>22</v>
      </c>
      <c r="E328" s="32" t="s">
        <v>1025</v>
      </c>
      <c r="F328" s="34" t="s">
        <v>156</v>
      </c>
      <c r="G328" s="34" t="s">
        <v>257</v>
      </c>
      <c r="H328" s="35" t="s">
        <v>26</v>
      </c>
      <c r="I328" s="35" t="s">
        <v>27</v>
      </c>
      <c r="J328" s="57"/>
      <c r="K328" s="57"/>
      <c r="L328" s="84"/>
    </row>
    <row r="329">
      <c r="A329" s="31" t="s">
        <v>1026</v>
      </c>
      <c r="B329" s="32" t="s">
        <v>1027</v>
      </c>
      <c r="C329" s="33">
        <v>45709.0</v>
      </c>
      <c r="D329" s="34" t="s">
        <v>22</v>
      </c>
      <c r="E329" s="32" t="s">
        <v>513</v>
      </c>
      <c r="F329" s="34" t="s">
        <v>156</v>
      </c>
      <c r="G329" s="34" t="s">
        <v>1028</v>
      </c>
      <c r="H329" s="35" t="s">
        <v>26</v>
      </c>
      <c r="I329" s="35" t="s">
        <v>27</v>
      </c>
      <c r="J329" s="57"/>
      <c r="K329" s="57"/>
      <c r="L329" s="84"/>
    </row>
    <row r="330">
      <c r="A330" s="31" t="s">
        <v>1029</v>
      </c>
      <c r="B330" s="32" t="s">
        <v>1030</v>
      </c>
      <c r="C330" s="33">
        <v>45709.0</v>
      </c>
      <c r="D330" s="34" t="s">
        <v>22</v>
      </c>
      <c r="E330" s="32" t="s">
        <v>1031</v>
      </c>
      <c r="F330" s="34" t="s">
        <v>156</v>
      </c>
      <c r="G330" s="34" t="s">
        <v>514</v>
      </c>
      <c r="H330" s="35" t="s">
        <v>26</v>
      </c>
      <c r="I330" s="35" t="s">
        <v>27</v>
      </c>
      <c r="J330" s="57"/>
      <c r="K330" s="57"/>
      <c r="L330" s="84"/>
    </row>
    <row r="331">
      <c r="A331" s="31" t="s">
        <v>1032</v>
      </c>
      <c r="B331" s="32" t="s">
        <v>1033</v>
      </c>
      <c r="C331" s="33">
        <v>45709.0</v>
      </c>
      <c r="D331" s="34" t="s">
        <v>22</v>
      </c>
      <c r="E331" s="32" t="s">
        <v>1034</v>
      </c>
      <c r="F331" s="34" t="s">
        <v>24</v>
      </c>
      <c r="G331" s="34" t="s">
        <v>1035</v>
      </c>
      <c r="H331" s="35" t="s">
        <v>26</v>
      </c>
      <c r="I331" s="35" t="s">
        <v>27</v>
      </c>
      <c r="J331" s="57"/>
      <c r="K331" s="57"/>
      <c r="L331" s="84"/>
    </row>
    <row r="332">
      <c r="A332" s="31" t="s">
        <v>1036</v>
      </c>
      <c r="B332" s="32" t="s">
        <v>1037</v>
      </c>
      <c r="C332" s="33">
        <v>45709.0</v>
      </c>
      <c r="D332" s="34" t="s">
        <v>22</v>
      </c>
      <c r="E332" s="32" t="s">
        <v>1038</v>
      </c>
      <c r="F332" s="34" t="s">
        <v>24</v>
      </c>
      <c r="G332" s="34" t="s">
        <v>1039</v>
      </c>
      <c r="H332" s="35" t="s">
        <v>26</v>
      </c>
      <c r="I332" s="35" t="s">
        <v>27</v>
      </c>
      <c r="J332" s="57"/>
      <c r="K332" s="57"/>
      <c r="L332" s="84"/>
    </row>
    <row r="333">
      <c r="A333" s="31" t="s">
        <v>1040</v>
      </c>
      <c r="B333" s="32" t="s">
        <v>1041</v>
      </c>
      <c r="C333" s="33">
        <v>45709.0</v>
      </c>
      <c r="D333" s="34" t="s">
        <v>22</v>
      </c>
      <c r="E333" s="32" t="s">
        <v>1042</v>
      </c>
      <c r="F333" s="34" t="s">
        <v>24</v>
      </c>
      <c r="G333" s="34" t="s">
        <v>1043</v>
      </c>
      <c r="H333" s="35" t="s">
        <v>26</v>
      </c>
      <c r="I333" s="35" t="s">
        <v>27</v>
      </c>
      <c r="J333" s="57"/>
      <c r="K333" s="57"/>
      <c r="L333" s="84"/>
    </row>
    <row r="334">
      <c r="A334" s="31" t="s">
        <v>1044</v>
      </c>
      <c r="B334" s="32" t="s">
        <v>1045</v>
      </c>
      <c r="C334" s="33">
        <v>45709.0</v>
      </c>
      <c r="D334" s="47" t="s">
        <v>39</v>
      </c>
      <c r="E334" s="32" t="s">
        <v>1046</v>
      </c>
      <c r="F334" s="34" t="s">
        <v>24</v>
      </c>
      <c r="G334" s="34" t="s">
        <v>221</v>
      </c>
      <c r="H334" s="35" t="s">
        <v>26</v>
      </c>
      <c r="I334" s="35" t="s">
        <v>27</v>
      </c>
      <c r="J334" s="35" t="s">
        <v>100</v>
      </c>
      <c r="K334" s="57"/>
      <c r="L334" s="84"/>
    </row>
    <row r="335">
      <c r="A335" s="31" t="s">
        <v>1047</v>
      </c>
      <c r="B335" s="32" t="s">
        <v>1048</v>
      </c>
      <c r="C335" s="33">
        <v>45709.0</v>
      </c>
      <c r="D335" s="34" t="s">
        <v>22</v>
      </c>
      <c r="E335" s="32" t="s">
        <v>1049</v>
      </c>
      <c r="F335" s="34" t="s">
        <v>24</v>
      </c>
      <c r="G335" s="34" t="s">
        <v>257</v>
      </c>
      <c r="H335" s="35" t="s">
        <v>26</v>
      </c>
      <c r="I335" s="35" t="s">
        <v>27</v>
      </c>
      <c r="J335" s="57"/>
      <c r="K335" s="57"/>
      <c r="L335" s="84"/>
    </row>
    <row r="336">
      <c r="A336" s="31" t="s">
        <v>1050</v>
      </c>
      <c r="B336" s="32" t="s">
        <v>1051</v>
      </c>
      <c r="C336" s="33">
        <v>45709.0</v>
      </c>
      <c r="D336" s="34" t="s">
        <v>22</v>
      </c>
      <c r="E336" s="32" t="s">
        <v>707</v>
      </c>
      <c r="F336" s="34" t="s">
        <v>24</v>
      </c>
      <c r="G336" s="34" t="s">
        <v>1052</v>
      </c>
      <c r="H336" s="35" t="s">
        <v>26</v>
      </c>
      <c r="I336" s="35" t="s">
        <v>27</v>
      </c>
      <c r="J336" s="35" t="s">
        <v>100</v>
      </c>
      <c r="K336" s="57"/>
      <c r="L336" s="84"/>
    </row>
    <row r="337">
      <c r="A337" s="31" t="s">
        <v>1053</v>
      </c>
      <c r="B337" s="32" t="s">
        <v>1054</v>
      </c>
      <c r="C337" s="33">
        <v>45709.0</v>
      </c>
      <c r="D337" s="34" t="s">
        <v>22</v>
      </c>
      <c r="E337" s="32" t="s">
        <v>1055</v>
      </c>
      <c r="F337" s="34" t="s">
        <v>53</v>
      </c>
      <c r="G337" s="34" t="s">
        <v>1056</v>
      </c>
      <c r="H337" s="35" t="s">
        <v>26</v>
      </c>
      <c r="I337" s="36" t="str">
        <f>HYPERLINK("https://open.spotify.com/album/6WwhGIJpNUXTHDMC1d4ksD", "S")</f>
        <v>S</v>
      </c>
      <c r="J337" s="57"/>
      <c r="K337" s="57"/>
      <c r="L337" s="84"/>
    </row>
    <row r="338">
      <c r="A338" s="31" t="s">
        <v>1057</v>
      </c>
      <c r="B338" s="32" t="s">
        <v>1058</v>
      </c>
      <c r="C338" s="33">
        <v>45709.0</v>
      </c>
      <c r="D338" s="34" t="s">
        <v>22</v>
      </c>
      <c r="E338" s="32" t="s">
        <v>192</v>
      </c>
      <c r="F338" s="34" t="s">
        <v>156</v>
      </c>
      <c r="G338" s="34" t="s">
        <v>1059</v>
      </c>
      <c r="H338" s="35" t="s">
        <v>26</v>
      </c>
      <c r="I338" s="35" t="s">
        <v>27</v>
      </c>
      <c r="J338" s="57"/>
      <c r="K338" s="57"/>
      <c r="L338" s="84"/>
    </row>
    <row r="339">
      <c r="A339" s="31" t="s">
        <v>1060</v>
      </c>
      <c r="B339" s="32" t="s">
        <v>1061</v>
      </c>
      <c r="C339" s="33">
        <v>45709.0</v>
      </c>
      <c r="D339" s="34" t="s">
        <v>39</v>
      </c>
      <c r="E339" s="32" t="s">
        <v>1062</v>
      </c>
      <c r="F339" s="34" t="s">
        <v>24</v>
      </c>
      <c r="G339" s="34" t="s">
        <v>1063</v>
      </c>
      <c r="H339" s="35" t="s">
        <v>26</v>
      </c>
      <c r="I339" s="35" t="s">
        <v>27</v>
      </c>
      <c r="J339" s="57"/>
      <c r="K339" s="57"/>
      <c r="L339" s="84"/>
    </row>
    <row r="340">
      <c r="A340" s="31" t="s">
        <v>1064</v>
      </c>
      <c r="B340" s="32" t="s">
        <v>1065</v>
      </c>
      <c r="C340" s="33">
        <v>45709.0</v>
      </c>
      <c r="D340" s="34" t="s">
        <v>22</v>
      </c>
      <c r="E340" s="32" t="s">
        <v>1066</v>
      </c>
      <c r="F340" s="34" t="s">
        <v>53</v>
      </c>
      <c r="G340" s="34" t="s">
        <v>1067</v>
      </c>
      <c r="H340" s="35" t="s">
        <v>26</v>
      </c>
      <c r="I340" s="35" t="s">
        <v>27</v>
      </c>
      <c r="J340" s="57"/>
      <c r="K340" s="57"/>
      <c r="L340" s="84"/>
    </row>
    <row r="341">
      <c r="A341" s="31" t="s">
        <v>1068</v>
      </c>
      <c r="B341" s="32" t="s">
        <v>1069</v>
      </c>
      <c r="C341" s="33">
        <v>45709.0</v>
      </c>
      <c r="D341" s="34" t="s">
        <v>22</v>
      </c>
      <c r="E341" s="32" t="s">
        <v>513</v>
      </c>
      <c r="F341" s="34" t="s">
        <v>156</v>
      </c>
      <c r="G341" s="34" t="s">
        <v>1070</v>
      </c>
      <c r="H341" s="35" t="s">
        <v>26</v>
      </c>
      <c r="I341" s="35" t="s">
        <v>27</v>
      </c>
      <c r="J341" s="57"/>
      <c r="K341" s="57"/>
      <c r="L341" s="84"/>
    </row>
    <row r="342">
      <c r="A342" s="31" t="s">
        <v>1071</v>
      </c>
      <c r="B342" s="32" t="s">
        <v>1072</v>
      </c>
      <c r="C342" s="33">
        <v>45709.0</v>
      </c>
      <c r="D342" s="34" t="s">
        <v>22</v>
      </c>
      <c r="E342" s="32" t="s">
        <v>1073</v>
      </c>
      <c r="F342" s="34" t="s">
        <v>53</v>
      </c>
      <c r="G342" s="34" t="s">
        <v>1074</v>
      </c>
      <c r="H342" s="35" t="s">
        <v>26</v>
      </c>
      <c r="I342" s="35" t="s">
        <v>27</v>
      </c>
      <c r="J342" s="35" t="s">
        <v>100</v>
      </c>
      <c r="K342" s="57"/>
      <c r="L342" s="84"/>
    </row>
    <row r="343">
      <c r="A343" s="31" t="s">
        <v>1075</v>
      </c>
      <c r="B343" s="32" t="s">
        <v>1076</v>
      </c>
      <c r="C343" s="33">
        <v>45709.0</v>
      </c>
      <c r="D343" s="34" t="s">
        <v>22</v>
      </c>
      <c r="E343" s="32" t="s">
        <v>1077</v>
      </c>
      <c r="F343" s="34" t="s">
        <v>53</v>
      </c>
      <c r="G343" s="34" t="s">
        <v>1078</v>
      </c>
      <c r="H343" s="35" t="s">
        <v>26</v>
      </c>
      <c r="I343" s="35" t="s">
        <v>27</v>
      </c>
      <c r="J343" s="57"/>
      <c r="K343" s="57"/>
      <c r="L343" s="84"/>
    </row>
    <row r="344">
      <c r="A344" s="31" t="s">
        <v>1079</v>
      </c>
      <c r="B344" s="32" t="s">
        <v>1080</v>
      </c>
      <c r="C344" s="33">
        <v>45709.0</v>
      </c>
      <c r="D344" s="34" t="s">
        <v>22</v>
      </c>
      <c r="E344" s="32" t="s">
        <v>1081</v>
      </c>
      <c r="F344" s="34" t="s">
        <v>156</v>
      </c>
      <c r="G344" s="34" t="s">
        <v>1082</v>
      </c>
      <c r="H344" s="35" t="s">
        <v>26</v>
      </c>
      <c r="I344" s="35" t="s">
        <v>27</v>
      </c>
      <c r="J344" s="57"/>
      <c r="K344" s="57"/>
      <c r="L344" s="84"/>
    </row>
    <row r="345">
      <c r="A345" s="32" t="s">
        <v>1083</v>
      </c>
      <c r="B345" s="32" t="s">
        <v>1084</v>
      </c>
      <c r="C345" s="33">
        <v>45709.0</v>
      </c>
      <c r="D345" s="34" t="s">
        <v>22</v>
      </c>
      <c r="E345" s="32" t="s">
        <v>325</v>
      </c>
      <c r="F345" s="34" t="s">
        <v>156</v>
      </c>
      <c r="G345" s="34" t="s">
        <v>342</v>
      </c>
      <c r="H345" s="66"/>
      <c r="I345" s="35" t="s">
        <v>27</v>
      </c>
      <c r="J345" s="57"/>
      <c r="K345" s="57"/>
      <c r="L345" s="84"/>
    </row>
    <row r="346">
      <c r="A346" s="31" t="s">
        <v>1085</v>
      </c>
      <c r="B346" s="32" t="s">
        <v>1086</v>
      </c>
      <c r="C346" s="33">
        <v>45710.0</v>
      </c>
      <c r="D346" s="34" t="s">
        <v>22</v>
      </c>
      <c r="E346" s="32" t="s">
        <v>238</v>
      </c>
      <c r="F346" s="34" t="s">
        <v>53</v>
      </c>
      <c r="G346" s="34" t="s">
        <v>119</v>
      </c>
      <c r="H346" s="35" t="s">
        <v>26</v>
      </c>
      <c r="I346" s="35" t="s">
        <v>27</v>
      </c>
      <c r="J346" s="57"/>
      <c r="K346" s="57"/>
      <c r="L346" s="84"/>
    </row>
    <row r="347">
      <c r="A347" s="31" t="s">
        <v>1087</v>
      </c>
      <c r="B347" s="32" t="s">
        <v>1088</v>
      </c>
      <c r="C347" s="33">
        <v>45710.0</v>
      </c>
      <c r="D347" s="34" t="s">
        <v>22</v>
      </c>
      <c r="E347" s="32" t="s">
        <v>1089</v>
      </c>
      <c r="F347" s="34" t="s">
        <v>53</v>
      </c>
      <c r="G347" s="34" t="s">
        <v>62</v>
      </c>
      <c r="H347" s="35" t="s">
        <v>26</v>
      </c>
      <c r="I347" s="66"/>
      <c r="J347" s="57"/>
      <c r="K347" s="57"/>
      <c r="L347" s="84"/>
    </row>
    <row r="348">
      <c r="A348" s="31" t="s">
        <v>1090</v>
      </c>
      <c r="B348" s="32" t="s">
        <v>1091</v>
      </c>
      <c r="C348" s="33">
        <v>45711.0</v>
      </c>
      <c r="D348" s="34" t="s">
        <v>22</v>
      </c>
      <c r="E348" s="32" t="s">
        <v>770</v>
      </c>
      <c r="F348" s="34" t="s">
        <v>24</v>
      </c>
      <c r="G348" s="34" t="s">
        <v>1092</v>
      </c>
      <c r="H348" s="35" t="s">
        <v>26</v>
      </c>
      <c r="I348" s="57"/>
      <c r="J348" s="57"/>
      <c r="K348" s="57"/>
      <c r="L348" s="84"/>
    </row>
    <row r="349">
      <c r="A349" s="31" t="s">
        <v>931</v>
      </c>
      <c r="B349" s="32" t="s">
        <v>1093</v>
      </c>
      <c r="C349" s="33">
        <v>45712.0</v>
      </c>
      <c r="D349" s="34" t="s">
        <v>22</v>
      </c>
      <c r="E349" s="32" t="s">
        <v>73</v>
      </c>
      <c r="F349" s="34" t="s">
        <v>24</v>
      </c>
      <c r="G349" s="34" t="s">
        <v>933</v>
      </c>
      <c r="H349" s="35" t="s">
        <v>26</v>
      </c>
      <c r="I349" s="35" t="s">
        <v>27</v>
      </c>
      <c r="J349" s="57"/>
      <c r="K349" s="57"/>
      <c r="L349" s="84"/>
    </row>
    <row r="350">
      <c r="A350" s="31" t="s">
        <v>931</v>
      </c>
      <c r="B350" s="32" t="s">
        <v>1094</v>
      </c>
      <c r="C350" s="33">
        <v>45712.0</v>
      </c>
      <c r="D350" s="34" t="s">
        <v>22</v>
      </c>
      <c r="E350" s="32" t="s">
        <v>73</v>
      </c>
      <c r="F350" s="34" t="s">
        <v>24</v>
      </c>
      <c r="G350" s="34" t="s">
        <v>933</v>
      </c>
      <c r="H350" s="35" t="s">
        <v>26</v>
      </c>
      <c r="I350" s="35" t="s">
        <v>27</v>
      </c>
      <c r="J350" s="57"/>
      <c r="K350" s="57"/>
      <c r="L350" s="84"/>
    </row>
    <row r="351">
      <c r="A351" s="32" t="s">
        <v>1095</v>
      </c>
      <c r="B351" s="32" t="s">
        <v>1096</v>
      </c>
      <c r="C351" s="33">
        <v>45712.0</v>
      </c>
      <c r="D351" s="34" t="s">
        <v>22</v>
      </c>
      <c r="E351" s="32" t="s">
        <v>1097</v>
      </c>
      <c r="F351" s="34" t="s">
        <v>53</v>
      </c>
      <c r="G351" s="34" t="s">
        <v>1098</v>
      </c>
      <c r="H351" s="35" t="s">
        <v>26</v>
      </c>
      <c r="I351" s="66"/>
      <c r="J351" s="57"/>
      <c r="K351" s="57"/>
      <c r="L351" s="84"/>
    </row>
    <row r="352">
      <c r="A352" s="32" t="s">
        <v>1099</v>
      </c>
      <c r="B352" s="32" t="s">
        <v>1099</v>
      </c>
      <c r="C352" s="45">
        <v>45713.0</v>
      </c>
      <c r="D352" s="68" t="s">
        <v>22</v>
      </c>
      <c r="E352" s="32" t="s">
        <v>1100</v>
      </c>
      <c r="F352" s="34" t="s">
        <v>24</v>
      </c>
      <c r="G352" s="34" t="s">
        <v>1101</v>
      </c>
      <c r="H352" s="65"/>
      <c r="I352" s="36" t="str">
        <f>HYPERLINK("https://open.spotify.com/album/6q2b91lLtySWfPFH85p9Ud", "S")</f>
        <v>S</v>
      </c>
      <c r="J352" s="57"/>
      <c r="K352" s="57"/>
      <c r="L352" s="84"/>
    </row>
    <row r="353">
      <c r="A353" s="31" t="s">
        <v>1102</v>
      </c>
      <c r="B353" s="32" t="s">
        <v>1103</v>
      </c>
      <c r="C353" s="33">
        <v>45714.0</v>
      </c>
      <c r="D353" s="47" t="s">
        <v>22</v>
      </c>
      <c r="E353" s="32" t="s">
        <v>160</v>
      </c>
      <c r="F353" s="34" t="s">
        <v>24</v>
      </c>
      <c r="G353" s="34" t="s">
        <v>1104</v>
      </c>
      <c r="H353" s="35" t="s">
        <v>26</v>
      </c>
      <c r="I353" s="36" t="str">
        <f>HYPERLINK("https://open.spotify.com/album/4dVD1lPKiaPjFAv5u0B6MH", "S")</f>
        <v>S</v>
      </c>
      <c r="J353" s="57"/>
      <c r="K353" s="57"/>
      <c r="L353" s="84"/>
    </row>
    <row r="354">
      <c r="A354" s="31" t="s">
        <v>1105</v>
      </c>
      <c r="B354" s="32" t="s">
        <v>1106</v>
      </c>
      <c r="C354" s="33">
        <v>45714.0</v>
      </c>
      <c r="D354" s="47" t="s">
        <v>39</v>
      </c>
      <c r="E354" s="32" t="s">
        <v>1062</v>
      </c>
      <c r="F354" s="34" t="s">
        <v>24</v>
      </c>
      <c r="G354" s="34" t="s">
        <v>253</v>
      </c>
      <c r="H354" s="35" t="s">
        <v>26</v>
      </c>
      <c r="I354" s="36" t="str">
        <f>HYPERLINK("https://open.spotify.com/album/6Os92YvjeHr8trnH4DZbfk", "S")</f>
        <v>S</v>
      </c>
      <c r="J354" s="57"/>
      <c r="K354" s="57"/>
      <c r="L354" s="84"/>
    </row>
    <row r="355">
      <c r="A355" s="31" t="s">
        <v>1107</v>
      </c>
      <c r="B355" s="32" t="s">
        <v>1108</v>
      </c>
      <c r="C355" s="33">
        <v>45714.0</v>
      </c>
      <c r="D355" s="34" t="s">
        <v>22</v>
      </c>
      <c r="E355" s="32" t="s">
        <v>69</v>
      </c>
      <c r="F355" s="34" t="s">
        <v>24</v>
      </c>
      <c r="G355" s="34" t="s">
        <v>41</v>
      </c>
      <c r="H355" s="35" t="s">
        <v>26</v>
      </c>
      <c r="I355" s="35" t="s">
        <v>27</v>
      </c>
      <c r="J355" s="57"/>
      <c r="K355" s="57"/>
      <c r="L355" s="84"/>
    </row>
    <row r="356">
      <c r="A356" s="31" t="s">
        <v>1109</v>
      </c>
      <c r="B356" s="32" t="s">
        <v>1110</v>
      </c>
      <c r="C356" s="45">
        <v>45715.0</v>
      </c>
      <c r="D356" s="34" t="s">
        <v>22</v>
      </c>
      <c r="E356" s="32" t="s">
        <v>355</v>
      </c>
      <c r="F356" s="34" t="s">
        <v>24</v>
      </c>
      <c r="G356" s="34" t="s">
        <v>1111</v>
      </c>
      <c r="H356" s="35" t="s">
        <v>26</v>
      </c>
      <c r="I356" s="36" t="str">
        <f>HYPERLINK("https://open.spotify.com/album/1FxUlKnLrlaNpKPGD5YH2B", "S")</f>
        <v>S</v>
      </c>
      <c r="J356" s="57"/>
      <c r="K356" s="57"/>
      <c r="L356" s="84"/>
    </row>
    <row r="357">
      <c r="A357" s="31" t="s">
        <v>1112</v>
      </c>
      <c r="B357" s="32" t="s">
        <v>1112</v>
      </c>
      <c r="C357" s="33">
        <v>45715.0</v>
      </c>
      <c r="D357" s="34" t="s">
        <v>22</v>
      </c>
      <c r="E357" s="32" t="s">
        <v>1113</v>
      </c>
      <c r="F357" s="34" t="s">
        <v>24</v>
      </c>
      <c r="G357" s="34" t="s">
        <v>892</v>
      </c>
      <c r="H357" s="35" t="s">
        <v>26</v>
      </c>
      <c r="I357" s="36" t="str">
        <f>HYPERLINK("https://open.spotify.com/album/1yFf8t4lSR9FMO6S8BVVhF", "S")</f>
        <v>S</v>
      </c>
      <c r="J357" s="57"/>
      <c r="K357" s="57"/>
      <c r="L357" s="84"/>
    </row>
    <row r="358">
      <c r="A358" s="31" t="s">
        <v>1114</v>
      </c>
      <c r="B358" s="32" t="s">
        <v>1115</v>
      </c>
      <c r="C358" s="33">
        <v>45715.0</v>
      </c>
      <c r="D358" s="34" t="s">
        <v>22</v>
      </c>
      <c r="E358" s="32" t="s">
        <v>355</v>
      </c>
      <c r="F358" s="34" t="s">
        <v>24</v>
      </c>
      <c r="G358" s="34" t="s">
        <v>96</v>
      </c>
      <c r="H358" s="35" t="s">
        <v>26</v>
      </c>
      <c r="I358" s="36" t="str">
        <f>HYPERLINK("https://open.spotify.com/album/2INqMVoF0wR10majHGjfhF", "S")</f>
        <v>S</v>
      </c>
      <c r="J358" s="57"/>
      <c r="K358" s="57"/>
      <c r="L358" s="84"/>
    </row>
    <row r="359">
      <c r="A359" s="31" t="s">
        <v>1116</v>
      </c>
      <c r="B359" s="32" t="s">
        <v>1117</v>
      </c>
      <c r="C359" s="33">
        <v>45715.0</v>
      </c>
      <c r="D359" s="34" t="s">
        <v>22</v>
      </c>
      <c r="E359" s="32" t="s">
        <v>1118</v>
      </c>
      <c r="F359" s="34" t="s">
        <v>24</v>
      </c>
      <c r="G359" s="34" t="s">
        <v>1119</v>
      </c>
      <c r="H359" s="35" t="s">
        <v>26</v>
      </c>
      <c r="I359" s="35" t="s">
        <v>27</v>
      </c>
      <c r="J359" s="57"/>
      <c r="K359" s="57"/>
      <c r="L359" s="84"/>
    </row>
    <row r="360">
      <c r="A360" s="31" t="s">
        <v>1120</v>
      </c>
      <c r="B360" s="32" t="s">
        <v>1121</v>
      </c>
      <c r="C360" s="33">
        <v>45716.0</v>
      </c>
      <c r="D360" s="34" t="s">
        <v>22</v>
      </c>
      <c r="E360" s="32" t="s">
        <v>122</v>
      </c>
      <c r="F360" s="34" t="s">
        <v>53</v>
      </c>
      <c r="G360" s="34" t="s">
        <v>375</v>
      </c>
      <c r="H360" s="35" t="s">
        <v>26</v>
      </c>
      <c r="I360" s="35" t="s">
        <v>27</v>
      </c>
      <c r="J360" s="57"/>
      <c r="K360" s="57"/>
      <c r="L360" s="84"/>
    </row>
    <row r="361">
      <c r="A361" s="31" t="s">
        <v>1122</v>
      </c>
      <c r="B361" s="32" t="s">
        <v>1123</v>
      </c>
      <c r="C361" s="33">
        <v>45716.0</v>
      </c>
      <c r="D361" s="34" t="s">
        <v>22</v>
      </c>
      <c r="E361" s="32" t="s">
        <v>1081</v>
      </c>
      <c r="F361" s="34" t="s">
        <v>156</v>
      </c>
      <c r="G361" s="34" t="s">
        <v>1124</v>
      </c>
      <c r="H361" s="35" t="s">
        <v>26</v>
      </c>
      <c r="I361" s="35" t="s">
        <v>27</v>
      </c>
      <c r="J361" s="57"/>
      <c r="K361" s="57"/>
      <c r="L361" s="84"/>
    </row>
    <row r="362">
      <c r="A362" s="31" t="s">
        <v>1125</v>
      </c>
      <c r="B362" s="32" t="s">
        <v>1126</v>
      </c>
      <c r="C362" s="33">
        <v>45716.0</v>
      </c>
      <c r="D362" s="34" t="s">
        <v>22</v>
      </c>
      <c r="E362" s="32" t="s">
        <v>61</v>
      </c>
      <c r="F362" s="34" t="s">
        <v>24</v>
      </c>
      <c r="G362" s="34" t="s">
        <v>1127</v>
      </c>
      <c r="H362" s="35" t="s">
        <v>26</v>
      </c>
      <c r="I362" s="58" t="str">
        <f>HYPERLINK("https://open.spotify.com/album/3TK42sBYaVwab172dGwv65", "S")</f>
        <v>S</v>
      </c>
      <c r="J362" s="35" t="s">
        <v>100</v>
      </c>
      <c r="K362" s="57"/>
      <c r="L362" s="84"/>
    </row>
    <row r="363">
      <c r="A363" s="31" t="s">
        <v>1128</v>
      </c>
      <c r="B363" s="32" t="s">
        <v>1129</v>
      </c>
      <c r="C363" s="33">
        <v>45716.0</v>
      </c>
      <c r="D363" s="47" t="s">
        <v>22</v>
      </c>
      <c r="E363" s="32" t="s">
        <v>335</v>
      </c>
      <c r="F363" s="34" t="s">
        <v>24</v>
      </c>
      <c r="G363" s="34" t="s">
        <v>41</v>
      </c>
      <c r="H363" s="35" t="s">
        <v>26</v>
      </c>
      <c r="I363" s="35" t="s">
        <v>27</v>
      </c>
      <c r="J363" s="35" t="s">
        <v>100</v>
      </c>
      <c r="K363" s="57"/>
      <c r="L363" s="84"/>
    </row>
    <row r="364">
      <c r="A364" s="31" t="s">
        <v>1130</v>
      </c>
      <c r="B364" s="32" t="s">
        <v>1131</v>
      </c>
      <c r="C364" s="33">
        <v>45716.0</v>
      </c>
      <c r="D364" s="34" t="s">
        <v>22</v>
      </c>
      <c r="E364" s="32" t="s">
        <v>355</v>
      </c>
      <c r="F364" s="34" t="s">
        <v>24</v>
      </c>
      <c r="G364" s="34" t="s">
        <v>1132</v>
      </c>
      <c r="H364" s="35" t="s">
        <v>26</v>
      </c>
      <c r="I364" s="35" t="s">
        <v>27</v>
      </c>
      <c r="J364" s="57"/>
      <c r="K364" s="57"/>
      <c r="L364" s="84"/>
    </row>
    <row r="365">
      <c r="A365" s="31" t="s">
        <v>1133</v>
      </c>
      <c r="B365" s="32" t="s">
        <v>1134</v>
      </c>
      <c r="C365" s="33">
        <v>45716.0</v>
      </c>
      <c r="D365" s="47" t="s">
        <v>22</v>
      </c>
      <c r="E365" s="32" t="s">
        <v>61</v>
      </c>
      <c r="F365" s="34" t="s">
        <v>24</v>
      </c>
      <c r="G365" s="34" t="s">
        <v>1135</v>
      </c>
      <c r="H365" s="35" t="s">
        <v>26</v>
      </c>
      <c r="I365" s="35" t="s">
        <v>27</v>
      </c>
      <c r="J365" s="57"/>
      <c r="K365" s="57"/>
      <c r="L365" s="84"/>
    </row>
    <row r="366">
      <c r="A366" s="31" t="s">
        <v>1136</v>
      </c>
      <c r="B366" s="32" t="s">
        <v>1137</v>
      </c>
      <c r="C366" s="33">
        <v>45716.0</v>
      </c>
      <c r="D366" s="47" t="s">
        <v>22</v>
      </c>
      <c r="E366" s="32" t="s">
        <v>1138</v>
      </c>
      <c r="F366" s="34" t="s">
        <v>24</v>
      </c>
      <c r="G366" s="34" t="s">
        <v>712</v>
      </c>
      <c r="H366" s="35" t="s">
        <v>26</v>
      </c>
      <c r="I366" s="35" t="s">
        <v>27</v>
      </c>
      <c r="J366" s="57"/>
      <c r="K366" s="57"/>
      <c r="L366" s="84"/>
    </row>
    <row r="367">
      <c r="A367" s="31" t="s">
        <v>1139</v>
      </c>
      <c r="B367" s="32" t="s">
        <v>1139</v>
      </c>
      <c r="C367" s="33">
        <v>45716.0</v>
      </c>
      <c r="D367" s="47" t="s">
        <v>22</v>
      </c>
      <c r="E367" s="32" t="s">
        <v>1140</v>
      </c>
      <c r="F367" s="34" t="s">
        <v>24</v>
      </c>
      <c r="G367" s="34" t="s">
        <v>708</v>
      </c>
      <c r="H367" s="35" t="s">
        <v>26</v>
      </c>
      <c r="I367" s="35" t="s">
        <v>27</v>
      </c>
      <c r="J367" s="57"/>
      <c r="K367" s="57"/>
      <c r="L367" s="84"/>
    </row>
    <row r="368">
      <c r="A368" s="31" t="s">
        <v>1141</v>
      </c>
      <c r="B368" s="32" t="s">
        <v>1142</v>
      </c>
      <c r="C368" s="33">
        <v>45716.0</v>
      </c>
      <c r="D368" s="34" t="s">
        <v>22</v>
      </c>
      <c r="E368" s="32" t="s">
        <v>1143</v>
      </c>
      <c r="F368" s="34" t="s">
        <v>24</v>
      </c>
      <c r="G368" s="34" t="s">
        <v>1144</v>
      </c>
      <c r="H368" s="35" t="s">
        <v>26</v>
      </c>
      <c r="I368" s="35" t="s">
        <v>27</v>
      </c>
      <c r="J368" s="57"/>
      <c r="K368" s="57"/>
      <c r="L368" s="84"/>
    </row>
    <row r="369">
      <c r="A369" s="31" t="s">
        <v>1145</v>
      </c>
      <c r="B369" s="32" t="s">
        <v>1146</v>
      </c>
      <c r="C369" s="33">
        <v>45716.0</v>
      </c>
      <c r="D369" s="34" t="s">
        <v>22</v>
      </c>
      <c r="E369" s="32" t="s">
        <v>513</v>
      </c>
      <c r="F369" s="34" t="s">
        <v>156</v>
      </c>
      <c r="G369" s="34" t="s">
        <v>1147</v>
      </c>
      <c r="H369" s="35" t="s">
        <v>26</v>
      </c>
      <c r="I369" s="36" t="str">
        <f>HYPERLINK("https://open.spotify.com/album/3EQbOdOKHx7XyfVcLmfTQt", "S")</f>
        <v>S</v>
      </c>
      <c r="J369" s="57"/>
      <c r="K369" s="57"/>
      <c r="L369" s="84"/>
    </row>
    <row r="370">
      <c r="A370" s="31" t="s">
        <v>1148</v>
      </c>
      <c r="B370" s="32" t="s">
        <v>1149</v>
      </c>
      <c r="C370" s="33">
        <v>45716.0</v>
      </c>
      <c r="D370" s="34" t="s">
        <v>22</v>
      </c>
      <c r="E370" s="32" t="s">
        <v>1150</v>
      </c>
      <c r="F370" s="34" t="s">
        <v>24</v>
      </c>
      <c r="G370" s="34" t="s">
        <v>1151</v>
      </c>
      <c r="H370" s="35" t="s">
        <v>26</v>
      </c>
      <c r="I370" s="35" t="s">
        <v>27</v>
      </c>
      <c r="J370" s="35" t="s">
        <v>100</v>
      </c>
      <c r="K370" s="57"/>
      <c r="L370" s="84"/>
    </row>
    <row r="371">
      <c r="A371" s="31" t="s">
        <v>1152</v>
      </c>
      <c r="B371" s="32" t="s">
        <v>1153</v>
      </c>
      <c r="C371" s="33">
        <v>45716.0</v>
      </c>
      <c r="D371" s="34" t="s">
        <v>22</v>
      </c>
      <c r="E371" s="32" t="s">
        <v>61</v>
      </c>
      <c r="F371" s="34" t="s">
        <v>24</v>
      </c>
      <c r="G371" s="34" t="s">
        <v>62</v>
      </c>
      <c r="H371" s="35" t="s">
        <v>26</v>
      </c>
      <c r="I371" s="35" t="s">
        <v>27</v>
      </c>
      <c r="J371" s="35" t="s">
        <v>100</v>
      </c>
      <c r="K371" s="57"/>
      <c r="L371" s="84"/>
    </row>
    <row r="372">
      <c r="A372" s="31" t="s">
        <v>1154</v>
      </c>
      <c r="B372" s="32" t="s">
        <v>1155</v>
      </c>
      <c r="C372" s="45">
        <v>45716.0</v>
      </c>
      <c r="D372" s="34" t="s">
        <v>22</v>
      </c>
      <c r="E372" s="32" t="s">
        <v>129</v>
      </c>
      <c r="F372" s="34" t="s">
        <v>24</v>
      </c>
      <c r="G372" s="34" t="s">
        <v>526</v>
      </c>
      <c r="H372" s="35" t="s">
        <v>26</v>
      </c>
      <c r="I372" s="35" t="s">
        <v>27</v>
      </c>
      <c r="J372" s="57"/>
      <c r="K372" s="57"/>
      <c r="L372" s="84"/>
    </row>
    <row r="373">
      <c r="A373" s="32" t="s">
        <v>1156</v>
      </c>
      <c r="B373" s="32" t="s">
        <v>1157</v>
      </c>
      <c r="C373" s="45">
        <v>45716.0</v>
      </c>
      <c r="D373" s="68" t="s">
        <v>22</v>
      </c>
      <c r="E373" s="32" t="s">
        <v>84</v>
      </c>
      <c r="F373" s="34" t="s">
        <v>53</v>
      </c>
      <c r="G373" s="34" t="s">
        <v>1158</v>
      </c>
      <c r="H373" s="35" t="str">
        <f>HYPERLINK("https://architects.bandcamp.com/album/the-sky-the-earth-all-between", "BC")</f>
        <v>BC</v>
      </c>
      <c r="I373" s="35" t="s">
        <v>27</v>
      </c>
      <c r="J373" s="57"/>
      <c r="K373" s="57"/>
      <c r="L373" s="84"/>
    </row>
    <row r="374">
      <c r="A374" s="31" t="s">
        <v>1159</v>
      </c>
      <c r="B374" s="32" t="s">
        <v>1160</v>
      </c>
      <c r="C374" s="45">
        <v>45716.0</v>
      </c>
      <c r="D374" s="34" t="s">
        <v>22</v>
      </c>
      <c r="E374" s="32" t="s">
        <v>325</v>
      </c>
      <c r="F374" s="34" t="s">
        <v>156</v>
      </c>
      <c r="G374" s="34" t="s">
        <v>1161</v>
      </c>
      <c r="H374" s="57"/>
      <c r="I374" s="35" t="s">
        <v>27</v>
      </c>
      <c r="J374" s="57"/>
      <c r="K374" s="57"/>
      <c r="L374" s="84"/>
    </row>
    <row r="375">
      <c r="A375" s="31" t="s">
        <v>1162</v>
      </c>
      <c r="B375" s="32" t="s">
        <v>1163</v>
      </c>
      <c r="C375" s="45">
        <v>45716.0</v>
      </c>
      <c r="D375" s="34" t="s">
        <v>22</v>
      </c>
      <c r="E375" s="32" t="s">
        <v>355</v>
      </c>
      <c r="F375" s="34" t="s">
        <v>24</v>
      </c>
      <c r="G375" s="34" t="s">
        <v>1164</v>
      </c>
      <c r="H375" s="35" t="s">
        <v>26</v>
      </c>
      <c r="I375" s="35" t="s">
        <v>27</v>
      </c>
      <c r="J375" s="57"/>
      <c r="K375" s="57"/>
      <c r="L375" s="84"/>
    </row>
    <row r="376">
      <c r="A376" s="31" t="s">
        <v>1165</v>
      </c>
      <c r="B376" s="32" t="s">
        <v>1166</v>
      </c>
      <c r="C376" s="59">
        <v>45716.0</v>
      </c>
      <c r="D376" s="34" t="s">
        <v>22</v>
      </c>
      <c r="E376" s="32" t="s">
        <v>1167</v>
      </c>
      <c r="F376" s="34" t="s">
        <v>24</v>
      </c>
      <c r="G376" s="34" t="s">
        <v>299</v>
      </c>
      <c r="H376" s="35" t="s">
        <v>26</v>
      </c>
      <c r="I376" s="58" t="str">
        <f>HYPERLINK("https://open.spotify.com/album/0vqHeTUpFpEYOGvXL5wFDp", "S")</f>
        <v>S</v>
      </c>
      <c r="J376" s="35" t="s">
        <v>100</v>
      </c>
      <c r="K376" s="57"/>
      <c r="L376" s="84"/>
    </row>
    <row r="377">
      <c r="A377" s="31" t="s">
        <v>1168</v>
      </c>
      <c r="B377" s="32" t="s">
        <v>1169</v>
      </c>
      <c r="C377" s="45">
        <v>45716.0</v>
      </c>
      <c r="D377" s="34" t="s">
        <v>22</v>
      </c>
      <c r="E377" s="32" t="s">
        <v>822</v>
      </c>
      <c r="F377" s="34" t="s">
        <v>24</v>
      </c>
      <c r="G377" s="34" t="s">
        <v>561</v>
      </c>
      <c r="H377" s="35" t="s">
        <v>26</v>
      </c>
      <c r="I377" s="35" t="s">
        <v>27</v>
      </c>
      <c r="J377" s="57"/>
      <c r="K377" s="57"/>
      <c r="L377" s="84"/>
    </row>
    <row r="378">
      <c r="A378" s="31" t="s">
        <v>1170</v>
      </c>
      <c r="B378" s="32" t="s">
        <v>1171</v>
      </c>
      <c r="C378" s="45">
        <v>45716.0</v>
      </c>
      <c r="D378" s="34" t="s">
        <v>22</v>
      </c>
      <c r="E378" s="32" t="s">
        <v>328</v>
      </c>
      <c r="F378" s="34" t="s">
        <v>53</v>
      </c>
      <c r="G378" s="34" t="s">
        <v>394</v>
      </c>
      <c r="H378" s="35" t="s">
        <v>26</v>
      </c>
      <c r="I378" s="35" t="s">
        <v>27</v>
      </c>
      <c r="J378" s="57"/>
      <c r="K378" s="57"/>
      <c r="L378" s="84"/>
    </row>
    <row r="379">
      <c r="A379" s="31" t="s">
        <v>1172</v>
      </c>
      <c r="B379" s="32" t="s">
        <v>1173</v>
      </c>
      <c r="C379" s="45">
        <v>45716.0</v>
      </c>
      <c r="D379" s="34" t="s">
        <v>22</v>
      </c>
      <c r="E379" s="32" t="s">
        <v>1150</v>
      </c>
      <c r="F379" s="34" t="s">
        <v>24</v>
      </c>
      <c r="G379" s="34" t="s">
        <v>1174</v>
      </c>
      <c r="H379" s="35" t="s">
        <v>26</v>
      </c>
      <c r="I379" s="35" t="s">
        <v>27</v>
      </c>
      <c r="J379" s="35" t="s">
        <v>100</v>
      </c>
      <c r="K379" s="57"/>
      <c r="L379" s="84"/>
    </row>
    <row r="380">
      <c r="A380" s="31" t="s">
        <v>1175</v>
      </c>
      <c r="B380" s="32" t="s">
        <v>1176</v>
      </c>
      <c r="C380" s="45">
        <v>45716.0</v>
      </c>
      <c r="D380" s="34" t="s">
        <v>22</v>
      </c>
      <c r="E380" s="32" t="s">
        <v>1000</v>
      </c>
      <c r="F380" s="34" t="s">
        <v>24</v>
      </c>
      <c r="G380" s="34" t="s">
        <v>792</v>
      </c>
      <c r="H380" s="35" t="s">
        <v>26</v>
      </c>
      <c r="I380" s="35" t="s">
        <v>27</v>
      </c>
      <c r="J380" s="57"/>
      <c r="K380" s="57"/>
      <c r="L380" s="84"/>
    </row>
    <row r="381">
      <c r="A381" s="31" t="s">
        <v>1177</v>
      </c>
      <c r="B381" s="32" t="s">
        <v>1178</v>
      </c>
      <c r="C381" s="45">
        <v>45716.0</v>
      </c>
      <c r="D381" s="34" t="s">
        <v>22</v>
      </c>
      <c r="E381" s="32" t="s">
        <v>69</v>
      </c>
      <c r="F381" s="34" t="s">
        <v>24</v>
      </c>
      <c r="G381" s="34" t="s">
        <v>868</v>
      </c>
      <c r="H381" s="35" t="s">
        <v>26</v>
      </c>
      <c r="I381" s="35" t="s">
        <v>27</v>
      </c>
      <c r="J381" s="57"/>
      <c r="K381" s="57"/>
      <c r="L381" s="84"/>
    </row>
    <row r="382">
      <c r="A382" s="31" t="s">
        <v>1179</v>
      </c>
      <c r="B382" s="32" t="s">
        <v>1179</v>
      </c>
      <c r="C382" s="45">
        <v>45716.0</v>
      </c>
      <c r="D382" s="34" t="s">
        <v>22</v>
      </c>
      <c r="E382" s="32" t="s">
        <v>328</v>
      </c>
      <c r="F382" s="34" t="s">
        <v>156</v>
      </c>
      <c r="G382" s="34" t="s">
        <v>510</v>
      </c>
      <c r="H382" s="35" t="s">
        <v>26</v>
      </c>
      <c r="I382" s="35" t="s">
        <v>27</v>
      </c>
      <c r="J382" s="35" t="s">
        <v>100</v>
      </c>
      <c r="K382" s="57"/>
      <c r="L382" s="84"/>
    </row>
    <row r="383">
      <c r="A383" s="31" t="s">
        <v>1180</v>
      </c>
      <c r="B383" s="32" t="s">
        <v>1180</v>
      </c>
      <c r="C383" s="45">
        <v>45716.0</v>
      </c>
      <c r="D383" s="34" t="s">
        <v>22</v>
      </c>
      <c r="E383" s="32" t="s">
        <v>328</v>
      </c>
      <c r="F383" s="34" t="s">
        <v>24</v>
      </c>
      <c r="G383" s="34" t="s">
        <v>1181</v>
      </c>
      <c r="H383" s="35" t="s">
        <v>26</v>
      </c>
      <c r="I383" s="35" t="s">
        <v>27</v>
      </c>
      <c r="J383" s="35" t="s">
        <v>100</v>
      </c>
      <c r="K383" s="57"/>
      <c r="L383" s="84"/>
    </row>
    <row r="384">
      <c r="A384" s="31" t="s">
        <v>1182</v>
      </c>
      <c r="B384" s="32" t="s">
        <v>1183</v>
      </c>
      <c r="C384" s="45">
        <v>45716.0</v>
      </c>
      <c r="D384" s="34" t="s">
        <v>39</v>
      </c>
      <c r="E384" s="32" t="s">
        <v>122</v>
      </c>
      <c r="F384" s="34" t="s">
        <v>53</v>
      </c>
      <c r="G384" s="34" t="s">
        <v>299</v>
      </c>
      <c r="H384" s="35" t="s">
        <v>26</v>
      </c>
      <c r="I384" s="35" t="s">
        <v>27</v>
      </c>
      <c r="J384" s="57"/>
      <c r="K384" s="57"/>
      <c r="L384" s="84"/>
    </row>
    <row r="385">
      <c r="A385" s="31" t="s">
        <v>1184</v>
      </c>
      <c r="B385" s="32" t="s">
        <v>1185</v>
      </c>
      <c r="C385" s="59">
        <v>45716.0</v>
      </c>
      <c r="D385" s="47" t="s">
        <v>22</v>
      </c>
      <c r="E385" s="32" t="s">
        <v>1186</v>
      </c>
      <c r="F385" s="34" t="s">
        <v>53</v>
      </c>
      <c r="G385" s="34" t="s">
        <v>1187</v>
      </c>
      <c r="H385" s="65"/>
      <c r="I385" s="35" t="s">
        <v>27</v>
      </c>
      <c r="J385" s="57"/>
      <c r="K385" s="57"/>
      <c r="L385" s="84"/>
    </row>
    <row r="386">
      <c r="A386" s="31" t="s">
        <v>1188</v>
      </c>
      <c r="B386" s="32" t="s">
        <v>1189</v>
      </c>
      <c r="C386" s="45">
        <v>45716.0</v>
      </c>
      <c r="D386" s="47" t="s">
        <v>22</v>
      </c>
      <c r="E386" s="32" t="s">
        <v>61</v>
      </c>
      <c r="F386" s="34" t="s">
        <v>24</v>
      </c>
      <c r="G386" s="34" t="s">
        <v>231</v>
      </c>
      <c r="H386" s="35" t="s">
        <v>26</v>
      </c>
      <c r="I386" s="35" t="s">
        <v>27</v>
      </c>
      <c r="J386" s="35" t="s">
        <v>100</v>
      </c>
      <c r="K386" s="57"/>
      <c r="L386" s="84"/>
    </row>
    <row r="387">
      <c r="A387" s="31" t="s">
        <v>1190</v>
      </c>
      <c r="B387" s="32" t="s">
        <v>1191</v>
      </c>
      <c r="C387" s="45">
        <v>45716.0</v>
      </c>
      <c r="D387" s="34" t="s">
        <v>22</v>
      </c>
      <c r="E387" s="32" t="s">
        <v>1025</v>
      </c>
      <c r="F387" s="34" t="s">
        <v>156</v>
      </c>
      <c r="G387" s="34" t="s">
        <v>1192</v>
      </c>
      <c r="H387" s="35" t="s">
        <v>26</v>
      </c>
      <c r="I387" s="35" t="s">
        <v>27</v>
      </c>
      <c r="J387" s="57"/>
      <c r="K387" s="57"/>
      <c r="L387" s="84"/>
    </row>
    <row r="388">
      <c r="A388" s="31" t="s">
        <v>1193</v>
      </c>
      <c r="B388" s="32" t="s">
        <v>1194</v>
      </c>
      <c r="C388" s="45">
        <v>45716.0</v>
      </c>
      <c r="D388" s="34" t="s">
        <v>22</v>
      </c>
      <c r="E388" s="32" t="s">
        <v>160</v>
      </c>
      <c r="F388" s="34" t="s">
        <v>24</v>
      </c>
      <c r="G388" s="34" t="s">
        <v>299</v>
      </c>
      <c r="H388" s="35" t="s">
        <v>26</v>
      </c>
      <c r="I388" s="35" t="s">
        <v>27</v>
      </c>
      <c r="J388" s="35" t="s">
        <v>100</v>
      </c>
      <c r="K388" s="57"/>
      <c r="L388" s="84"/>
    </row>
    <row r="389">
      <c r="A389" s="31" t="s">
        <v>1195</v>
      </c>
      <c r="B389" s="32" t="s">
        <v>1196</v>
      </c>
      <c r="C389" s="45">
        <v>45716.0</v>
      </c>
      <c r="D389" s="34" t="s">
        <v>22</v>
      </c>
      <c r="E389" s="32" t="s">
        <v>463</v>
      </c>
      <c r="F389" s="34" t="s">
        <v>156</v>
      </c>
      <c r="G389" s="34" t="s">
        <v>702</v>
      </c>
      <c r="H389" s="35" t="s">
        <v>26</v>
      </c>
      <c r="I389" s="58" t="str">
        <f>HYPERLINK("https://open.spotify.com/album/1oFeEfBEOpQvyNhnt3IXs6", "S")</f>
        <v>S</v>
      </c>
      <c r="J389" s="57"/>
      <c r="K389" s="57"/>
      <c r="L389" s="84"/>
    </row>
    <row r="390">
      <c r="A390" s="31" t="s">
        <v>1197</v>
      </c>
      <c r="B390" s="32" t="s">
        <v>1198</v>
      </c>
      <c r="C390" s="45">
        <v>45716.0</v>
      </c>
      <c r="D390" s="34" t="s">
        <v>22</v>
      </c>
      <c r="E390" s="32" t="s">
        <v>136</v>
      </c>
      <c r="F390" s="34" t="s">
        <v>53</v>
      </c>
      <c r="G390" s="34" t="s">
        <v>660</v>
      </c>
      <c r="H390" s="35" t="s">
        <v>26</v>
      </c>
      <c r="I390" s="35" t="s">
        <v>27</v>
      </c>
      <c r="J390" s="57"/>
      <c r="K390" s="57"/>
      <c r="L390" s="84"/>
    </row>
    <row r="391">
      <c r="A391" s="31" t="s">
        <v>1199</v>
      </c>
      <c r="B391" s="32" t="s">
        <v>1200</v>
      </c>
      <c r="C391" s="45">
        <v>45716.0</v>
      </c>
      <c r="D391" s="34" t="s">
        <v>22</v>
      </c>
      <c r="E391" s="32" t="s">
        <v>284</v>
      </c>
      <c r="F391" s="34" t="s">
        <v>24</v>
      </c>
      <c r="G391" s="34" t="s">
        <v>1201</v>
      </c>
      <c r="H391" s="35" t="s">
        <v>26</v>
      </c>
      <c r="I391" s="35" t="s">
        <v>27</v>
      </c>
      <c r="J391" s="35" t="s">
        <v>100</v>
      </c>
      <c r="K391" s="57"/>
      <c r="L391" s="84"/>
    </row>
    <row r="392">
      <c r="A392" s="31" t="s">
        <v>1202</v>
      </c>
      <c r="B392" s="32" t="s">
        <v>1203</v>
      </c>
      <c r="C392" s="45">
        <v>45716.0</v>
      </c>
      <c r="D392" s="34" t="s">
        <v>22</v>
      </c>
      <c r="E392" s="32" t="s">
        <v>1204</v>
      </c>
      <c r="F392" s="34" t="s">
        <v>156</v>
      </c>
      <c r="G392" s="34" t="s">
        <v>1205</v>
      </c>
      <c r="H392" s="35" t="s">
        <v>26</v>
      </c>
      <c r="I392" s="35" t="s">
        <v>27</v>
      </c>
      <c r="J392" s="35" t="s">
        <v>100</v>
      </c>
      <c r="K392" s="57"/>
      <c r="L392" s="84"/>
    </row>
    <row r="393">
      <c r="A393" s="31" t="s">
        <v>1206</v>
      </c>
      <c r="B393" s="32" t="s">
        <v>1207</v>
      </c>
      <c r="C393" s="33">
        <v>45716.0</v>
      </c>
      <c r="D393" s="47" t="s">
        <v>22</v>
      </c>
      <c r="E393" s="32" t="s">
        <v>1208</v>
      </c>
      <c r="F393" s="34" t="s">
        <v>156</v>
      </c>
      <c r="G393" s="34" t="s">
        <v>1209</v>
      </c>
      <c r="H393" s="35" t="s">
        <v>26</v>
      </c>
      <c r="I393" s="35" t="s">
        <v>27</v>
      </c>
      <c r="J393" s="57"/>
      <c r="K393" s="57"/>
      <c r="L393" s="84"/>
    </row>
    <row r="394">
      <c r="A394" s="31" t="s">
        <v>1210</v>
      </c>
      <c r="B394" s="32" t="s">
        <v>1211</v>
      </c>
      <c r="C394" s="33">
        <v>45716.0</v>
      </c>
      <c r="D394" s="34" t="s">
        <v>22</v>
      </c>
      <c r="E394" s="32" t="s">
        <v>1212</v>
      </c>
      <c r="F394" s="34" t="s">
        <v>24</v>
      </c>
      <c r="G394" s="34" t="s">
        <v>1213</v>
      </c>
      <c r="H394" s="35" t="s">
        <v>26</v>
      </c>
      <c r="I394" s="35" t="s">
        <v>27</v>
      </c>
      <c r="J394" s="57"/>
      <c r="K394" s="57"/>
      <c r="L394" s="84"/>
    </row>
    <row r="395">
      <c r="A395" s="31" t="s">
        <v>1214</v>
      </c>
      <c r="B395" s="32" t="s">
        <v>1215</v>
      </c>
      <c r="C395" s="33">
        <v>45716.0</v>
      </c>
      <c r="D395" s="34" t="s">
        <v>22</v>
      </c>
      <c r="E395" s="32" t="s">
        <v>129</v>
      </c>
      <c r="F395" s="34" t="s">
        <v>24</v>
      </c>
      <c r="G395" s="34" t="s">
        <v>1216</v>
      </c>
      <c r="H395" s="35" t="s">
        <v>26</v>
      </c>
      <c r="I395" s="36" t="str">
        <f>HYPERLINK("https://open.spotify.com/album/0QuFK5hoMsojdLUuyWqKZs", "S")</f>
        <v>S</v>
      </c>
      <c r="J395" s="57"/>
      <c r="K395" s="57"/>
      <c r="L395" s="84"/>
    </row>
    <row r="396">
      <c r="A396" s="31" t="s">
        <v>1217</v>
      </c>
      <c r="B396" s="32" t="s">
        <v>1218</v>
      </c>
      <c r="C396" s="33">
        <v>45716.0</v>
      </c>
      <c r="D396" s="34" t="s">
        <v>22</v>
      </c>
      <c r="E396" s="32" t="s">
        <v>1219</v>
      </c>
      <c r="F396" s="34" t="s">
        <v>156</v>
      </c>
      <c r="G396" s="34" t="s">
        <v>1220</v>
      </c>
      <c r="H396" s="35" t="s">
        <v>26</v>
      </c>
      <c r="I396" s="58" t="str">
        <f>HYPERLINK("https://open.spotify.com/album/6SeVqNcNDjvZRD3Q95xSVb", "S")</f>
        <v>S</v>
      </c>
      <c r="J396" s="57"/>
      <c r="K396" s="57"/>
      <c r="L396" s="84"/>
    </row>
    <row r="397">
      <c r="A397" s="31" t="s">
        <v>1221</v>
      </c>
      <c r="B397" s="32" t="s">
        <v>1222</v>
      </c>
      <c r="C397" s="33">
        <v>45716.0</v>
      </c>
      <c r="D397" s="34" t="s">
        <v>22</v>
      </c>
      <c r="E397" s="32" t="s">
        <v>73</v>
      </c>
      <c r="F397" s="34" t="s">
        <v>24</v>
      </c>
      <c r="G397" s="34" t="s">
        <v>693</v>
      </c>
      <c r="H397" s="35" t="s">
        <v>26</v>
      </c>
      <c r="I397" s="35" t="s">
        <v>27</v>
      </c>
      <c r="J397" s="57"/>
      <c r="K397" s="57"/>
      <c r="L397" s="84"/>
    </row>
    <row r="398">
      <c r="A398" s="31" t="s">
        <v>1223</v>
      </c>
      <c r="B398" s="32" t="s">
        <v>1224</v>
      </c>
      <c r="C398" s="33">
        <v>45716.0</v>
      </c>
      <c r="D398" s="34" t="s">
        <v>22</v>
      </c>
      <c r="E398" s="32" t="s">
        <v>73</v>
      </c>
      <c r="F398" s="34" t="s">
        <v>24</v>
      </c>
      <c r="G398" s="34" t="s">
        <v>1225</v>
      </c>
      <c r="H398" s="35" t="s">
        <v>26</v>
      </c>
      <c r="I398" s="35" t="s">
        <v>27</v>
      </c>
      <c r="J398" s="57"/>
      <c r="K398" s="57"/>
      <c r="L398" s="84"/>
    </row>
    <row r="399">
      <c r="A399" s="31" t="s">
        <v>1226</v>
      </c>
      <c r="B399" s="32" t="s">
        <v>1227</v>
      </c>
      <c r="C399" s="33">
        <v>45716.0</v>
      </c>
      <c r="D399" s="34" t="s">
        <v>39</v>
      </c>
      <c r="E399" s="32" t="s">
        <v>1228</v>
      </c>
      <c r="F399" s="34" t="s">
        <v>24</v>
      </c>
      <c r="G399" s="34" t="s">
        <v>1229</v>
      </c>
      <c r="H399" s="35" t="s">
        <v>26</v>
      </c>
      <c r="I399" s="35" t="s">
        <v>27</v>
      </c>
      <c r="J399" s="35" t="s">
        <v>100</v>
      </c>
      <c r="K399" s="57"/>
      <c r="L399" s="84"/>
    </row>
    <row r="400">
      <c r="A400" s="31" t="s">
        <v>1230</v>
      </c>
      <c r="B400" s="32" t="s">
        <v>1231</v>
      </c>
      <c r="C400" s="33">
        <v>45716.0</v>
      </c>
      <c r="D400" s="47" t="s">
        <v>22</v>
      </c>
      <c r="E400" s="32" t="s">
        <v>608</v>
      </c>
      <c r="F400" s="34" t="s">
        <v>156</v>
      </c>
      <c r="G400" s="34" t="s">
        <v>725</v>
      </c>
      <c r="H400" s="35" t="s">
        <v>26</v>
      </c>
      <c r="I400" s="35" t="s">
        <v>27</v>
      </c>
      <c r="J400" s="57"/>
      <c r="K400" s="57"/>
      <c r="L400" s="84"/>
    </row>
    <row r="401">
      <c r="A401" s="31" t="s">
        <v>1232</v>
      </c>
      <c r="B401" s="32" t="s">
        <v>1233</v>
      </c>
      <c r="C401" s="33">
        <v>45716.0</v>
      </c>
      <c r="D401" s="34" t="s">
        <v>22</v>
      </c>
      <c r="E401" s="32" t="s">
        <v>513</v>
      </c>
      <c r="F401" s="34" t="s">
        <v>156</v>
      </c>
      <c r="G401" s="34" t="s">
        <v>299</v>
      </c>
      <c r="H401" s="35" t="s">
        <v>26</v>
      </c>
      <c r="I401" s="35" t="s">
        <v>27</v>
      </c>
      <c r="J401" s="35" t="s">
        <v>100</v>
      </c>
      <c r="K401" s="57"/>
      <c r="L401" s="84"/>
    </row>
    <row r="402">
      <c r="A402" s="31" t="s">
        <v>1234</v>
      </c>
      <c r="B402" s="32" t="s">
        <v>1235</v>
      </c>
      <c r="C402" s="33">
        <v>45716.0</v>
      </c>
      <c r="D402" s="47" t="s">
        <v>22</v>
      </c>
      <c r="E402" s="32" t="s">
        <v>61</v>
      </c>
      <c r="F402" s="34" t="s">
        <v>24</v>
      </c>
      <c r="G402" s="34" t="s">
        <v>487</v>
      </c>
      <c r="H402" s="35" t="s">
        <v>26</v>
      </c>
      <c r="I402" s="35" t="s">
        <v>27</v>
      </c>
      <c r="J402" s="57"/>
      <c r="K402" s="57"/>
      <c r="L402" s="84"/>
    </row>
    <row r="403">
      <c r="A403" s="31" t="s">
        <v>1236</v>
      </c>
      <c r="B403" s="32" t="s">
        <v>1237</v>
      </c>
      <c r="C403" s="33">
        <v>45716.0</v>
      </c>
      <c r="D403" s="34" t="s">
        <v>22</v>
      </c>
      <c r="E403" s="32" t="s">
        <v>73</v>
      </c>
      <c r="F403" s="34" t="s">
        <v>24</v>
      </c>
      <c r="G403" s="34" t="s">
        <v>423</v>
      </c>
      <c r="H403" s="35" t="s">
        <v>26</v>
      </c>
      <c r="I403" s="35" t="s">
        <v>27</v>
      </c>
      <c r="J403" s="35" t="s">
        <v>100</v>
      </c>
      <c r="K403" s="57"/>
      <c r="L403" s="84"/>
    </row>
    <row r="404">
      <c r="A404" s="31" t="s">
        <v>1238</v>
      </c>
      <c r="B404" s="32" t="s">
        <v>1239</v>
      </c>
      <c r="C404" s="33">
        <v>45716.0</v>
      </c>
      <c r="D404" s="47" t="s">
        <v>39</v>
      </c>
      <c r="E404" s="32" t="s">
        <v>263</v>
      </c>
      <c r="F404" s="34" t="s">
        <v>24</v>
      </c>
      <c r="G404" s="34" t="s">
        <v>532</v>
      </c>
      <c r="H404" s="35" t="s">
        <v>26</v>
      </c>
      <c r="I404" s="35" t="s">
        <v>27</v>
      </c>
      <c r="J404" s="35" t="s">
        <v>100</v>
      </c>
      <c r="K404" s="57"/>
      <c r="L404" s="84"/>
    </row>
    <row r="405">
      <c r="A405" s="31" t="s">
        <v>1240</v>
      </c>
      <c r="B405" s="32" t="s">
        <v>1241</v>
      </c>
      <c r="C405" s="33">
        <v>45716.0</v>
      </c>
      <c r="D405" s="47" t="s">
        <v>39</v>
      </c>
      <c r="E405" s="32" t="s">
        <v>1242</v>
      </c>
      <c r="F405" s="34" t="s">
        <v>24</v>
      </c>
      <c r="G405" s="34" t="s">
        <v>442</v>
      </c>
      <c r="H405" s="35" t="s">
        <v>26</v>
      </c>
      <c r="I405" s="35" t="s">
        <v>27</v>
      </c>
      <c r="J405" s="57"/>
      <c r="K405" s="90"/>
      <c r="L405" s="91"/>
      <c r="M405" s="92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31" t="s">
        <v>1243</v>
      </c>
      <c r="B406" s="32" t="s">
        <v>1244</v>
      </c>
      <c r="C406" s="33">
        <v>45716.0</v>
      </c>
      <c r="D406" s="47" t="s">
        <v>22</v>
      </c>
      <c r="E406" s="32" t="s">
        <v>284</v>
      </c>
      <c r="F406" s="34" t="s">
        <v>24</v>
      </c>
      <c r="G406" s="34" t="s">
        <v>1245</v>
      </c>
      <c r="H406" s="35" t="s">
        <v>26</v>
      </c>
      <c r="I406" s="35" t="s">
        <v>27</v>
      </c>
      <c r="J406" s="57"/>
      <c r="K406" s="57"/>
      <c r="L406" s="84"/>
    </row>
    <row r="407">
      <c r="A407" s="31" t="s">
        <v>1246</v>
      </c>
      <c r="B407" s="32" t="s">
        <v>1247</v>
      </c>
      <c r="C407" s="33">
        <v>45716.0</v>
      </c>
      <c r="D407" s="34" t="s">
        <v>22</v>
      </c>
      <c r="E407" s="32" t="s">
        <v>436</v>
      </c>
      <c r="F407" s="34" t="s">
        <v>1248</v>
      </c>
      <c r="G407" s="34" t="s">
        <v>1249</v>
      </c>
      <c r="H407" s="35" t="s">
        <v>26</v>
      </c>
      <c r="I407" s="35" t="s">
        <v>27</v>
      </c>
      <c r="J407" s="57"/>
      <c r="K407" s="57"/>
      <c r="L407" s="84"/>
    </row>
    <row r="408">
      <c r="A408" s="31" t="s">
        <v>1250</v>
      </c>
      <c r="B408" s="32" t="s">
        <v>1251</v>
      </c>
      <c r="C408" s="33">
        <v>45716.0</v>
      </c>
      <c r="D408" s="34" t="s">
        <v>39</v>
      </c>
      <c r="E408" s="32" t="s">
        <v>252</v>
      </c>
      <c r="F408" s="34" t="s">
        <v>31</v>
      </c>
      <c r="G408" s="34" t="s">
        <v>1252</v>
      </c>
      <c r="H408" s="35" t="s">
        <v>26</v>
      </c>
      <c r="I408" s="35" t="s">
        <v>27</v>
      </c>
      <c r="J408" s="57"/>
      <c r="K408" s="57"/>
      <c r="L408" s="84"/>
    </row>
    <row r="409">
      <c r="A409" s="31" t="s">
        <v>1253</v>
      </c>
      <c r="B409" s="32" t="s">
        <v>1254</v>
      </c>
      <c r="C409" s="33">
        <v>45716.0</v>
      </c>
      <c r="D409" s="34" t="s">
        <v>22</v>
      </c>
      <c r="E409" s="32" t="s">
        <v>1255</v>
      </c>
      <c r="F409" s="34" t="s">
        <v>156</v>
      </c>
      <c r="G409" s="34" t="s">
        <v>199</v>
      </c>
      <c r="H409" s="35" t="s">
        <v>26</v>
      </c>
      <c r="I409" s="35" t="s">
        <v>27</v>
      </c>
      <c r="J409" s="57"/>
      <c r="K409" s="57"/>
      <c r="L409" s="84"/>
    </row>
    <row r="410">
      <c r="A410" s="32" t="s">
        <v>1256</v>
      </c>
      <c r="B410" s="32" t="s">
        <v>1257</v>
      </c>
      <c r="C410" s="33">
        <v>45716.0</v>
      </c>
      <c r="D410" s="34" t="s">
        <v>22</v>
      </c>
      <c r="E410" s="32" t="s">
        <v>98</v>
      </c>
      <c r="F410" s="34" t="s">
        <v>24</v>
      </c>
      <c r="G410" s="34" t="s">
        <v>221</v>
      </c>
      <c r="H410" s="35" t="s">
        <v>26</v>
      </c>
      <c r="I410" s="35" t="s">
        <v>27</v>
      </c>
      <c r="J410" s="35" t="s">
        <v>100</v>
      </c>
      <c r="K410" s="57"/>
      <c r="L410" s="84"/>
    </row>
    <row r="411">
      <c r="A411" s="31" t="s">
        <v>1258</v>
      </c>
      <c r="B411" s="32" t="s">
        <v>1259</v>
      </c>
      <c r="C411" s="45">
        <v>45717.0</v>
      </c>
      <c r="D411" s="47" t="s">
        <v>22</v>
      </c>
      <c r="E411" s="32" t="s">
        <v>1260</v>
      </c>
      <c r="F411" s="34" t="s">
        <v>24</v>
      </c>
      <c r="G411" s="34" t="s">
        <v>1261</v>
      </c>
      <c r="H411" s="35" t="s">
        <v>26</v>
      </c>
      <c r="I411" s="35" t="s">
        <v>27</v>
      </c>
      <c r="J411" s="57"/>
      <c r="K411" s="57"/>
      <c r="L411" s="84"/>
    </row>
    <row r="412">
      <c r="A412" s="31" t="s">
        <v>1262</v>
      </c>
      <c r="B412" s="32" t="s">
        <v>1263</v>
      </c>
      <c r="C412" s="45">
        <v>45717.0</v>
      </c>
      <c r="D412" s="34" t="s">
        <v>22</v>
      </c>
      <c r="E412" s="32" t="s">
        <v>1264</v>
      </c>
      <c r="F412" s="34" t="s">
        <v>156</v>
      </c>
      <c r="G412" s="34" t="s">
        <v>1265</v>
      </c>
      <c r="H412" s="35" t="s">
        <v>26</v>
      </c>
      <c r="I412" s="36" t="str">
        <f>HYPERLINK("https://open.spotify.com/album/0by3ZxnU5pkIbBaiEkdMEA", "S")</f>
        <v>S</v>
      </c>
      <c r="J412" s="57"/>
      <c r="K412" s="57"/>
      <c r="L412" s="84"/>
    </row>
    <row r="413">
      <c r="A413" s="31" t="s">
        <v>1266</v>
      </c>
      <c r="B413" s="32" t="s">
        <v>1267</v>
      </c>
      <c r="C413" s="59">
        <v>45717.0</v>
      </c>
      <c r="D413" s="34" t="s">
        <v>22</v>
      </c>
      <c r="E413" s="32" t="s">
        <v>1268</v>
      </c>
      <c r="F413" s="34" t="s">
        <v>53</v>
      </c>
      <c r="G413" s="34" t="s">
        <v>1269</v>
      </c>
      <c r="H413" s="65"/>
      <c r="I413" s="35" t="s">
        <v>27</v>
      </c>
      <c r="J413" s="57"/>
      <c r="K413" s="57"/>
      <c r="L413" s="84"/>
    </row>
    <row r="414">
      <c r="A414" s="31" t="s">
        <v>1270</v>
      </c>
      <c r="B414" s="32" t="s">
        <v>1271</v>
      </c>
      <c r="C414" s="33">
        <v>45717.0</v>
      </c>
      <c r="D414" s="34" t="s">
        <v>39</v>
      </c>
      <c r="E414" s="32" t="s">
        <v>252</v>
      </c>
      <c r="F414" s="34" t="s">
        <v>53</v>
      </c>
      <c r="G414" s="34" t="s">
        <v>693</v>
      </c>
      <c r="H414" s="35" t="s">
        <v>26</v>
      </c>
      <c r="I414" s="36" t="str">
        <f>HYPERLINK("https://open.spotify.com/album/4ApwNEvmYei79gvrLwp8za", "S")</f>
        <v>S</v>
      </c>
      <c r="J414" s="57"/>
      <c r="K414" s="57"/>
      <c r="L414" s="84"/>
    </row>
    <row r="415">
      <c r="A415" s="31" t="s">
        <v>1272</v>
      </c>
      <c r="B415" s="32" t="s">
        <v>1273</v>
      </c>
      <c r="C415" s="33">
        <v>45717.0</v>
      </c>
      <c r="D415" s="47" t="s">
        <v>39</v>
      </c>
      <c r="E415" s="32" t="s">
        <v>61</v>
      </c>
      <c r="F415" s="34" t="s">
        <v>24</v>
      </c>
      <c r="G415" s="34" t="s">
        <v>702</v>
      </c>
      <c r="H415" s="35" t="s">
        <v>26</v>
      </c>
      <c r="I415" s="36" t="str">
        <f>HYPERLINK("https://open.spotify.com/album/3yp9BktVBgCKQ3DrOAPFkJ", "S")</f>
        <v>S</v>
      </c>
      <c r="J415" s="57"/>
      <c r="K415" s="57"/>
      <c r="L415" s="84"/>
    </row>
    <row r="416">
      <c r="A416" s="32" t="s">
        <v>1274</v>
      </c>
      <c r="B416" s="32" t="s">
        <v>1275</v>
      </c>
      <c r="C416" s="33">
        <v>45717.0</v>
      </c>
      <c r="D416" s="34" t="s">
        <v>22</v>
      </c>
      <c r="E416" s="32" t="s">
        <v>1276</v>
      </c>
      <c r="F416" s="34" t="s">
        <v>156</v>
      </c>
      <c r="G416" s="34" t="s">
        <v>1277</v>
      </c>
      <c r="H416" s="35" t="s">
        <v>26</v>
      </c>
      <c r="I416" s="35" t="s">
        <v>27</v>
      </c>
      <c r="J416" s="57"/>
      <c r="K416" s="57"/>
      <c r="L416" s="84"/>
    </row>
    <row r="417">
      <c r="A417" s="32" t="s">
        <v>1278</v>
      </c>
      <c r="B417" s="32" t="s">
        <v>1279</v>
      </c>
      <c r="C417" s="33">
        <v>45717.0</v>
      </c>
      <c r="D417" s="34" t="s">
        <v>39</v>
      </c>
      <c r="E417" s="32" t="s">
        <v>328</v>
      </c>
      <c r="F417" s="34" t="s">
        <v>156</v>
      </c>
      <c r="G417" s="34" t="s">
        <v>1280</v>
      </c>
      <c r="H417" s="35" t="s">
        <v>26</v>
      </c>
      <c r="I417" s="35" t="s">
        <v>27</v>
      </c>
      <c r="J417" s="57"/>
      <c r="K417" s="57"/>
      <c r="L417" s="84"/>
    </row>
    <row r="418">
      <c r="A418" s="31" t="s">
        <v>1281</v>
      </c>
      <c r="B418" s="32" t="s">
        <v>1282</v>
      </c>
      <c r="C418" s="45">
        <v>45720.0</v>
      </c>
      <c r="D418" s="34" t="s">
        <v>22</v>
      </c>
      <c r="E418" s="32" t="s">
        <v>61</v>
      </c>
      <c r="F418" s="34" t="s">
        <v>24</v>
      </c>
      <c r="G418" s="34" t="s">
        <v>302</v>
      </c>
      <c r="H418" s="35" t="s">
        <v>26</v>
      </c>
      <c r="I418" s="36" t="str">
        <f>HYPERLINK("https://open.spotify.com/album/1HziQG9SvdMYsvBevh0p51", "S")</f>
        <v>S</v>
      </c>
      <c r="J418" s="57"/>
      <c r="K418" s="57"/>
      <c r="L418" s="84"/>
    </row>
    <row r="419">
      <c r="A419" s="31" t="s">
        <v>1283</v>
      </c>
      <c r="B419" s="32" t="s">
        <v>1284</v>
      </c>
      <c r="C419" s="33">
        <v>45721.0</v>
      </c>
      <c r="D419" s="34" t="s">
        <v>22</v>
      </c>
      <c r="E419" s="32" t="s">
        <v>1285</v>
      </c>
      <c r="F419" s="34" t="s">
        <v>156</v>
      </c>
      <c r="G419" s="34" t="s">
        <v>792</v>
      </c>
      <c r="H419" s="35" t="s">
        <v>26</v>
      </c>
      <c r="I419" s="57"/>
      <c r="J419" s="90"/>
      <c r="K419" s="57"/>
      <c r="L419" s="84"/>
    </row>
    <row r="420">
      <c r="A420" s="31" t="s">
        <v>1286</v>
      </c>
      <c r="B420" s="32" t="s">
        <v>1287</v>
      </c>
      <c r="C420" s="33">
        <v>45722.0</v>
      </c>
      <c r="D420" s="34" t="s">
        <v>22</v>
      </c>
      <c r="E420" s="32" t="s">
        <v>355</v>
      </c>
      <c r="F420" s="34" t="s">
        <v>53</v>
      </c>
      <c r="G420" s="34" t="s">
        <v>342</v>
      </c>
      <c r="H420" s="35" t="s">
        <v>26</v>
      </c>
      <c r="I420" s="35" t="s">
        <v>27</v>
      </c>
      <c r="J420" s="57"/>
      <c r="K420" s="57"/>
      <c r="L420" s="84"/>
    </row>
    <row r="421">
      <c r="A421" s="32" t="s">
        <v>1288</v>
      </c>
      <c r="B421" s="32" t="s">
        <v>1289</v>
      </c>
      <c r="C421" s="33">
        <v>45722.0</v>
      </c>
      <c r="D421" s="34" t="s">
        <v>22</v>
      </c>
      <c r="E421" s="32" t="s">
        <v>1290</v>
      </c>
      <c r="F421" s="34" t="s">
        <v>24</v>
      </c>
      <c r="G421" s="34" t="s">
        <v>1291</v>
      </c>
      <c r="H421" s="35" t="s">
        <v>26</v>
      </c>
      <c r="I421" s="35" t="s">
        <v>27</v>
      </c>
      <c r="J421" s="57"/>
      <c r="K421" s="57"/>
      <c r="L421" s="84"/>
    </row>
    <row r="422">
      <c r="A422" s="32" t="s">
        <v>1292</v>
      </c>
      <c r="B422" s="32" t="s">
        <v>1293</v>
      </c>
      <c r="C422" s="33">
        <v>45722.0</v>
      </c>
      <c r="D422" s="34" t="s">
        <v>22</v>
      </c>
      <c r="E422" s="32" t="s">
        <v>1294</v>
      </c>
      <c r="F422" s="34" t="s">
        <v>24</v>
      </c>
      <c r="G422" s="34" t="s">
        <v>1295</v>
      </c>
      <c r="H422" s="35" t="s">
        <v>26</v>
      </c>
      <c r="I422" s="66"/>
      <c r="J422" s="57"/>
      <c r="K422" s="57"/>
      <c r="L422" s="84"/>
    </row>
    <row r="423">
      <c r="A423" s="32" t="s">
        <v>1296</v>
      </c>
      <c r="B423" s="32" t="s">
        <v>1297</v>
      </c>
      <c r="C423" s="33">
        <v>45723.0</v>
      </c>
      <c r="D423" s="47" t="s">
        <v>22</v>
      </c>
      <c r="E423" s="32" t="s">
        <v>1298</v>
      </c>
      <c r="F423" s="34" t="s">
        <v>24</v>
      </c>
      <c r="G423" s="34" t="s">
        <v>522</v>
      </c>
      <c r="H423" s="35" t="s">
        <v>26</v>
      </c>
      <c r="I423" s="35" t="s">
        <v>27</v>
      </c>
      <c r="J423" s="57"/>
      <c r="K423" s="57"/>
      <c r="L423" s="84"/>
    </row>
    <row r="424">
      <c r="A424" s="31" t="s">
        <v>1299</v>
      </c>
      <c r="B424" s="32" t="s">
        <v>1300</v>
      </c>
      <c r="C424" s="33">
        <v>45723.0</v>
      </c>
      <c r="D424" s="34" t="s">
        <v>22</v>
      </c>
      <c r="E424" s="32" t="s">
        <v>1301</v>
      </c>
      <c r="F424" s="34" t="s">
        <v>24</v>
      </c>
      <c r="G424" s="34" t="s">
        <v>78</v>
      </c>
      <c r="H424" s="35" t="s">
        <v>26</v>
      </c>
      <c r="I424" s="35" t="s">
        <v>27</v>
      </c>
      <c r="J424" s="57"/>
      <c r="K424" s="57"/>
      <c r="L424" s="84"/>
    </row>
    <row r="425">
      <c r="A425" s="32" t="s">
        <v>1302</v>
      </c>
      <c r="B425" s="32" t="s">
        <v>1303</v>
      </c>
      <c r="C425" s="33">
        <v>45723.0</v>
      </c>
      <c r="D425" s="34" t="s">
        <v>22</v>
      </c>
      <c r="E425" s="32" t="s">
        <v>1304</v>
      </c>
      <c r="F425" s="34" t="s">
        <v>53</v>
      </c>
      <c r="G425" s="34" t="s">
        <v>1305</v>
      </c>
      <c r="H425" s="35" t="s">
        <v>26</v>
      </c>
      <c r="I425" s="35" t="s">
        <v>27</v>
      </c>
      <c r="J425" s="57"/>
      <c r="K425" s="57"/>
      <c r="L425" s="84"/>
    </row>
    <row r="426">
      <c r="A426" s="31" t="s">
        <v>1306</v>
      </c>
      <c r="B426" s="32" t="s">
        <v>1307</v>
      </c>
      <c r="C426" s="33">
        <v>45723.0</v>
      </c>
      <c r="D426" s="34" t="s">
        <v>22</v>
      </c>
      <c r="E426" s="32" t="s">
        <v>1308</v>
      </c>
      <c r="F426" s="34" t="s">
        <v>24</v>
      </c>
      <c r="G426" s="34" t="s">
        <v>442</v>
      </c>
      <c r="H426" s="35" t="s">
        <v>26</v>
      </c>
      <c r="I426" s="35" t="s">
        <v>27</v>
      </c>
      <c r="J426" s="57"/>
      <c r="K426" s="57"/>
      <c r="L426" s="84"/>
    </row>
    <row r="427">
      <c r="A427" s="31" t="s">
        <v>1309</v>
      </c>
      <c r="B427" s="32" t="s">
        <v>1310</v>
      </c>
      <c r="C427" s="33">
        <v>45723.0</v>
      </c>
      <c r="D427" s="94" t="s">
        <v>22</v>
      </c>
      <c r="E427" s="32" t="s">
        <v>1311</v>
      </c>
      <c r="F427" s="34" t="s">
        <v>53</v>
      </c>
      <c r="G427" s="34" t="s">
        <v>1312</v>
      </c>
      <c r="H427" s="65"/>
      <c r="I427" s="35" t="s">
        <v>27</v>
      </c>
      <c r="J427" s="57"/>
      <c r="K427" s="57"/>
      <c r="L427" s="84"/>
    </row>
    <row r="428">
      <c r="A428" s="31" t="s">
        <v>1313</v>
      </c>
      <c r="B428" s="32" t="s">
        <v>1314</v>
      </c>
      <c r="C428" s="33">
        <v>45723.0</v>
      </c>
      <c r="D428" s="34" t="s">
        <v>39</v>
      </c>
      <c r="E428" s="32" t="s">
        <v>129</v>
      </c>
      <c r="F428" s="34" t="s">
        <v>24</v>
      </c>
      <c r="G428" s="34" t="s">
        <v>1315</v>
      </c>
      <c r="H428" s="35" t="s">
        <v>26</v>
      </c>
      <c r="I428" s="35" t="s">
        <v>27</v>
      </c>
      <c r="J428" s="35" t="s">
        <v>100</v>
      </c>
      <c r="K428" s="57"/>
      <c r="L428" s="84"/>
    </row>
    <row r="429">
      <c r="A429" s="31" t="s">
        <v>1316</v>
      </c>
      <c r="B429" s="32" t="s">
        <v>1317</v>
      </c>
      <c r="C429" s="59">
        <v>45723.0</v>
      </c>
      <c r="D429" s="34" t="s">
        <v>22</v>
      </c>
      <c r="E429" s="32" t="s">
        <v>1318</v>
      </c>
      <c r="F429" s="34" t="s">
        <v>230</v>
      </c>
      <c r="G429" s="34" t="s">
        <v>1028</v>
      </c>
      <c r="H429" s="35" t="s">
        <v>26</v>
      </c>
      <c r="I429" s="35" t="s">
        <v>27</v>
      </c>
      <c r="J429" s="57"/>
      <c r="K429" s="57"/>
      <c r="L429" s="84"/>
    </row>
    <row r="430">
      <c r="A430" s="31" t="s">
        <v>1319</v>
      </c>
      <c r="B430" s="32" t="s">
        <v>1320</v>
      </c>
      <c r="C430" s="33">
        <v>45723.0</v>
      </c>
      <c r="D430" s="34" t="s">
        <v>22</v>
      </c>
      <c r="E430" s="32" t="s">
        <v>1321</v>
      </c>
      <c r="F430" s="34" t="s">
        <v>24</v>
      </c>
      <c r="G430" s="34" t="s">
        <v>365</v>
      </c>
      <c r="H430" s="35" t="s">
        <v>26</v>
      </c>
      <c r="I430" s="35" t="s">
        <v>27</v>
      </c>
      <c r="J430" s="35" t="s">
        <v>100</v>
      </c>
      <c r="K430" s="57"/>
      <c r="L430" s="84"/>
    </row>
    <row r="431">
      <c r="A431" s="31" t="s">
        <v>1322</v>
      </c>
      <c r="B431" s="32" t="s">
        <v>1323</v>
      </c>
      <c r="C431" s="33">
        <v>45723.0</v>
      </c>
      <c r="D431" s="34" t="s">
        <v>22</v>
      </c>
      <c r="E431" s="32" t="s">
        <v>107</v>
      </c>
      <c r="F431" s="34" t="s">
        <v>53</v>
      </c>
      <c r="G431" s="34" t="s">
        <v>660</v>
      </c>
      <c r="H431" s="35" t="s">
        <v>26</v>
      </c>
      <c r="I431" s="35" t="s">
        <v>27</v>
      </c>
      <c r="J431" s="57"/>
      <c r="K431" s="57"/>
      <c r="L431" s="84"/>
    </row>
    <row r="432">
      <c r="A432" s="31" t="s">
        <v>1324</v>
      </c>
      <c r="B432" s="32" t="s">
        <v>1325</v>
      </c>
      <c r="C432" s="33">
        <v>45723.0</v>
      </c>
      <c r="D432" s="34" t="s">
        <v>22</v>
      </c>
      <c r="E432" s="32" t="s">
        <v>764</v>
      </c>
      <c r="F432" s="34" t="s">
        <v>156</v>
      </c>
      <c r="G432" s="34" t="s">
        <v>1326</v>
      </c>
      <c r="H432" s="35" t="s">
        <v>26</v>
      </c>
      <c r="I432" s="35" t="s">
        <v>27</v>
      </c>
      <c r="J432" s="57"/>
      <c r="K432" s="57"/>
      <c r="L432" s="84"/>
    </row>
    <row r="433">
      <c r="A433" s="31" t="s">
        <v>1327</v>
      </c>
      <c r="B433" s="32" t="s">
        <v>1328</v>
      </c>
      <c r="C433" s="33">
        <v>45723.0</v>
      </c>
      <c r="D433" s="34" t="s">
        <v>22</v>
      </c>
      <c r="E433" s="32" t="s">
        <v>1329</v>
      </c>
      <c r="F433" s="34" t="s">
        <v>156</v>
      </c>
      <c r="G433" s="34" t="s">
        <v>1330</v>
      </c>
      <c r="H433" s="35" t="s">
        <v>26</v>
      </c>
      <c r="I433" s="35" t="s">
        <v>27</v>
      </c>
      <c r="J433" s="57"/>
      <c r="K433" s="57"/>
      <c r="L433" s="84"/>
    </row>
    <row r="434">
      <c r="A434" s="31" t="s">
        <v>1331</v>
      </c>
      <c r="B434" s="32" t="s">
        <v>1332</v>
      </c>
      <c r="C434" s="33">
        <v>45723.0</v>
      </c>
      <c r="D434" s="34" t="s">
        <v>22</v>
      </c>
      <c r="E434" s="32" t="s">
        <v>1031</v>
      </c>
      <c r="F434" s="34" t="s">
        <v>156</v>
      </c>
      <c r="G434" s="34" t="s">
        <v>41</v>
      </c>
      <c r="H434" s="35" t="s">
        <v>26</v>
      </c>
      <c r="I434" s="35" t="s">
        <v>27</v>
      </c>
      <c r="J434" s="57"/>
      <c r="K434" s="57"/>
      <c r="L434" s="84"/>
    </row>
    <row r="435">
      <c r="A435" s="31" t="s">
        <v>1333</v>
      </c>
      <c r="B435" s="32" t="s">
        <v>1334</v>
      </c>
      <c r="C435" s="33">
        <v>45723.0</v>
      </c>
      <c r="D435" s="34" t="s">
        <v>22</v>
      </c>
      <c r="E435" s="32" t="s">
        <v>160</v>
      </c>
      <c r="F435" s="34" t="s">
        <v>53</v>
      </c>
      <c r="G435" s="34" t="s">
        <v>792</v>
      </c>
      <c r="H435" s="35" t="s">
        <v>26</v>
      </c>
      <c r="I435" s="35" t="s">
        <v>27</v>
      </c>
      <c r="J435" s="57"/>
      <c r="K435" s="57"/>
      <c r="L435" s="84"/>
    </row>
    <row r="436">
      <c r="A436" s="31" t="s">
        <v>1335</v>
      </c>
      <c r="B436" s="32" t="s">
        <v>1336</v>
      </c>
      <c r="C436" s="33">
        <v>45723.0</v>
      </c>
      <c r="D436" s="34" t="s">
        <v>22</v>
      </c>
      <c r="E436" s="32" t="s">
        <v>122</v>
      </c>
      <c r="F436" s="34" t="s">
        <v>156</v>
      </c>
      <c r="G436" s="34" t="s">
        <v>342</v>
      </c>
      <c r="H436" s="66"/>
      <c r="I436" s="35" t="s">
        <v>27</v>
      </c>
      <c r="J436" s="57"/>
      <c r="K436" s="57"/>
      <c r="L436" s="84"/>
    </row>
    <row r="437">
      <c r="A437" s="31" t="s">
        <v>1337</v>
      </c>
      <c r="B437" s="32" t="s">
        <v>1338</v>
      </c>
      <c r="C437" s="33">
        <v>45723.0</v>
      </c>
      <c r="D437" s="34" t="s">
        <v>22</v>
      </c>
      <c r="E437" s="32" t="s">
        <v>1339</v>
      </c>
      <c r="F437" s="34" t="s">
        <v>53</v>
      </c>
      <c r="G437" s="34" t="s">
        <v>1340</v>
      </c>
      <c r="H437" s="35" t="s">
        <v>26</v>
      </c>
      <c r="I437" s="35" t="s">
        <v>27</v>
      </c>
      <c r="J437" s="57"/>
      <c r="K437" s="57"/>
      <c r="L437" s="84"/>
    </row>
    <row r="438">
      <c r="A438" s="31" t="s">
        <v>1341</v>
      </c>
      <c r="B438" s="32" t="s">
        <v>1342</v>
      </c>
      <c r="C438" s="33">
        <v>45723.0</v>
      </c>
      <c r="D438" s="34" t="s">
        <v>22</v>
      </c>
      <c r="E438" s="32" t="s">
        <v>707</v>
      </c>
      <c r="F438" s="34" t="s">
        <v>24</v>
      </c>
      <c r="G438" s="34" t="s">
        <v>510</v>
      </c>
      <c r="H438" s="35" t="s">
        <v>26</v>
      </c>
      <c r="I438" s="35" t="s">
        <v>27</v>
      </c>
      <c r="J438" s="57"/>
      <c r="K438" s="57"/>
      <c r="L438" s="84"/>
    </row>
    <row r="439">
      <c r="A439" s="31" t="s">
        <v>1343</v>
      </c>
      <c r="B439" s="32" t="s">
        <v>1344</v>
      </c>
      <c r="C439" s="33">
        <v>45723.0</v>
      </c>
      <c r="D439" s="34" t="s">
        <v>22</v>
      </c>
      <c r="E439" s="32" t="s">
        <v>98</v>
      </c>
      <c r="F439" s="34" t="s">
        <v>24</v>
      </c>
      <c r="G439" s="34" t="s">
        <v>545</v>
      </c>
      <c r="H439" s="35" t="s">
        <v>26</v>
      </c>
      <c r="I439" s="35" t="s">
        <v>27</v>
      </c>
      <c r="J439" s="35" t="s">
        <v>100</v>
      </c>
      <c r="K439" s="57"/>
      <c r="L439" s="84"/>
    </row>
    <row r="440">
      <c r="A440" s="31" t="s">
        <v>1345</v>
      </c>
      <c r="B440" s="32" t="s">
        <v>1345</v>
      </c>
      <c r="C440" s="33">
        <v>45723.0</v>
      </c>
      <c r="D440" s="34" t="s">
        <v>22</v>
      </c>
      <c r="E440" s="32" t="s">
        <v>126</v>
      </c>
      <c r="F440" s="34" t="s">
        <v>24</v>
      </c>
      <c r="G440" s="34" t="s">
        <v>1346</v>
      </c>
      <c r="H440" s="35" t="s">
        <v>26</v>
      </c>
      <c r="I440" s="35" t="s">
        <v>27</v>
      </c>
      <c r="J440" s="57"/>
      <c r="K440" s="57"/>
      <c r="L440" s="84"/>
    </row>
    <row r="441">
      <c r="A441" s="32" t="s">
        <v>1347</v>
      </c>
      <c r="B441" s="32" t="s">
        <v>1348</v>
      </c>
      <c r="C441" s="45">
        <v>45723.0</v>
      </c>
      <c r="D441" s="68" t="s">
        <v>22</v>
      </c>
      <c r="E441" s="32" t="s">
        <v>84</v>
      </c>
      <c r="F441" s="34" t="s">
        <v>53</v>
      </c>
      <c r="G441" s="34" t="s">
        <v>1127</v>
      </c>
      <c r="H441" s="65"/>
      <c r="I441" s="35" t="s">
        <v>27</v>
      </c>
      <c r="J441" s="57"/>
      <c r="K441" s="57"/>
      <c r="L441" s="84"/>
    </row>
    <row r="442">
      <c r="A442" s="31" t="s">
        <v>1349</v>
      </c>
      <c r="B442" s="32" t="s">
        <v>1350</v>
      </c>
      <c r="C442" s="45">
        <v>45723.0</v>
      </c>
      <c r="D442" s="34" t="s">
        <v>22</v>
      </c>
      <c r="E442" s="32" t="s">
        <v>160</v>
      </c>
      <c r="F442" s="34" t="s">
        <v>53</v>
      </c>
      <c r="G442" s="34" t="s">
        <v>1351</v>
      </c>
      <c r="H442" s="35" t="s">
        <v>26</v>
      </c>
      <c r="I442" s="54" t="s">
        <v>27</v>
      </c>
      <c r="J442" s="57"/>
      <c r="K442" s="57"/>
      <c r="L442" s="84"/>
    </row>
    <row r="443">
      <c r="A443" s="31" t="s">
        <v>1352</v>
      </c>
      <c r="B443" s="32" t="s">
        <v>1353</v>
      </c>
      <c r="C443" s="45">
        <v>45723.0</v>
      </c>
      <c r="D443" s="34" t="s">
        <v>22</v>
      </c>
      <c r="E443" s="32" t="s">
        <v>140</v>
      </c>
      <c r="F443" s="34" t="s">
        <v>24</v>
      </c>
      <c r="G443" s="34" t="s">
        <v>1354</v>
      </c>
      <c r="H443" s="35" t="s">
        <v>26</v>
      </c>
      <c r="I443" s="35" t="s">
        <v>27</v>
      </c>
      <c r="J443" s="57"/>
      <c r="K443" s="57"/>
      <c r="L443" s="84"/>
    </row>
    <row r="444">
      <c r="A444" s="31" t="s">
        <v>1355</v>
      </c>
      <c r="B444" s="32" t="s">
        <v>1356</v>
      </c>
      <c r="C444" s="45">
        <v>45723.0</v>
      </c>
      <c r="D444" s="34" t="s">
        <v>22</v>
      </c>
      <c r="E444" s="32" t="s">
        <v>61</v>
      </c>
      <c r="F444" s="34" t="s">
        <v>24</v>
      </c>
      <c r="G444" s="34" t="s">
        <v>199</v>
      </c>
      <c r="H444" s="35" t="s">
        <v>26</v>
      </c>
      <c r="I444" s="35" t="s">
        <v>27</v>
      </c>
      <c r="J444" s="57"/>
      <c r="K444" s="57"/>
      <c r="L444" s="84"/>
    </row>
    <row r="445">
      <c r="A445" s="31" t="s">
        <v>1357</v>
      </c>
      <c r="B445" s="32" t="s">
        <v>1358</v>
      </c>
      <c r="C445" s="45">
        <v>45723.0</v>
      </c>
      <c r="D445" s="34" t="s">
        <v>22</v>
      </c>
      <c r="E445" s="32" t="s">
        <v>1359</v>
      </c>
      <c r="F445" s="34" t="s">
        <v>24</v>
      </c>
      <c r="G445" s="34" t="s">
        <v>514</v>
      </c>
      <c r="H445" s="35" t="s">
        <v>26</v>
      </c>
      <c r="I445" s="35" t="s">
        <v>27</v>
      </c>
      <c r="J445" s="35" t="s">
        <v>100</v>
      </c>
      <c r="K445" s="57"/>
      <c r="L445" s="84"/>
    </row>
    <row r="446">
      <c r="A446" s="31" t="s">
        <v>1360</v>
      </c>
      <c r="B446" s="32" t="s">
        <v>1361</v>
      </c>
      <c r="C446" s="45">
        <v>45723.0</v>
      </c>
      <c r="D446" s="34" t="s">
        <v>22</v>
      </c>
      <c r="E446" s="32" t="s">
        <v>284</v>
      </c>
      <c r="F446" s="34" t="s">
        <v>24</v>
      </c>
      <c r="G446" s="34" t="s">
        <v>199</v>
      </c>
      <c r="H446" s="35" t="s">
        <v>26</v>
      </c>
      <c r="I446" s="35" t="s">
        <v>27</v>
      </c>
      <c r="J446" s="57"/>
      <c r="K446" s="57"/>
      <c r="L446" s="84"/>
    </row>
    <row r="447">
      <c r="A447" s="31" t="s">
        <v>1362</v>
      </c>
      <c r="B447" s="32" t="s">
        <v>1363</v>
      </c>
      <c r="C447" s="45">
        <v>45723.0</v>
      </c>
      <c r="D447" s="47" t="s">
        <v>22</v>
      </c>
      <c r="E447" s="32" t="s">
        <v>632</v>
      </c>
      <c r="F447" s="34" t="s">
        <v>24</v>
      </c>
      <c r="G447" s="34" t="s">
        <v>1364</v>
      </c>
      <c r="H447" s="35" t="s">
        <v>26</v>
      </c>
      <c r="I447" s="35" t="s">
        <v>27</v>
      </c>
      <c r="J447" s="35" t="s">
        <v>100</v>
      </c>
      <c r="K447" s="57"/>
      <c r="L447" s="84"/>
    </row>
    <row r="448">
      <c r="A448" s="31" t="s">
        <v>1365</v>
      </c>
      <c r="B448" s="32" t="s">
        <v>1366</v>
      </c>
      <c r="C448" s="45">
        <v>45723.0</v>
      </c>
      <c r="D448" s="47" t="s">
        <v>22</v>
      </c>
      <c r="E448" s="32" t="s">
        <v>61</v>
      </c>
      <c r="F448" s="34" t="s">
        <v>24</v>
      </c>
      <c r="G448" s="34" t="s">
        <v>514</v>
      </c>
      <c r="H448" s="35" t="s">
        <v>26</v>
      </c>
      <c r="I448" s="35" t="s">
        <v>27</v>
      </c>
      <c r="J448" s="35" t="s">
        <v>100</v>
      </c>
      <c r="K448" s="57"/>
      <c r="L448" s="84"/>
    </row>
    <row r="449">
      <c r="A449" s="31" t="s">
        <v>1367</v>
      </c>
      <c r="B449" s="32" t="s">
        <v>1367</v>
      </c>
      <c r="C449" s="33">
        <v>45723.0</v>
      </c>
      <c r="D449" s="47" t="s">
        <v>22</v>
      </c>
      <c r="E449" s="32" t="s">
        <v>370</v>
      </c>
      <c r="F449" s="34" t="s">
        <v>53</v>
      </c>
      <c r="G449" s="34" t="s">
        <v>62</v>
      </c>
      <c r="H449" s="35" t="s">
        <v>26</v>
      </c>
      <c r="I449" s="34"/>
      <c r="J449" s="57"/>
      <c r="K449" s="57"/>
      <c r="L449" s="84"/>
    </row>
    <row r="450">
      <c r="A450" s="31" t="s">
        <v>1368</v>
      </c>
      <c r="B450" s="32" t="s">
        <v>1369</v>
      </c>
      <c r="C450" s="33">
        <v>45723.0</v>
      </c>
      <c r="D450" s="34" t="s">
        <v>22</v>
      </c>
      <c r="E450" s="32" t="s">
        <v>1370</v>
      </c>
      <c r="F450" s="34" t="s">
        <v>24</v>
      </c>
      <c r="G450" s="34" t="s">
        <v>1371</v>
      </c>
      <c r="H450" s="35" t="s">
        <v>26</v>
      </c>
      <c r="I450" s="35" t="s">
        <v>27</v>
      </c>
      <c r="J450" s="57"/>
      <c r="K450" s="57"/>
      <c r="L450" s="84"/>
    </row>
    <row r="451">
      <c r="A451" s="31" t="s">
        <v>1372</v>
      </c>
      <c r="B451" s="32" t="s">
        <v>1373</v>
      </c>
      <c r="C451" s="33">
        <v>45723.0</v>
      </c>
      <c r="D451" s="34" t="s">
        <v>39</v>
      </c>
      <c r="E451" s="32" t="s">
        <v>98</v>
      </c>
      <c r="F451" s="34" t="s">
        <v>24</v>
      </c>
      <c r="G451" s="34" t="s">
        <v>1374</v>
      </c>
      <c r="H451" s="35" t="s">
        <v>26</v>
      </c>
      <c r="I451" s="35" t="s">
        <v>27</v>
      </c>
      <c r="J451" s="57"/>
      <c r="K451" s="57"/>
      <c r="L451" s="84"/>
    </row>
    <row r="452">
      <c r="A452" s="31" t="s">
        <v>1375</v>
      </c>
      <c r="B452" s="32" t="s">
        <v>1376</v>
      </c>
      <c r="C452" s="33">
        <v>45723.0</v>
      </c>
      <c r="D452" s="34" t="s">
        <v>22</v>
      </c>
      <c r="E452" s="32" t="s">
        <v>1377</v>
      </c>
      <c r="F452" s="34" t="s">
        <v>156</v>
      </c>
      <c r="G452" s="34" t="s">
        <v>1378</v>
      </c>
      <c r="H452" s="35" t="s">
        <v>26</v>
      </c>
      <c r="I452" s="35" t="s">
        <v>27</v>
      </c>
      <c r="J452" s="57"/>
      <c r="K452" s="57"/>
      <c r="L452" s="84"/>
    </row>
    <row r="453">
      <c r="A453" s="31" t="s">
        <v>1379</v>
      </c>
      <c r="B453" s="32" t="s">
        <v>1380</v>
      </c>
      <c r="C453" s="33">
        <v>45723.0</v>
      </c>
      <c r="D453" s="47" t="s">
        <v>22</v>
      </c>
      <c r="E453" s="32" t="s">
        <v>989</v>
      </c>
      <c r="F453" s="34" t="s">
        <v>31</v>
      </c>
      <c r="G453" s="34" t="s">
        <v>920</v>
      </c>
      <c r="H453" s="35" t="s">
        <v>26</v>
      </c>
      <c r="I453" s="35" t="s">
        <v>27</v>
      </c>
      <c r="J453" s="57"/>
      <c r="K453" s="57"/>
      <c r="L453" s="84"/>
    </row>
    <row r="454">
      <c r="A454" s="31" t="s">
        <v>1381</v>
      </c>
      <c r="B454" s="32" t="s">
        <v>1382</v>
      </c>
      <c r="C454" s="33">
        <v>45723.0</v>
      </c>
      <c r="D454" s="34" t="s">
        <v>22</v>
      </c>
      <c r="E454" s="32" t="s">
        <v>263</v>
      </c>
      <c r="F454" s="34" t="s">
        <v>24</v>
      </c>
      <c r="G454" s="34" t="s">
        <v>1383</v>
      </c>
      <c r="H454" s="35" t="s">
        <v>26</v>
      </c>
      <c r="I454" s="35" t="s">
        <v>27</v>
      </c>
      <c r="J454" s="35" t="s">
        <v>100</v>
      </c>
      <c r="K454" s="57"/>
      <c r="L454" s="84"/>
    </row>
    <row r="455">
      <c r="A455" s="31" t="s">
        <v>1384</v>
      </c>
      <c r="B455" s="32" t="s">
        <v>1385</v>
      </c>
      <c r="C455" s="33">
        <v>45723.0</v>
      </c>
      <c r="D455" s="34" t="s">
        <v>39</v>
      </c>
      <c r="E455" s="32" t="s">
        <v>122</v>
      </c>
      <c r="F455" s="34" t="s">
        <v>53</v>
      </c>
      <c r="G455" s="34" t="s">
        <v>1104</v>
      </c>
      <c r="H455" s="35" t="s">
        <v>26</v>
      </c>
      <c r="I455" s="35" t="s">
        <v>27</v>
      </c>
      <c r="J455" s="35" t="s">
        <v>100</v>
      </c>
      <c r="K455" s="57"/>
      <c r="L455" s="84"/>
    </row>
    <row r="456">
      <c r="A456" s="31" t="s">
        <v>1386</v>
      </c>
      <c r="B456" s="32" t="s">
        <v>1387</v>
      </c>
      <c r="C456" s="33">
        <v>45723.0</v>
      </c>
      <c r="D456" s="34" t="s">
        <v>22</v>
      </c>
      <c r="E456" s="32" t="s">
        <v>61</v>
      </c>
      <c r="F456" s="34" t="s">
        <v>24</v>
      </c>
      <c r="G456" s="34" t="s">
        <v>141</v>
      </c>
      <c r="H456" s="35" t="s">
        <v>26</v>
      </c>
      <c r="I456" s="35" t="s">
        <v>27</v>
      </c>
      <c r="J456" s="57"/>
      <c r="K456" s="57"/>
      <c r="L456" s="84"/>
    </row>
    <row r="457">
      <c r="A457" s="31" t="s">
        <v>1388</v>
      </c>
      <c r="B457" s="32" t="s">
        <v>1389</v>
      </c>
      <c r="C457" s="33">
        <v>45723.0</v>
      </c>
      <c r="D457" s="34" t="s">
        <v>22</v>
      </c>
      <c r="E457" s="32" t="s">
        <v>569</v>
      </c>
      <c r="F457" s="34" t="s">
        <v>24</v>
      </c>
      <c r="G457" s="34" t="s">
        <v>1245</v>
      </c>
      <c r="H457" s="35" t="s">
        <v>26</v>
      </c>
      <c r="I457" s="35" t="s">
        <v>27</v>
      </c>
      <c r="J457" s="57"/>
      <c r="K457" s="57"/>
      <c r="L457" s="84"/>
    </row>
    <row r="458">
      <c r="A458" s="31" t="s">
        <v>1390</v>
      </c>
      <c r="B458" s="32" t="s">
        <v>1391</v>
      </c>
      <c r="C458" s="33">
        <v>45723.0</v>
      </c>
      <c r="D458" s="34" t="s">
        <v>22</v>
      </c>
      <c r="E458" s="32" t="s">
        <v>521</v>
      </c>
      <c r="F458" s="34" t="s">
        <v>24</v>
      </c>
      <c r="G458" s="34" t="s">
        <v>1392</v>
      </c>
      <c r="H458" s="35" t="s">
        <v>26</v>
      </c>
      <c r="I458" s="35" t="s">
        <v>27</v>
      </c>
      <c r="J458" s="57"/>
      <c r="K458" s="57"/>
      <c r="L458" s="84"/>
    </row>
    <row r="459">
      <c r="A459" s="31" t="s">
        <v>1393</v>
      </c>
      <c r="B459" s="32" t="s">
        <v>1394</v>
      </c>
      <c r="C459" s="33">
        <v>45723.0</v>
      </c>
      <c r="D459" s="34" t="s">
        <v>22</v>
      </c>
      <c r="E459" s="32" t="s">
        <v>637</v>
      </c>
      <c r="F459" s="34" t="s">
        <v>156</v>
      </c>
      <c r="G459" s="34" t="s">
        <v>1395</v>
      </c>
      <c r="H459" s="35" t="s">
        <v>26</v>
      </c>
      <c r="I459" s="35" t="s">
        <v>27</v>
      </c>
      <c r="J459" s="57"/>
      <c r="K459" s="57"/>
      <c r="L459" s="84"/>
    </row>
    <row r="460">
      <c r="A460" s="31" t="s">
        <v>1396</v>
      </c>
      <c r="B460" s="32" t="s">
        <v>1397</v>
      </c>
      <c r="C460" s="33">
        <v>45723.0</v>
      </c>
      <c r="D460" s="34" t="s">
        <v>22</v>
      </c>
      <c r="E460" s="32" t="s">
        <v>1398</v>
      </c>
      <c r="F460" s="34" t="s">
        <v>24</v>
      </c>
      <c r="G460" s="34" t="s">
        <v>365</v>
      </c>
      <c r="H460" s="35" t="s">
        <v>26</v>
      </c>
      <c r="I460" s="35" t="s">
        <v>27</v>
      </c>
      <c r="J460" s="57"/>
      <c r="K460" s="57"/>
      <c r="L460" s="84"/>
    </row>
    <row r="461">
      <c r="A461" s="31" t="s">
        <v>1399</v>
      </c>
      <c r="B461" s="32" t="s">
        <v>1400</v>
      </c>
      <c r="C461" s="33">
        <v>45723.0</v>
      </c>
      <c r="D461" s="34" t="s">
        <v>39</v>
      </c>
      <c r="E461" s="32" t="s">
        <v>1401</v>
      </c>
      <c r="F461" s="34" t="s">
        <v>24</v>
      </c>
      <c r="G461" s="34" t="s">
        <v>599</v>
      </c>
      <c r="H461" s="35" t="s">
        <v>26</v>
      </c>
      <c r="I461" s="35" t="s">
        <v>27</v>
      </c>
      <c r="J461" s="35" t="s">
        <v>100</v>
      </c>
      <c r="K461" s="57"/>
      <c r="L461" s="84"/>
    </row>
    <row r="462">
      <c r="A462" s="31" t="s">
        <v>1402</v>
      </c>
      <c r="B462" s="32" t="s">
        <v>1403</v>
      </c>
      <c r="C462" s="33">
        <v>45723.0</v>
      </c>
      <c r="D462" s="47" t="s">
        <v>22</v>
      </c>
      <c r="E462" s="32" t="s">
        <v>1401</v>
      </c>
      <c r="F462" s="34" t="s">
        <v>24</v>
      </c>
      <c r="G462" s="34" t="s">
        <v>1404</v>
      </c>
      <c r="H462" s="35" t="s">
        <v>26</v>
      </c>
      <c r="I462" s="35" t="s">
        <v>27</v>
      </c>
      <c r="J462" s="35" t="s">
        <v>100</v>
      </c>
      <c r="K462" s="57"/>
      <c r="L462" s="84"/>
    </row>
    <row r="463">
      <c r="A463" s="31" t="s">
        <v>1405</v>
      </c>
      <c r="B463" s="32" t="s">
        <v>1406</v>
      </c>
      <c r="C463" s="33">
        <v>45723.0</v>
      </c>
      <c r="D463" s="34" t="s">
        <v>22</v>
      </c>
      <c r="E463" s="32" t="s">
        <v>84</v>
      </c>
      <c r="F463" s="34" t="s">
        <v>53</v>
      </c>
      <c r="G463" s="34" t="s">
        <v>1407</v>
      </c>
      <c r="H463" s="35" t="s">
        <v>26</v>
      </c>
      <c r="I463" s="35" t="s">
        <v>27</v>
      </c>
      <c r="J463" s="57"/>
      <c r="K463" s="57"/>
      <c r="L463" s="84"/>
    </row>
    <row r="464">
      <c r="A464" s="31" t="s">
        <v>1408</v>
      </c>
      <c r="B464" s="32" t="s">
        <v>1409</v>
      </c>
      <c r="C464" s="33">
        <v>45723.0</v>
      </c>
      <c r="D464" s="34" t="s">
        <v>22</v>
      </c>
      <c r="E464" s="32" t="s">
        <v>1204</v>
      </c>
      <c r="F464" s="34" t="s">
        <v>53</v>
      </c>
      <c r="G464" s="34" t="s">
        <v>104</v>
      </c>
      <c r="H464" s="35" t="s">
        <v>26</v>
      </c>
      <c r="I464" s="35" t="s">
        <v>27</v>
      </c>
      <c r="J464" s="35" t="s">
        <v>100</v>
      </c>
      <c r="K464" s="57"/>
      <c r="L464" s="84"/>
    </row>
    <row r="465">
      <c r="A465" s="31" t="s">
        <v>1410</v>
      </c>
      <c r="B465" s="32" t="s">
        <v>1411</v>
      </c>
      <c r="C465" s="33">
        <v>45723.0</v>
      </c>
      <c r="D465" s="47" t="s">
        <v>39</v>
      </c>
      <c r="E465" s="32" t="s">
        <v>613</v>
      </c>
      <c r="F465" s="34" t="s">
        <v>24</v>
      </c>
      <c r="G465" s="34" t="s">
        <v>605</v>
      </c>
      <c r="H465" s="35" t="s">
        <v>26</v>
      </c>
      <c r="I465" s="35" t="s">
        <v>27</v>
      </c>
      <c r="J465" s="57"/>
      <c r="K465" s="57"/>
      <c r="L465" s="84"/>
    </row>
    <row r="466">
      <c r="A466" s="31" t="s">
        <v>1412</v>
      </c>
      <c r="B466" s="32" t="s">
        <v>1413</v>
      </c>
      <c r="C466" s="33">
        <v>45723.0</v>
      </c>
      <c r="D466" s="34" t="s">
        <v>22</v>
      </c>
      <c r="E466" s="32" t="s">
        <v>61</v>
      </c>
      <c r="F466" s="34" t="s">
        <v>24</v>
      </c>
      <c r="G466" s="34" t="s">
        <v>342</v>
      </c>
      <c r="H466" s="35" t="s">
        <v>26</v>
      </c>
      <c r="I466" s="35" t="s">
        <v>27</v>
      </c>
      <c r="J466" s="57"/>
      <c r="K466" s="57"/>
      <c r="L466" s="84"/>
    </row>
    <row r="467">
      <c r="A467" s="31" t="s">
        <v>1414</v>
      </c>
      <c r="B467" s="32" t="s">
        <v>1415</v>
      </c>
      <c r="C467" s="33">
        <v>45723.0</v>
      </c>
      <c r="D467" s="34" t="s">
        <v>39</v>
      </c>
      <c r="E467" s="32" t="s">
        <v>1038</v>
      </c>
      <c r="F467" s="34" t="s">
        <v>24</v>
      </c>
      <c r="G467" s="34" t="s">
        <v>342</v>
      </c>
      <c r="H467" s="35" t="s">
        <v>26</v>
      </c>
      <c r="I467" s="35" t="s">
        <v>27</v>
      </c>
      <c r="J467" s="57"/>
      <c r="K467" s="57"/>
      <c r="L467" s="84"/>
    </row>
    <row r="468">
      <c r="A468" s="31" t="s">
        <v>1416</v>
      </c>
      <c r="B468" s="32" t="s">
        <v>1417</v>
      </c>
      <c r="C468" s="33">
        <v>45723.0</v>
      </c>
      <c r="D468" s="34" t="s">
        <v>22</v>
      </c>
      <c r="E468" s="32" t="s">
        <v>61</v>
      </c>
      <c r="F468" s="34" t="s">
        <v>24</v>
      </c>
      <c r="G468" s="34" t="s">
        <v>434</v>
      </c>
      <c r="H468" s="35" t="s">
        <v>26</v>
      </c>
      <c r="I468" s="35" t="s">
        <v>27</v>
      </c>
      <c r="J468" s="35" t="s">
        <v>100</v>
      </c>
      <c r="K468" s="57"/>
      <c r="L468" s="84"/>
    </row>
    <row r="469">
      <c r="A469" s="31" t="s">
        <v>1418</v>
      </c>
      <c r="B469" s="32" t="s">
        <v>1418</v>
      </c>
      <c r="C469" s="33">
        <v>45723.0</v>
      </c>
      <c r="D469" s="47" t="s">
        <v>22</v>
      </c>
      <c r="E469" s="32" t="s">
        <v>1419</v>
      </c>
      <c r="F469" s="34" t="s">
        <v>24</v>
      </c>
      <c r="G469" s="34" t="s">
        <v>32</v>
      </c>
      <c r="H469" s="35" t="s">
        <v>26</v>
      </c>
      <c r="I469" s="34"/>
      <c r="J469" s="57"/>
      <c r="K469" s="57"/>
      <c r="L469" s="84"/>
    </row>
    <row r="470">
      <c r="A470" s="31" t="s">
        <v>1420</v>
      </c>
      <c r="B470" s="32" t="s">
        <v>1421</v>
      </c>
      <c r="C470" s="33">
        <v>45723.0</v>
      </c>
      <c r="D470" s="34" t="s">
        <v>22</v>
      </c>
      <c r="E470" s="32" t="s">
        <v>1422</v>
      </c>
      <c r="F470" s="34" t="s">
        <v>156</v>
      </c>
      <c r="G470" s="34" t="s">
        <v>1213</v>
      </c>
      <c r="H470" s="35" t="s">
        <v>26</v>
      </c>
      <c r="I470" s="58" t="str">
        <f>HYPERLINK("https://open.spotify.com/album/2miRabxhZ0bYWvacANuVP5", "S")</f>
        <v>S</v>
      </c>
      <c r="J470" s="57"/>
      <c r="K470" s="57"/>
      <c r="L470" s="84"/>
    </row>
    <row r="471">
      <c r="A471" s="31" t="s">
        <v>1423</v>
      </c>
      <c r="B471" s="32" t="s">
        <v>1424</v>
      </c>
      <c r="C471" s="33">
        <v>45723.0</v>
      </c>
      <c r="D471" s="34" t="s">
        <v>22</v>
      </c>
      <c r="E471" s="32" t="s">
        <v>1425</v>
      </c>
      <c r="F471" s="34" t="s">
        <v>31</v>
      </c>
      <c r="G471" s="34" t="s">
        <v>970</v>
      </c>
      <c r="H471" s="35" t="s">
        <v>26</v>
      </c>
      <c r="I471" s="35" t="s">
        <v>27</v>
      </c>
      <c r="J471" s="57"/>
      <c r="K471" s="57"/>
      <c r="L471" s="84"/>
    </row>
    <row r="472">
      <c r="A472" s="31" t="s">
        <v>1426</v>
      </c>
      <c r="B472" s="32" t="s">
        <v>1427</v>
      </c>
      <c r="C472" s="33">
        <v>45723.0</v>
      </c>
      <c r="D472" s="47" t="s">
        <v>22</v>
      </c>
      <c r="E472" s="32" t="s">
        <v>73</v>
      </c>
      <c r="F472" s="34" t="s">
        <v>24</v>
      </c>
      <c r="G472" s="34" t="s">
        <v>199</v>
      </c>
      <c r="H472" s="35" t="s">
        <v>26</v>
      </c>
      <c r="I472" s="35" t="s">
        <v>27</v>
      </c>
      <c r="J472" s="57"/>
      <c r="K472" s="57"/>
      <c r="L472" s="84"/>
    </row>
    <row r="473">
      <c r="A473" s="31" t="s">
        <v>1428</v>
      </c>
      <c r="B473" s="32" t="s">
        <v>1429</v>
      </c>
      <c r="C473" s="33">
        <v>45723.0</v>
      </c>
      <c r="D473" s="47" t="s">
        <v>22</v>
      </c>
      <c r="E473" s="32" t="s">
        <v>122</v>
      </c>
      <c r="F473" s="34" t="s">
        <v>1430</v>
      </c>
      <c r="G473" s="34" t="s">
        <v>257</v>
      </c>
      <c r="H473" s="35" t="s">
        <v>26</v>
      </c>
      <c r="I473" s="35" t="s">
        <v>27</v>
      </c>
      <c r="J473" s="57"/>
      <c r="K473" s="57"/>
      <c r="L473" s="84"/>
    </row>
    <row r="474">
      <c r="A474" s="31" t="s">
        <v>1431</v>
      </c>
      <c r="B474" s="32" t="s">
        <v>1432</v>
      </c>
      <c r="C474" s="33">
        <v>45723.0</v>
      </c>
      <c r="D474" s="34" t="s">
        <v>22</v>
      </c>
      <c r="E474" s="32" t="s">
        <v>406</v>
      </c>
      <c r="F474" s="34" t="s">
        <v>24</v>
      </c>
      <c r="G474" s="34" t="s">
        <v>1433</v>
      </c>
      <c r="H474" s="35" t="s">
        <v>26</v>
      </c>
      <c r="I474" s="58" t="str">
        <f>HYPERLINK("https://open.spotify.com/album/3uPyk8Pty6ECN2RkvEVukn", "S")</f>
        <v>S</v>
      </c>
      <c r="J474" s="57"/>
      <c r="K474" s="57"/>
      <c r="L474" s="84"/>
    </row>
    <row r="475">
      <c r="A475" s="32" t="s">
        <v>1434</v>
      </c>
      <c r="B475" s="32" t="s">
        <v>1435</v>
      </c>
      <c r="C475" s="33">
        <v>45723.0</v>
      </c>
      <c r="D475" s="34" t="s">
        <v>22</v>
      </c>
      <c r="E475" s="32" t="s">
        <v>160</v>
      </c>
      <c r="F475" s="34" t="s">
        <v>24</v>
      </c>
      <c r="G475" s="34" t="s">
        <v>1436</v>
      </c>
      <c r="H475" s="35" t="s">
        <v>26</v>
      </c>
      <c r="I475" s="35" t="s">
        <v>27</v>
      </c>
      <c r="J475" s="57"/>
      <c r="K475" s="57"/>
      <c r="L475" s="84"/>
    </row>
    <row r="476">
      <c r="A476" s="32" t="s">
        <v>1437</v>
      </c>
      <c r="B476" s="32" t="s">
        <v>1438</v>
      </c>
      <c r="C476" s="33">
        <v>45723.0</v>
      </c>
      <c r="D476" s="34" t="s">
        <v>39</v>
      </c>
      <c r="E476" s="32" t="s">
        <v>1439</v>
      </c>
      <c r="F476" s="34" t="s">
        <v>24</v>
      </c>
      <c r="G476" s="34" t="s">
        <v>342</v>
      </c>
      <c r="H476" s="35" t="s">
        <v>26</v>
      </c>
      <c r="I476" s="35" t="s">
        <v>27</v>
      </c>
      <c r="J476" s="57"/>
      <c r="K476" s="57"/>
      <c r="L476" s="84"/>
    </row>
    <row r="477">
      <c r="A477" s="32" t="s">
        <v>1440</v>
      </c>
      <c r="B477" s="32" t="s">
        <v>1441</v>
      </c>
      <c r="C477" s="33">
        <v>45723.0</v>
      </c>
      <c r="D477" s="34" t="s">
        <v>39</v>
      </c>
      <c r="E477" s="32" t="s">
        <v>355</v>
      </c>
      <c r="F477" s="34" t="s">
        <v>24</v>
      </c>
      <c r="G477" s="34" t="s">
        <v>442</v>
      </c>
      <c r="H477" s="35" t="s">
        <v>26</v>
      </c>
      <c r="I477" s="36" t="str">
        <f>HYPERLINK("https://open.spotify.com/album/4Y7BdM8jWVPhWe0dPsK4vH", "S")</f>
        <v>S</v>
      </c>
      <c r="J477" s="57"/>
      <c r="K477" s="57"/>
      <c r="L477" s="84"/>
    </row>
    <row r="478">
      <c r="A478" s="32" t="s">
        <v>1442</v>
      </c>
      <c r="B478" s="32" t="s">
        <v>1443</v>
      </c>
      <c r="C478" s="33">
        <v>45723.0</v>
      </c>
      <c r="D478" s="34" t="s">
        <v>22</v>
      </c>
      <c r="E478" s="32" t="s">
        <v>1444</v>
      </c>
      <c r="F478" s="34" t="s">
        <v>24</v>
      </c>
      <c r="G478" s="34" t="s">
        <v>1445</v>
      </c>
      <c r="H478" s="35" t="s">
        <v>26</v>
      </c>
      <c r="I478" s="36" t="str">
        <f>HYPERLINK("https://open.spotify.com/album/37OJGxdUZFjeXfGHRLULvr", "S")</f>
        <v>S</v>
      </c>
      <c r="J478" s="57"/>
      <c r="K478" s="57"/>
      <c r="L478" s="84"/>
    </row>
    <row r="479">
      <c r="A479" s="32" t="s">
        <v>1446</v>
      </c>
      <c r="B479" s="32" t="s">
        <v>1447</v>
      </c>
      <c r="C479" s="33">
        <v>45723.0</v>
      </c>
      <c r="D479" s="47" t="s">
        <v>39</v>
      </c>
      <c r="E479" s="32" t="s">
        <v>73</v>
      </c>
      <c r="F479" s="34" t="s">
        <v>24</v>
      </c>
      <c r="G479" s="34" t="s">
        <v>782</v>
      </c>
      <c r="H479" s="35" t="s">
        <v>26</v>
      </c>
      <c r="I479" s="35" t="s">
        <v>27</v>
      </c>
      <c r="J479" s="57"/>
      <c r="K479" s="57"/>
      <c r="L479" s="84"/>
    </row>
    <row r="480">
      <c r="A480" s="32" t="s">
        <v>1448</v>
      </c>
      <c r="B480" s="32" t="s">
        <v>1449</v>
      </c>
      <c r="C480" s="33">
        <v>45723.0</v>
      </c>
      <c r="D480" s="34" t="s">
        <v>22</v>
      </c>
      <c r="E480" s="32" t="s">
        <v>1450</v>
      </c>
      <c r="F480" s="34" t="s">
        <v>53</v>
      </c>
      <c r="G480" s="34" t="s">
        <v>292</v>
      </c>
      <c r="H480" s="35" t="s">
        <v>26</v>
      </c>
      <c r="I480" s="35" t="s">
        <v>27</v>
      </c>
      <c r="J480" s="35" t="s">
        <v>100</v>
      </c>
      <c r="K480" s="57"/>
      <c r="L480" s="84"/>
    </row>
    <row r="481">
      <c r="A481" s="32" t="s">
        <v>1451</v>
      </c>
      <c r="B481" s="32" t="s">
        <v>1452</v>
      </c>
      <c r="C481" s="33">
        <v>45723.0</v>
      </c>
      <c r="D481" s="34" t="s">
        <v>39</v>
      </c>
      <c r="E481" s="32" t="s">
        <v>160</v>
      </c>
      <c r="F481" s="34" t="s">
        <v>24</v>
      </c>
      <c r="G481" s="34" t="s">
        <v>1453</v>
      </c>
      <c r="H481" s="35" t="s">
        <v>26</v>
      </c>
      <c r="I481" s="35" t="s">
        <v>27</v>
      </c>
      <c r="J481" s="57"/>
      <c r="K481" s="57"/>
      <c r="L481" s="84"/>
    </row>
    <row r="482">
      <c r="A482" s="32" t="s">
        <v>1454</v>
      </c>
      <c r="B482" s="32" t="s">
        <v>1455</v>
      </c>
      <c r="C482" s="33">
        <v>45723.0</v>
      </c>
      <c r="D482" s="47" t="s">
        <v>22</v>
      </c>
      <c r="E482" s="32" t="s">
        <v>463</v>
      </c>
      <c r="F482" s="34" t="s">
        <v>156</v>
      </c>
      <c r="G482" s="34" t="s">
        <v>693</v>
      </c>
      <c r="H482" s="35" t="s">
        <v>26</v>
      </c>
      <c r="I482" s="35" t="s">
        <v>27</v>
      </c>
      <c r="J482" s="57"/>
      <c r="K482" s="57"/>
      <c r="L482" s="84"/>
    </row>
    <row r="483">
      <c r="A483" s="31" t="s">
        <v>1456</v>
      </c>
      <c r="B483" s="32" t="s">
        <v>1457</v>
      </c>
      <c r="C483" s="33">
        <v>45723.0</v>
      </c>
      <c r="D483" s="34" t="s">
        <v>22</v>
      </c>
      <c r="E483" s="32" t="s">
        <v>1458</v>
      </c>
      <c r="F483" s="34" t="s">
        <v>53</v>
      </c>
      <c r="G483" s="34" t="s">
        <v>96</v>
      </c>
      <c r="H483" s="35" t="s">
        <v>26</v>
      </c>
      <c r="I483" s="35" t="s">
        <v>27</v>
      </c>
      <c r="J483" s="57"/>
      <c r="K483" s="57"/>
      <c r="L483" s="84"/>
    </row>
    <row r="484">
      <c r="A484" s="32" t="s">
        <v>1459</v>
      </c>
      <c r="B484" s="32" t="s">
        <v>1460</v>
      </c>
      <c r="C484" s="33">
        <v>45723.0</v>
      </c>
      <c r="D484" s="47" t="s">
        <v>22</v>
      </c>
      <c r="E484" s="32" t="s">
        <v>160</v>
      </c>
      <c r="F484" s="34" t="s">
        <v>53</v>
      </c>
      <c r="G484" s="34" t="s">
        <v>257</v>
      </c>
      <c r="H484" s="35" t="s">
        <v>26</v>
      </c>
      <c r="I484" s="35" t="s">
        <v>27</v>
      </c>
      <c r="J484" s="57"/>
      <c r="K484" s="57"/>
      <c r="L484" s="84"/>
    </row>
    <row r="485">
      <c r="A485" s="32" t="s">
        <v>1461</v>
      </c>
      <c r="B485" s="32" t="s">
        <v>1462</v>
      </c>
      <c r="C485" s="33">
        <v>45723.0</v>
      </c>
      <c r="D485" s="47" t="s">
        <v>39</v>
      </c>
      <c r="E485" s="32" t="s">
        <v>364</v>
      </c>
      <c r="F485" s="34" t="s">
        <v>24</v>
      </c>
      <c r="G485" s="34" t="s">
        <v>890</v>
      </c>
      <c r="H485" s="35" t="s">
        <v>26</v>
      </c>
      <c r="I485" s="36" t="str">
        <f>HYPERLINK("https://open.spotify.com/album/3Q1azRTtd5JobMeHSo9SL2", "S")</f>
        <v>S</v>
      </c>
      <c r="J485" s="57"/>
      <c r="K485" s="57"/>
      <c r="L485" s="84"/>
    </row>
    <row r="486">
      <c r="A486" s="32" t="s">
        <v>1463</v>
      </c>
      <c r="B486" s="32" t="s">
        <v>1464</v>
      </c>
      <c r="C486" s="33">
        <v>45725.0</v>
      </c>
      <c r="D486" s="34" t="s">
        <v>39</v>
      </c>
      <c r="E486" s="32" t="s">
        <v>122</v>
      </c>
      <c r="F486" s="34" t="s">
        <v>53</v>
      </c>
      <c r="G486" s="34" t="s">
        <v>1465</v>
      </c>
      <c r="H486" s="35" t="s">
        <v>26</v>
      </c>
      <c r="I486" s="35" t="s">
        <v>27</v>
      </c>
      <c r="J486" s="57"/>
      <c r="K486" s="57"/>
      <c r="L486" s="84"/>
    </row>
    <row r="487">
      <c r="A487" s="32" t="s">
        <v>1466</v>
      </c>
      <c r="B487" s="32" t="s">
        <v>1467</v>
      </c>
      <c r="C487" s="33">
        <v>45726.0</v>
      </c>
      <c r="D487" s="34" t="s">
        <v>22</v>
      </c>
      <c r="E487" s="32" t="s">
        <v>1468</v>
      </c>
      <c r="F487" s="34" t="s">
        <v>53</v>
      </c>
      <c r="G487" s="34" t="s">
        <v>41</v>
      </c>
      <c r="H487" s="35" t="s">
        <v>26</v>
      </c>
      <c r="I487" s="35" t="s">
        <v>27</v>
      </c>
      <c r="J487" s="57"/>
      <c r="K487" s="57"/>
      <c r="L487" s="84"/>
    </row>
    <row r="488">
      <c r="A488" s="31" t="s">
        <v>1469</v>
      </c>
      <c r="B488" s="32" t="s">
        <v>1470</v>
      </c>
      <c r="C488" s="33">
        <v>45727.0</v>
      </c>
      <c r="D488" s="69" t="s">
        <v>22</v>
      </c>
      <c r="E488" s="32" t="s">
        <v>1471</v>
      </c>
      <c r="F488" s="34" t="s">
        <v>156</v>
      </c>
      <c r="G488" s="34" t="s">
        <v>1472</v>
      </c>
      <c r="H488" s="35" t="s">
        <v>26</v>
      </c>
      <c r="I488" s="36" t="str">
        <f>HYPERLINK("https://open.spotify.com/album/0LI9cMSt3lKzVRpbsySOyM", "S")</f>
        <v>S</v>
      </c>
      <c r="J488" s="57"/>
      <c r="K488" s="57"/>
      <c r="L488" s="84"/>
    </row>
    <row r="489">
      <c r="A489" s="32" t="s">
        <v>1473</v>
      </c>
      <c r="B489" s="32" t="s">
        <v>1474</v>
      </c>
      <c r="C489" s="33">
        <v>45727.0</v>
      </c>
      <c r="D489" s="34" t="s">
        <v>22</v>
      </c>
      <c r="E489" s="32" t="s">
        <v>61</v>
      </c>
      <c r="F489" s="34" t="s">
        <v>24</v>
      </c>
      <c r="G489" s="34" t="s">
        <v>605</v>
      </c>
      <c r="H489" s="35" t="s">
        <v>26</v>
      </c>
      <c r="I489" s="36" t="str">
        <f>HYPERLINK("https://open.spotify.com/album/0UVPBMcvhbJkz2aAnK2rTt", "S")</f>
        <v>S</v>
      </c>
      <c r="J489" s="57"/>
      <c r="K489" s="57"/>
      <c r="L489" s="84"/>
    </row>
    <row r="490">
      <c r="A490" s="32" t="s">
        <v>1475</v>
      </c>
      <c r="B490" s="32" t="s">
        <v>1476</v>
      </c>
      <c r="C490" s="33">
        <v>45727.0</v>
      </c>
      <c r="D490" s="34" t="s">
        <v>39</v>
      </c>
      <c r="E490" s="32" t="s">
        <v>84</v>
      </c>
      <c r="F490" s="34" t="s">
        <v>24</v>
      </c>
      <c r="G490" s="34" t="s">
        <v>1477</v>
      </c>
      <c r="H490" s="35" t="s">
        <v>26</v>
      </c>
      <c r="I490" s="35" t="s">
        <v>27</v>
      </c>
      <c r="J490" s="57"/>
      <c r="K490" s="57"/>
      <c r="L490" s="84"/>
    </row>
    <row r="491">
      <c r="A491" s="31" t="s">
        <v>1478</v>
      </c>
      <c r="B491" s="32" t="s">
        <v>1479</v>
      </c>
      <c r="C491" s="33">
        <v>45728.0</v>
      </c>
      <c r="D491" s="34" t="s">
        <v>22</v>
      </c>
      <c r="E491" s="32" t="s">
        <v>1480</v>
      </c>
      <c r="F491" s="34" t="s">
        <v>24</v>
      </c>
      <c r="G491" s="34" t="s">
        <v>199</v>
      </c>
      <c r="H491" s="35" t="s">
        <v>26</v>
      </c>
      <c r="I491" s="36" t="str">
        <f>HYPERLINK("https://open.spotify.com/album/3vLHpzjWmqKk5JGrgGpx76", "S")</f>
        <v>S</v>
      </c>
      <c r="J491" s="57"/>
      <c r="K491" s="57"/>
      <c r="L491" s="84"/>
    </row>
    <row r="492">
      <c r="A492" s="31" t="s">
        <v>1481</v>
      </c>
      <c r="B492" s="32" t="s">
        <v>1482</v>
      </c>
      <c r="C492" s="33">
        <v>45730.0</v>
      </c>
      <c r="D492" s="34" t="s">
        <v>39</v>
      </c>
      <c r="E492" s="32" t="s">
        <v>1483</v>
      </c>
      <c r="F492" s="34" t="s">
        <v>24</v>
      </c>
      <c r="G492" s="34" t="s">
        <v>1484</v>
      </c>
      <c r="H492" s="35" t="s">
        <v>26</v>
      </c>
      <c r="I492" s="35" t="s">
        <v>27</v>
      </c>
      <c r="J492" s="35" t="s">
        <v>100</v>
      </c>
      <c r="K492" s="57"/>
      <c r="L492" s="84"/>
    </row>
    <row r="493">
      <c r="A493" s="32" t="s">
        <v>1485</v>
      </c>
      <c r="B493" s="32" t="s">
        <v>1486</v>
      </c>
      <c r="C493" s="33">
        <v>45730.0</v>
      </c>
      <c r="D493" s="34" t="s">
        <v>22</v>
      </c>
      <c r="E493" s="32" t="s">
        <v>1487</v>
      </c>
      <c r="F493" s="34" t="s">
        <v>24</v>
      </c>
      <c r="G493" s="34" t="s">
        <v>1488</v>
      </c>
      <c r="H493" s="35" t="s">
        <v>26</v>
      </c>
      <c r="I493" s="35" t="s">
        <v>27</v>
      </c>
      <c r="J493" s="35" t="s">
        <v>100</v>
      </c>
      <c r="K493" s="57"/>
      <c r="L493" s="84"/>
    </row>
    <row r="494">
      <c r="A494" s="31" t="s">
        <v>1489</v>
      </c>
      <c r="B494" s="32" t="s">
        <v>1490</v>
      </c>
      <c r="C494" s="59">
        <v>45730.0</v>
      </c>
      <c r="D494" s="34" t="s">
        <v>22</v>
      </c>
      <c r="E494" s="32" t="s">
        <v>928</v>
      </c>
      <c r="F494" s="34" t="s">
        <v>156</v>
      </c>
      <c r="G494" s="34" t="s">
        <v>1491</v>
      </c>
      <c r="H494" s="35" t="s">
        <v>26</v>
      </c>
      <c r="I494" s="35" t="s">
        <v>27</v>
      </c>
      <c r="J494" s="57"/>
      <c r="K494" s="57"/>
      <c r="L494" s="84"/>
    </row>
    <row r="495">
      <c r="A495" s="31" t="s">
        <v>1492</v>
      </c>
      <c r="B495" s="32" t="s">
        <v>1493</v>
      </c>
      <c r="C495" s="33">
        <v>45730.0</v>
      </c>
      <c r="D495" s="34" t="s">
        <v>39</v>
      </c>
      <c r="E495" s="32" t="s">
        <v>1494</v>
      </c>
      <c r="F495" s="34" t="s">
        <v>24</v>
      </c>
      <c r="G495" s="34" t="s">
        <v>119</v>
      </c>
      <c r="H495" s="35" t="s">
        <v>26</v>
      </c>
      <c r="I495" s="35" t="s">
        <v>27</v>
      </c>
      <c r="J495" s="57"/>
      <c r="K495" s="57"/>
      <c r="L495" s="84"/>
    </row>
    <row r="496">
      <c r="A496" s="31" t="s">
        <v>1495</v>
      </c>
      <c r="B496" s="32" t="s">
        <v>1496</v>
      </c>
      <c r="C496" s="33">
        <v>45730.0</v>
      </c>
      <c r="D496" s="69" t="s">
        <v>22</v>
      </c>
      <c r="E496" s="32" t="s">
        <v>1497</v>
      </c>
      <c r="F496" s="34" t="s">
        <v>156</v>
      </c>
      <c r="G496" s="34" t="s">
        <v>892</v>
      </c>
      <c r="H496" s="35" t="s">
        <v>26</v>
      </c>
      <c r="I496" s="35" t="s">
        <v>27</v>
      </c>
      <c r="J496" s="57"/>
      <c r="K496" s="57"/>
      <c r="L496" s="84"/>
    </row>
    <row r="497">
      <c r="A497" s="31" t="s">
        <v>1498</v>
      </c>
      <c r="B497" s="32" t="s">
        <v>1499</v>
      </c>
      <c r="C497" s="33">
        <v>45730.0</v>
      </c>
      <c r="D497" s="34" t="s">
        <v>39</v>
      </c>
      <c r="E497" s="32" t="s">
        <v>865</v>
      </c>
      <c r="F497" s="34" t="s">
        <v>53</v>
      </c>
      <c r="G497" s="34" t="s">
        <v>423</v>
      </c>
      <c r="H497" s="35" t="s">
        <v>26</v>
      </c>
      <c r="I497" s="35" t="s">
        <v>27</v>
      </c>
      <c r="J497" s="57"/>
      <c r="K497" s="57"/>
      <c r="L497" s="84"/>
    </row>
    <row r="498">
      <c r="A498" s="31" t="s">
        <v>1500</v>
      </c>
      <c r="B498" s="32" t="s">
        <v>1501</v>
      </c>
      <c r="C498" s="33">
        <v>45730.0</v>
      </c>
      <c r="D498" s="34" t="s">
        <v>22</v>
      </c>
      <c r="E498" s="32" t="s">
        <v>1502</v>
      </c>
      <c r="F498" s="34" t="s">
        <v>53</v>
      </c>
      <c r="G498" s="34" t="s">
        <v>676</v>
      </c>
      <c r="H498" s="35" t="s">
        <v>26</v>
      </c>
      <c r="I498" s="35" t="s">
        <v>27</v>
      </c>
      <c r="J498" s="35" t="s">
        <v>100</v>
      </c>
      <c r="K498" s="57"/>
      <c r="L498" s="84"/>
    </row>
    <row r="499">
      <c r="A499" s="31" t="s">
        <v>1503</v>
      </c>
      <c r="B499" s="32" t="s">
        <v>1504</v>
      </c>
      <c r="C499" s="33">
        <v>45730.0</v>
      </c>
      <c r="D499" s="34" t="s">
        <v>22</v>
      </c>
      <c r="E499" s="32" t="s">
        <v>1505</v>
      </c>
      <c r="F499" s="34" t="s">
        <v>24</v>
      </c>
      <c r="G499" s="34" t="s">
        <v>767</v>
      </c>
      <c r="H499" s="35" t="s">
        <v>26</v>
      </c>
      <c r="I499" s="35" t="s">
        <v>27</v>
      </c>
      <c r="J499" s="35" t="s">
        <v>100</v>
      </c>
      <c r="K499" s="57"/>
      <c r="L499" s="84"/>
    </row>
    <row r="500">
      <c r="A500" s="31" t="s">
        <v>1506</v>
      </c>
      <c r="B500" s="32" t="s">
        <v>1507</v>
      </c>
      <c r="C500" s="33">
        <v>45730.0</v>
      </c>
      <c r="D500" s="34" t="s">
        <v>22</v>
      </c>
      <c r="E500" s="32" t="s">
        <v>1508</v>
      </c>
      <c r="F500" s="34" t="s">
        <v>24</v>
      </c>
      <c r="G500" s="34" t="s">
        <v>1509</v>
      </c>
      <c r="H500" s="35" t="s">
        <v>26</v>
      </c>
      <c r="I500" s="35" t="s">
        <v>27</v>
      </c>
      <c r="J500" s="57"/>
      <c r="K500" s="57"/>
      <c r="L500" s="84"/>
    </row>
    <row r="501">
      <c r="A501" s="31" t="s">
        <v>1510</v>
      </c>
      <c r="B501" s="32" t="s">
        <v>1511</v>
      </c>
      <c r="C501" s="33">
        <v>45730.0</v>
      </c>
      <c r="D501" s="34" t="s">
        <v>22</v>
      </c>
      <c r="E501" s="32" t="s">
        <v>1512</v>
      </c>
      <c r="F501" s="34" t="s">
        <v>53</v>
      </c>
      <c r="G501" s="34" t="s">
        <v>1513</v>
      </c>
      <c r="H501" s="35" t="s">
        <v>26</v>
      </c>
      <c r="I501" s="35" t="s">
        <v>27</v>
      </c>
      <c r="J501" s="57"/>
      <c r="K501" s="57"/>
      <c r="L501" s="84"/>
    </row>
    <row r="502">
      <c r="A502" s="31" t="s">
        <v>1514</v>
      </c>
      <c r="B502" s="32" t="s">
        <v>1515</v>
      </c>
      <c r="C502" s="33">
        <v>45730.0</v>
      </c>
      <c r="D502" s="34" t="s">
        <v>22</v>
      </c>
      <c r="E502" s="32" t="s">
        <v>1516</v>
      </c>
      <c r="F502" s="34" t="s">
        <v>53</v>
      </c>
      <c r="G502" s="34" t="s">
        <v>361</v>
      </c>
      <c r="H502" s="35" t="s">
        <v>26</v>
      </c>
      <c r="I502" s="35" t="s">
        <v>27</v>
      </c>
      <c r="J502" s="57"/>
      <c r="K502" s="57"/>
      <c r="L502" s="84"/>
    </row>
    <row r="503">
      <c r="A503" s="31" t="s">
        <v>1517</v>
      </c>
      <c r="B503" s="32" t="s">
        <v>1518</v>
      </c>
      <c r="C503" s="33">
        <v>45730.0</v>
      </c>
      <c r="D503" s="34" t="s">
        <v>22</v>
      </c>
      <c r="E503" s="32" t="s">
        <v>1519</v>
      </c>
      <c r="F503" s="34" t="s">
        <v>24</v>
      </c>
      <c r="G503" s="34" t="s">
        <v>1520</v>
      </c>
      <c r="H503" s="35" t="s">
        <v>26</v>
      </c>
      <c r="I503" s="58" t="str">
        <f>HYPERLINK("https://open.spotify.com/album/1TrZIDNXdtSmAiaOcoiNHE", "S")</f>
        <v>S</v>
      </c>
      <c r="J503" s="35" t="s">
        <v>100</v>
      </c>
      <c r="K503" s="57"/>
      <c r="L503" s="84"/>
    </row>
    <row r="504">
      <c r="A504" s="31" t="s">
        <v>1521</v>
      </c>
      <c r="B504" s="32" t="s">
        <v>1522</v>
      </c>
      <c r="C504" s="33">
        <v>45730.0</v>
      </c>
      <c r="D504" s="34" t="s">
        <v>22</v>
      </c>
      <c r="E504" s="32" t="s">
        <v>122</v>
      </c>
      <c r="F504" s="34" t="s">
        <v>156</v>
      </c>
      <c r="G504" s="34" t="s">
        <v>62</v>
      </c>
      <c r="H504" s="35" t="s">
        <v>26</v>
      </c>
      <c r="I504" s="35" t="s">
        <v>27</v>
      </c>
      <c r="J504" s="57"/>
      <c r="K504" s="57"/>
      <c r="L504" s="84"/>
    </row>
    <row r="505">
      <c r="A505" s="31" t="s">
        <v>1523</v>
      </c>
      <c r="B505" s="32" t="s">
        <v>1524</v>
      </c>
      <c r="C505" s="33">
        <v>45730.0</v>
      </c>
      <c r="D505" s="34" t="s">
        <v>22</v>
      </c>
      <c r="E505" s="32" t="s">
        <v>1525</v>
      </c>
      <c r="F505" s="34" t="s">
        <v>53</v>
      </c>
      <c r="G505" s="34" t="s">
        <v>1392</v>
      </c>
      <c r="H505" s="35" t="s">
        <v>26</v>
      </c>
      <c r="I505" s="35" t="s">
        <v>27</v>
      </c>
      <c r="J505" s="35" t="s">
        <v>100</v>
      </c>
      <c r="K505" s="57"/>
      <c r="L505" s="84"/>
    </row>
    <row r="506">
      <c r="A506" s="31" t="s">
        <v>1526</v>
      </c>
      <c r="B506" s="32" t="s">
        <v>1527</v>
      </c>
      <c r="C506" s="33">
        <v>45730.0</v>
      </c>
      <c r="D506" s="34" t="s">
        <v>39</v>
      </c>
      <c r="E506" s="32" t="s">
        <v>73</v>
      </c>
      <c r="F506" s="34" t="s">
        <v>24</v>
      </c>
      <c r="G506" s="34" t="s">
        <v>892</v>
      </c>
      <c r="H506" s="35" t="s">
        <v>26</v>
      </c>
      <c r="I506" s="35" t="s">
        <v>27</v>
      </c>
      <c r="J506" s="35" t="s">
        <v>100</v>
      </c>
      <c r="K506" s="57"/>
      <c r="L506" s="84"/>
    </row>
    <row r="507">
      <c r="A507" s="31" t="s">
        <v>1528</v>
      </c>
      <c r="B507" s="32" t="s">
        <v>1529</v>
      </c>
      <c r="C507" s="33">
        <v>45730.0</v>
      </c>
      <c r="D507" s="34" t="s">
        <v>22</v>
      </c>
      <c r="E507" s="32" t="s">
        <v>168</v>
      </c>
      <c r="F507" s="34" t="s">
        <v>53</v>
      </c>
      <c r="G507" s="34" t="s">
        <v>454</v>
      </c>
      <c r="H507" s="35" t="s">
        <v>26</v>
      </c>
      <c r="I507" s="36" t="str">
        <f>HYPERLINK("https://open.spotify.com/album/2loCJXbtENVnqZpboizYnj", "S")</f>
        <v>S</v>
      </c>
      <c r="J507" s="57"/>
      <c r="K507" s="57"/>
      <c r="L507" s="84"/>
    </row>
    <row r="508">
      <c r="A508" s="31" t="s">
        <v>1530</v>
      </c>
      <c r="B508" s="32" t="s">
        <v>1531</v>
      </c>
      <c r="C508" s="33">
        <v>45730.0</v>
      </c>
      <c r="D508" s="34" t="s">
        <v>22</v>
      </c>
      <c r="E508" s="32" t="s">
        <v>608</v>
      </c>
      <c r="F508" s="34" t="s">
        <v>24</v>
      </c>
      <c r="G508" s="34" t="s">
        <v>454</v>
      </c>
      <c r="H508" s="35" t="s">
        <v>26</v>
      </c>
      <c r="I508" s="35" t="s">
        <v>27</v>
      </c>
      <c r="J508" s="35" t="s">
        <v>100</v>
      </c>
      <c r="K508" s="57"/>
      <c r="L508" s="84"/>
    </row>
    <row r="509">
      <c r="A509" s="31" t="s">
        <v>1532</v>
      </c>
      <c r="B509" s="32" t="s">
        <v>1533</v>
      </c>
      <c r="C509" s="33">
        <v>45730.0</v>
      </c>
      <c r="D509" s="34" t="s">
        <v>22</v>
      </c>
      <c r="E509" s="32" t="s">
        <v>160</v>
      </c>
      <c r="F509" s="34" t="s">
        <v>24</v>
      </c>
      <c r="G509" s="34" t="s">
        <v>1534</v>
      </c>
      <c r="H509" s="35" t="s">
        <v>26</v>
      </c>
      <c r="I509" s="35" t="s">
        <v>27</v>
      </c>
      <c r="J509" s="57"/>
      <c r="K509" s="57"/>
      <c r="L509" s="84"/>
    </row>
    <row r="510">
      <c r="A510" s="31" t="s">
        <v>1535</v>
      </c>
      <c r="B510" s="32" t="s">
        <v>1536</v>
      </c>
      <c r="C510" s="33">
        <v>45730.0</v>
      </c>
      <c r="D510" s="34" t="s">
        <v>22</v>
      </c>
      <c r="E510" s="32" t="s">
        <v>284</v>
      </c>
      <c r="F510" s="34" t="s">
        <v>24</v>
      </c>
      <c r="G510" s="34" t="s">
        <v>1537</v>
      </c>
      <c r="H510" s="35" t="s">
        <v>26</v>
      </c>
      <c r="I510" s="35" t="s">
        <v>27</v>
      </c>
      <c r="J510" s="57"/>
      <c r="K510" s="57"/>
      <c r="L510" s="84"/>
    </row>
    <row r="511">
      <c r="A511" s="31" t="s">
        <v>1538</v>
      </c>
      <c r="B511" s="32" t="s">
        <v>1539</v>
      </c>
      <c r="C511" s="45">
        <v>45730.0</v>
      </c>
      <c r="D511" s="34" t="s">
        <v>22</v>
      </c>
      <c r="E511" s="32" t="s">
        <v>1540</v>
      </c>
      <c r="F511" s="34" t="s">
        <v>156</v>
      </c>
      <c r="G511" s="34" t="s">
        <v>41</v>
      </c>
      <c r="H511" s="35" t="s">
        <v>26</v>
      </c>
      <c r="I511" s="35" t="s">
        <v>27</v>
      </c>
      <c r="J511" s="35" t="s">
        <v>100</v>
      </c>
      <c r="K511" s="57"/>
      <c r="L511" s="84"/>
    </row>
    <row r="512">
      <c r="A512" s="31" t="s">
        <v>1541</v>
      </c>
      <c r="B512" s="32" t="s">
        <v>1542</v>
      </c>
      <c r="C512" s="45">
        <v>45730.0</v>
      </c>
      <c r="D512" s="34" t="s">
        <v>22</v>
      </c>
      <c r="E512" s="32" t="s">
        <v>61</v>
      </c>
      <c r="F512" s="34" t="s">
        <v>24</v>
      </c>
      <c r="G512" s="34" t="s">
        <v>177</v>
      </c>
      <c r="H512" s="35" t="s">
        <v>26</v>
      </c>
      <c r="I512" s="35" t="s">
        <v>27</v>
      </c>
      <c r="J512" s="57"/>
      <c r="K512" s="57"/>
      <c r="L512" s="84"/>
    </row>
    <row r="513">
      <c r="A513" s="31" t="s">
        <v>1543</v>
      </c>
      <c r="B513" s="32" t="s">
        <v>1544</v>
      </c>
      <c r="C513" s="45">
        <v>45730.0</v>
      </c>
      <c r="D513" s="47" t="s">
        <v>22</v>
      </c>
      <c r="E513" s="32" t="s">
        <v>61</v>
      </c>
      <c r="F513" s="34" t="s">
        <v>24</v>
      </c>
      <c r="G513" s="34" t="s">
        <v>199</v>
      </c>
      <c r="H513" s="35" t="s">
        <v>26</v>
      </c>
      <c r="I513" s="58" t="str">
        <f>HYPERLINK("https://open.spotify.com/album/4rVDp0cNG0rp2ibTnKOFyf", "S")</f>
        <v>S</v>
      </c>
      <c r="J513" s="57"/>
      <c r="K513" s="57"/>
      <c r="L513" s="84"/>
    </row>
    <row r="514">
      <c r="A514" s="31" t="s">
        <v>1545</v>
      </c>
      <c r="B514" s="32" t="s">
        <v>1546</v>
      </c>
      <c r="C514" s="59">
        <v>45730.0</v>
      </c>
      <c r="D514" s="47" t="s">
        <v>22</v>
      </c>
      <c r="E514" s="32" t="s">
        <v>1547</v>
      </c>
      <c r="F514" s="34" t="s">
        <v>53</v>
      </c>
      <c r="G514" s="34" t="s">
        <v>913</v>
      </c>
      <c r="H514" s="35" t="s">
        <v>26</v>
      </c>
      <c r="I514" s="35" t="s">
        <v>27</v>
      </c>
      <c r="J514" s="57"/>
      <c r="K514" s="57"/>
      <c r="L514" s="84"/>
    </row>
    <row r="515">
      <c r="A515" s="31" t="s">
        <v>1548</v>
      </c>
      <c r="B515" s="32" t="s">
        <v>1549</v>
      </c>
      <c r="C515" s="45">
        <v>45730.0</v>
      </c>
      <c r="D515" s="34" t="s">
        <v>22</v>
      </c>
      <c r="E515" s="32" t="s">
        <v>1550</v>
      </c>
      <c r="F515" s="34" t="s">
        <v>53</v>
      </c>
      <c r="G515" s="34" t="s">
        <v>1551</v>
      </c>
      <c r="H515" s="35" t="s">
        <v>26</v>
      </c>
      <c r="I515" s="35" t="s">
        <v>27</v>
      </c>
      <c r="J515" s="35" t="s">
        <v>100</v>
      </c>
      <c r="K515" s="57"/>
      <c r="L515" s="84"/>
    </row>
    <row r="516">
      <c r="A516" s="31" t="s">
        <v>1552</v>
      </c>
      <c r="B516" s="32" t="s">
        <v>1553</v>
      </c>
      <c r="C516" s="45">
        <v>45730.0</v>
      </c>
      <c r="D516" s="34" t="s">
        <v>22</v>
      </c>
      <c r="E516" s="32" t="s">
        <v>321</v>
      </c>
      <c r="F516" s="34" t="s">
        <v>156</v>
      </c>
      <c r="G516" s="34" t="s">
        <v>693</v>
      </c>
      <c r="H516" s="35" t="s">
        <v>26</v>
      </c>
      <c r="I516" s="35" t="s">
        <v>27</v>
      </c>
      <c r="J516" s="57"/>
      <c r="K516" s="57"/>
      <c r="L516" s="84"/>
    </row>
    <row r="517">
      <c r="A517" s="31" t="s">
        <v>1554</v>
      </c>
      <c r="B517" s="32" t="s">
        <v>1555</v>
      </c>
      <c r="C517" s="33">
        <v>45730.0</v>
      </c>
      <c r="D517" s="34" t="s">
        <v>22</v>
      </c>
      <c r="E517" s="32" t="s">
        <v>928</v>
      </c>
      <c r="F517" s="34" t="s">
        <v>24</v>
      </c>
      <c r="G517" s="34" t="s">
        <v>253</v>
      </c>
      <c r="H517" s="35" t="s">
        <v>26</v>
      </c>
      <c r="I517" s="35" t="s">
        <v>27</v>
      </c>
      <c r="J517" s="35" t="s">
        <v>100</v>
      </c>
      <c r="K517" s="57"/>
      <c r="L517" s="84"/>
    </row>
    <row r="518">
      <c r="A518" s="31" t="s">
        <v>1556</v>
      </c>
      <c r="B518" s="32" t="s">
        <v>1557</v>
      </c>
      <c r="C518" s="33">
        <v>45730.0</v>
      </c>
      <c r="D518" s="34" t="s">
        <v>22</v>
      </c>
      <c r="E518" s="32" t="s">
        <v>453</v>
      </c>
      <c r="F518" s="34" t="s">
        <v>156</v>
      </c>
      <c r="G518" s="34" t="s">
        <v>510</v>
      </c>
      <c r="H518" s="35" t="s">
        <v>26</v>
      </c>
      <c r="I518" s="35" t="s">
        <v>27</v>
      </c>
      <c r="J518" s="57"/>
      <c r="K518" s="57"/>
      <c r="L518" s="84"/>
    </row>
    <row r="519">
      <c r="A519" s="31" t="s">
        <v>1558</v>
      </c>
      <c r="B519" s="32" t="s">
        <v>1559</v>
      </c>
      <c r="C519" s="33">
        <v>45730.0</v>
      </c>
      <c r="D519" s="69" t="s">
        <v>22</v>
      </c>
      <c r="E519" s="32" t="s">
        <v>705</v>
      </c>
      <c r="F519" s="34" t="s">
        <v>156</v>
      </c>
      <c r="G519" s="34" t="s">
        <v>1560</v>
      </c>
      <c r="H519" s="35" t="s">
        <v>26</v>
      </c>
      <c r="I519" s="35" t="s">
        <v>27</v>
      </c>
      <c r="J519" s="57"/>
      <c r="K519" s="57"/>
      <c r="L519" s="84"/>
    </row>
    <row r="520">
      <c r="A520" s="31" t="s">
        <v>1561</v>
      </c>
      <c r="B520" s="32" t="s">
        <v>1562</v>
      </c>
      <c r="C520" s="33">
        <v>45730.0</v>
      </c>
      <c r="D520" s="34" t="s">
        <v>39</v>
      </c>
      <c r="E520" s="32" t="s">
        <v>1563</v>
      </c>
      <c r="F520" s="34" t="s">
        <v>24</v>
      </c>
      <c r="G520" s="34" t="s">
        <v>454</v>
      </c>
      <c r="H520" s="35" t="s">
        <v>26</v>
      </c>
      <c r="I520" s="35" t="s">
        <v>27</v>
      </c>
      <c r="J520" s="35" t="s">
        <v>100</v>
      </c>
      <c r="K520" s="57"/>
      <c r="L520" s="84"/>
    </row>
    <row r="521">
      <c r="A521" s="31" t="s">
        <v>1564</v>
      </c>
      <c r="B521" s="32" t="s">
        <v>1565</v>
      </c>
      <c r="C521" s="33">
        <v>45730.0</v>
      </c>
      <c r="D521" s="34" t="s">
        <v>22</v>
      </c>
      <c r="E521" s="32" t="s">
        <v>513</v>
      </c>
      <c r="F521" s="34" t="s">
        <v>156</v>
      </c>
      <c r="G521" s="34" t="s">
        <v>1566</v>
      </c>
      <c r="H521" s="35" t="s">
        <v>26</v>
      </c>
      <c r="I521" s="35" t="s">
        <v>27</v>
      </c>
      <c r="J521" s="35" t="s">
        <v>100</v>
      </c>
      <c r="K521" s="57"/>
      <c r="L521" s="84"/>
    </row>
    <row r="522">
      <c r="A522" s="31" t="s">
        <v>1567</v>
      </c>
      <c r="B522" s="32" t="s">
        <v>1568</v>
      </c>
      <c r="C522" s="33">
        <v>45730.0</v>
      </c>
      <c r="D522" s="69" t="s">
        <v>22</v>
      </c>
      <c r="E522" s="32" t="s">
        <v>895</v>
      </c>
      <c r="F522" s="34" t="s">
        <v>156</v>
      </c>
      <c r="G522" s="34" t="s">
        <v>454</v>
      </c>
      <c r="H522" s="35" t="s">
        <v>26</v>
      </c>
      <c r="I522" s="35" t="s">
        <v>27</v>
      </c>
      <c r="J522" s="57"/>
      <c r="K522" s="57"/>
      <c r="L522" s="84"/>
    </row>
    <row r="523">
      <c r="A523" s="31" t="s">
        <v>1569</v>
      </c>
      <c r="B523" s="32" t="s">
        <v>1570</v>
      </c>
      <c r="C523" s="33">
        <v>45730.0</v>
      </c>
      <c r="D523" s="34" t="s">
        <v>22</v>
      </c>
      <c r="E523" s="32" t="s">
        <v>73</v>
      </c>
      <c r="F523" s="34" t="s">
        <v>24</v>
      </c>
      <c r="G523" s="34" t="s">
        <v>526</v>
      </c>
      <c r="H523" s="35" t="s">
        <v>26</v>
      </c>
      <c r="I523" s="58" t="str">
        <f>HYPERLINK("https://open.spotify.com/album/7r0Nu0GsAu0RFZWaWjMcXz", "S")</f>
        <v>S</v>
      </c>
      <c r="J523" s="57"/>
      <c r="K523" s="57"/>
      <c r="L523" s="84"/>
    </row>
    <row r="524">
      <c r="A524" s="31" t="s">
        <v>1571</v>
      </c>
      <c r="B524" s="32" t="s">
        <v>1572</v>
      </c>
      <c r="C524" s="33">
        <v>45730.0</v>
      </c>
      <c r="D524" s="34" t="s">
        <v>22</v>
      </c>
      <c r="E524" s="32" t="s">
        <v>122</v>
      </c>
      <c r="F524" s="34" t="s">
        <v>31</v>
      </c>
      <c r="G524" s="34" t="s">
        <v>336</v>
      </c>
      <c r="H524" s="35" t="s">
        <v>26</v>
      </c>
      <c r="I524" s="35" t="s">
        <v>27</v>
      </c>
      <c r="J524" s="35" t="s">
        <v>100</v>
      </c>
      <c r="K524" s="57"/>
      <c r="L524" s="84"/>
    </row>
    <row r="525">
      <c r="A525" s="31" t="s">
        <v>1573</v>
      </c>
      <c r="B525" s="32" t="s">
        <v>1574</v>
      </c>
      <c r="C525" s="33">
        <v>45730.0</v>
      </c>
      <c r="D525" s="34" t="s">
        <v>22</v>
      </c>
      <c r="E525" s="32" t="s">
        <v>61</v>
      </c>
      <c r="F525" s="34" t="s">
        <v>24</v>
      </c>
      <c r="G525" s="34" t="s">
        <v>213</v>
      </c>
      <c r="H525" s="35" t="s">
        <v>26</v>
      </c>
      <c r="I525" s="35" t="s">
        <v>27</v>
      </c>
      <c r="J525" s="57"/>
      <c r="K525" s="57"/>
      <c r="L525" s="84"/>
    </row>
    <row r="526">
      <c r="A526" s="31" t="s">
        <v>1575</v>
      </c>
      <c r="B526" s="32" t="s">
        <v>1576</v>
      </c>
      <c r="C526" s="33">
        <v>45730.0</v>
      </c>
      <c r="D526" s="34" t="s">
        <v>22</v>
      </c>
      <c r="E526" s="32" t="s">
        <v>1577</v>
      </c>
      <c r="F526" s="34" t="s">
        <v>24</v>
      </c>
      <c r="G526" s="34" t="s">
        <v>41</v>
      </c>
      <c r="H526" s="35" t="s">
        <v>26</v>
      </c>
      <c r="I526" s="35" t="s">
        <v>27</v>
      </c>
      <c r="J526" s="57"/>
      <c r="K526" s="57"/>
      <c r="L526" s="84"/>
    </row>
    <row r="527">
      <c r="A527" s="31" t="s">
        <v>1578</v>
      </c>
      <c r="B527" s="32" t="s">
        <v>1579</v>
      </c>
      <c r="C527" s="33">
        <v>45730.0</v>
      </c>
      <c r="D527" s="34" t="s">
        <v>22</v>
      </c>
      <c r="E527" s="32" t="s">
        <v>1580</v>
      </c>
      <c r="F527" s="34" t="s">
        <v>53</v>
      </c>
      <c r="G527" s="34" t="s">
        <v>923</v>
      </c>
      <c r="H527" s="35" t="s">
        <v>26</v>
      </c>
      <c r="I527" s="35" t="s">
        <v>27</v>
      </c>
      <c r="J527" s="35" t="s">
        <v>100</v>
      </c>
      <c r="K527" s="57"/>
      <c r="L527" s="84"/>
    </row>
    <row r="528">
      <c r="A528" s="31" t="s">
        <v>1581</v>
      </c>
      <c r="B528" s="32" t="s">
        <v>1582</v>
      </c>
      <c r="C528" s="33">
        <v>45730.0</v>
      </c>
      <c r="D528" s="47" t="s">
        <v>22</v>
      </c>
      <c r="E528" s="32" t="s">
        <v>84</v>
      </c>
      <c r="F528" s="34" t="s">
        <v>53</v>
      </c>
      <c r="G528" s="34" t="s">
        <v>1583</v>
      </c>
      <c r="H528" s="35" t="s">
        <v>26</v>
      </c>
      <c r="I528" s="35" t="s">
        <v>27</v>
      </c>
      <c r="J528" s="57"/>
      <c r="K528" s="57"/>
      <c r="L528" s="84"/>
    </row>
    <row r="529">
      <c r="A529" s="32" t="s">
        <v>1584</v>
      </c>
      <c r="B529" s="32" t="s">
        <v>1585</v>
      </c>
      <c r="C529" s="33">
        <v>45730.0</v>
      </c>
      <c r="D529" s="34" t="s">
        <v>39</v>
      </c>
      <c r="E529" s="32" t="s">
        <v>433</v>
      </c>
      <c r="F529" s="34" t="s">
        <v>31</v>
      </c>
      <c r="G529" s="34" t="s">
        <v>292</v>
      </c>
      <c r="H529" s="35" t="s">
        <v>26</v>
      </c>
      <c r="I529" s="35" t="s">
        <v>27</v>
      </c>
      <c r="J529" s="57"/>
      <c r="K529" s="57"/>
      <c r="L529" s="84"/>
    </row>
    <row r="530">
      <c r="A530" s="32" t="s">
        <v>1586</v>
      </c>
      <c r="B530" s="32" t="s">
        <v>1587</v>
      </c>
      <c r="C530" s="33">
        <v>45730.0</v>
      </c>
      <c r="D530" s="47" t="s">
        <v>22</v>
      </c>
      <c r="E530" s="32" t="s">
        <v>252</v>
      </c>
      <c r="F530" s="34" t="s">
        <v>53</v>
      </c>
      <c r="G530" s="34" t="s">
        <v>442</v>
      </c>
      <c r="H530" s="35" t="s">
        <v>26</v>
      </c>
      <c r="I530" s="35" t="s">
        <v>27</v>
      </c>
      <c r="J530" s="57"/>
      <c r="K530" s="57"/>
      <c r="L530" s="84"/>
    </row>
    <row r="531">
      <c r="A531" s="32" t="s">
        <v>1588</v>
      </c>
      <c r="B531" s="32" t="s">
        <v>1589</v>
      </c>
      <c r="C531" s="33">
        <v>45730.0</v>
      </c>
      <c r="D531" s="34" t="s">
        <v>22</v>
      </c>
      <c r="E531" s="32" t="s">
        <v>122</v>
      </c>
      <c r="F531" s="34" t="s">
        <v>1430</v>
      </c>
      <c r="G531" s="34" t="s">
        <v>302</v>
      </c>
      <c r="H531" s="35" t="s">
        <v>26</v>
      </c>
      <c r="I531" s="35" t="s">
        <v>27</v>
      </c>
      <c r="J531" s="35" t="s">
        <v>100</v>
      </c>
      <c r="K531" s="57"/>
      <c r="L531" s="84"/>
    </row>
    <row r="532">
      <c r="A532" s="32" t="s">
        <v>1590</v>
      </c>
      <c r="B532" s="32" t="s">
        <v>1591</v>
      </c>
      <c r="C532" s="33">
        <v>45730.0</v>
      </c>
      <c r="D532" s="34" t="s">
        <v>22</v>
      </c>
      <c r="E532" s="32" t="s">
        <v>1592</v>
      </c>
      <c r="F532" s="34" t="s">
        <v>156</v>
      </c>
      <c r="G532" s="34" t="s">
        <v>199</v>
      </c>
      <c r="H532" s="35" t="s">
        <v>26</v>
      </c>
      <c r="I532" s="35" t="s">
        <v>27</v>
      </c>
      <c r="J532" s="57"/>
      <c r="K532" s="57"/>
      <c r="L532" s="84"/>
    </row>
    <row r="533">
      <c r="A533" s="32" t="s">
        <v>1593</v>
      </c>
      <c r="B533" s="32" t="s">
        <v>1594</v>
      </c>
      <c r="C533" s="33">
        <v>45730.0</v>
      </c>
      <c r="D533" s="47" t="s">
        <v>22</v>
      </c>
      <c r="E533" s="32" t="s">
        <v>1595</v>
      </c>
      <c r="F533" s="34" t="s">
        <v>24</v>
      </c>
      <c r="G533" s="34" t="s">
        <v>1596</v>
      </c>
      <c r="H533" s="35" t="s">
        <v>26</v>
      </c>
      <c r="I533" s="35" t="s">
        <v>27</v>
      </c>
      <c r="J533" s="57"/>
      <c r="K533" s="57"/>
      <c r="L533" s="84"/>
    </row>
    <row r="534">
      <c r="A534" s="32" t="s">
        <v>1597</v>
      </c>
      <c r="B534" s="32" t="s">
        <v>1598</v>
      </c>
      <c r="C534" s="33">
        <v>45730.0</v>
      </c>
      <c r="D534" s="34" t="s">
        <v>22</v>
      </c>
      <c r="E534" s="32" t="s">
        <v>61</v>
      </c>
      <c r="F534" s="34" t="s">
        <v>24</v>
      </c>
      <c r="G534" s="34" t="s">
        <v>342</v>
      </c>
      <c r="H534" s="35" t="s">
        <v>26</v>
      </c>
      <c r="I534" s="35" t="s">
        <v>27</v>
      </c>
      <c r="J534" s="35" t="s">
        <v>100</v>
      </c>
      <c r="K534" s="57"/>
      <c r="L534" s="84"/>
    </row>
    <row r="535">
      <c r="A535" s="32" t="s">
        <v>1599</v>
      </c>
      <c r="B535" s="32" t="s">
        <v>1600</v>
      </c>
      <c r="C535" s="33">
        <v>45730.0</v>
      </c>
      <c r="D535" s="47" t="s">
        <v>22</v>
      </c>
      <c r="E535" s="32" t="s">
        <v>701</v>
      </c>
      <c r="F535" s="34" t="s">
        <v>24</v>
      </c>
      <c r="G535" s="34" t="s">
        <v>177</v>
      </c>
      <c r="H535" s="35" t="s">
        <v>26</v>
      </c>
      <c r="I535" s="35" t="s">
        <v>27</v>
      </c>
      <c r="J535" s="57"/>
      <c r="K535" s="57"/>
      <c r="L535" s="84"/>
    </row>
    <row r="536">
      <c r="A536" s="31" t="s">
        <v>1601</v>
      </c>
      <c r="B536" s="32" t="s">
        <v>1602</v>
      </c>
      <c r="C536" s="59">
        <v>45730.0</v>
      </c>
      <c r="D536" s="34" t="s">
        <v>22</v>
      </c>
      <c r="E536" s="32" t="s">
        <v>1603</v>
      </c>
      <c r="F536" s="34" t="s">
        <v>53</v>
      </c>
      <c r="G536" s="34" t="s">
        <v>1604</v>
      </c>
      <c r="H536" s="35" t="s">
        <v>26</v>
      </c>
      <c r="I536" s="35" t="s">
        <v>27</v>
      </c>
      <c r="J536" s="57"/>
      <c r="K536" s="57"/>
      <c r="L536" s="84"/>
    </row>
    <row r="537">
      <c r="A537" s="32" t="s">
        <v>1605</v>
      </c>
      <c r="B537" s="32" t="s">
        <v>1606</v>
      </c>
      <c r="C537" s="33">
        <v>45730.0</v>
      </c>
      <c r="D537" s="34" t="s">
        <v>39</v>
      </c>
      <c r="E537" s="32" t="s">
        <v>122</v>
      </c>
      <c r="F537" s="34" t="s">
        <v>31</v>
      </c>
      <c r="G537" s="34" t="s">
        <v>116</v>
      </c>
      <c r="H537" s="35" t="s">
        <v>26</v>
      </c>
      <c r="I537" s="35" t="s">
        <v>27</v>
      </c>
      <c r="J537" s="57"/>
      <c r="K537" s="57"/>
      <c r="L537" s="84"/>
    </row>
    <row r="538">
      <c r="A538" s="32" t="s">
        <v>1607</v>
      </c>
      <c r="B538" s="32" t="s">
        <v>1608</v>
      </c>
      <c r="C538" s="33">
        <v>45730.0</v>
      </c>
      <c r="D538" s="34" t="s">
        <v>22</v>
      </c>
      <c r="E538" s="32" t="s">
        <v>1609</v>
      </c>
      <c r="F538" s="34" t="s">
        <v>53</v>
      </c>
      <c r="G538" s="34" t="s">
        <v>1067</v>
      </c>
      <c r="H538" s="35" t="s">
        <v>26</v>
      </c>
      <c r="I538" s="36" t="str">
        <f>HYPERLINK("https://open.spotify.com/album/3XFjD1gSLcYRQTUmcuyNGZ", "S")</f>
        <v>S</v>
      </c>
      <c r="J538" s="57"/>
      <c r="K538" s="57"/>
      <c r="L538" s="84"/>
    </row>
    <row r="539">
      <c r="A539" s="32" t="s">
        <v>1610</v>
      </c>
      <c r="B539" s="32" t="s">
        <v>1611</v>
      </c>
      <c r="C539" s="33">
        <v>45730.0</v>
      </c>
      <c r="D539" s="47" t="s">
        <v>39</v>
      </c>
      <c r="E539" s="32" t="s">
        <v>77</v>
      </c>
      <c r="F539" s="34" t="s">
        <v>53</v>
      </c>
      <c r="G539" s="34" t="s">
        <v>602</v>
      </c>
      <c r="H539" s="35" t="s">
        <v>26</v>
      </c>
      <c r="I539" s="35" t="s">
        <v>27</v>
      </c>
      <c r="J539" s="35" t="s">
        <v>100</v>
      </c>
      <c r="K539" s="57"/>
      <c r="L539" s="84"/>
    </row>
    <row r="540">
      <c r="A540" s="32" t="s">
        <v>1612</v>
      </c>
      <c r="B540" s="32" t="s">
        <v>1613</v>
      </c>
      <c r="C540" s="33">
        <v>45730.0</v>
      </c>
      <c r="D540" s="34" t="s">
        <v>22</v>
      </c>
      <c r="E540" s="32" t="s">
        <v>1614</v>
      </c>
      <c r="F540" s="34" t="s">
        <v>53</v>
      </c>
      <c r="G540" s="34" t="s">
        <v>599</v>
      </c>
      <c r="H540" s="35" t="s">
        <v>26</v>
      </c>
      <c r="I540" s="35" t="s">
        <v>27</v>
      </c>
      <c r="J540" s="57"/>
      <c r="K540" s="57"/>
      <c r="L540" s="84"/>
    </row>
    <row r="541">
      <c r="A541" s="31" t="s">
        <v>1615</v>
      </c>
      <c r="B541" s="32" t="s">
        <v>1616</v>
      </c>
      <c r="C541" s="33">
        <v>45731.0</v>
      </c>
      <c r="D541" s="34" t="s">
        <v>22</v>
      </c>
      <c r="E541" s="32" t="s">
        <v>643</v>
      </c>
      <c r="F541" s="34" t="s">
        <v>53</v>
      </c>
      <c r="G541" s="34" t="s">
        <v>1617</v>
      </c>
      <c r="H541" s="35" t="s">
        <v>26</v>
      </c>
      <c r="I541" s="36" t="str">
        <f>HYPERLINK("https://open.spotify.com/album/6FGMHU75Gtc9nVnTL7wpOk", "S")</f>
        <v>S</v>
      </c>
      <c r="J541" s="35" t="s">
        <v>100</v>
      </c>
      <c r="K541" s="57"/>
      <c r="L541" s="84"/>
    </row>
    <row r="542">
      <c r="A542" s="31" t="s">
        <v>1618</v>
      </c>
      <c r="B542" s="32" t="s">
        <v>1619</v>
      </c>
      <c r="C542" s="33">
        <v>45731.0</v>
      </c>
      <c r="D542" s="47" t="s">
        <v>39</v>
      </c>
      <c r="E542" s="32" t="s">
        <v>1620</v>
      </c>
      <c r="F542" s="34" t="s">
        <v>53</v>
      </c>
      <c r="G542" s="34" t="s">
        <v>1621</v>
      </c>
      <c r="H542" s="35" t="s">
        <v>26</v>
      </c>
      <c r="I542" s="35" t="s">
        <v>27</v>
      </c>
      <c r="J542" s="57"/>
      <c r="K542" s="57"/>
      <c r="L542" s="84"/>
    </row>
    <row r="543">
      <c r="A543" s="31" t="s">
        <v>1622</v>
      </c>
      <c r="B543" s="32" t="s">
        <v>1623</v>
      </c>
      <c r="C543" s="33">
        <v>45731.0</v>
      </c>
      <c r="D543" s="34" t="s">
        <v>22</v>
      </c>
      <c r="E543" s="32" t="s">
        <v>535</v>
      </c>
      <c r="F543" s="34" t="s">
        <v>24</v>
      </c>
      <c r="G543" s="34" t="s">
        <v>221</v>
      </c>
      <c r="H543" s="35" t="s">
        <v>26</v>
      </c>
      <c r="I543" s="35" t="s">
        <v>27</v>
      </c>
      <c r="J543" s="57"/>
      <c r="K543" s="57"/>
      <c r="L543" s="84"/>
    </row>
    <row r="544">
      <c r="A544" s="32" t="s">
        <v>1624</v>
      </c>
      <c r="B544" s="32" t="s">
        <v>1625</v>
      </c>
      <c r="C544" s="33">
        <v>45731.0</v>
      </c>
      <c r="D544" s="47" t="s">
        <v>39</v>
      </c>
      <c r="E544" s="32" t="s">
        <v>1626</v>
      </c>
      <c r="F544" s="34" t="s">
        <v>24</v>
      </c>
      <c r="G544" s="34" t="s">
        <v>1627</v>
      </c>
      <c r="H544" s="35" t="s">
        <v>26</v>
      </c>
      <c r="I544" s="57"/>
      <c r="J544" s="57"/>
      <c r="K544" s="57"/>
      <c r="L544" s="84"/>
    </row>
    <row r="545">
      <c r="A545" s="32" t="s">
        <v>1628</v>
      </c>
      <c r="B545" s="32" t="s">
        <v>1629</v>
      </c>
      <c r="C545" s="33">
        <v>45731.0</v>
      </c>
      <c r="D545" s="47" t="s">
        <v>22</v>
      </c>
      <c r="E545" s="32" t="s">
        <v>122</v>
      </c>
      <c r="F545" s="34" t="s">
        <v>53</v>
      </c>
      <c r="G545" s="34" t="s">
        <v>119</v>
      </c>
      <c r="H545" s="35" t="s">
        <v>26</v>
      </c>
      <c r="I545" s="35" t="s">
        <v>27</v>
      </c>
      <c r="J545" s="57"/>
      <c r="K545" s="57"/>
      <c r="L545" s="84"/>
    </row>
    <row r="546">
      <c r="A546" s="32" t="s">
        <v>1630</v>
      </c>
      <c r="B546" s="32" t="s">
        <v>1631</v>
      </c>
      <c r="C546" s="33">
        <v>45731.0</v>
      </c>
      <c r="D546" s="34" t="s">
        <v>22</v>
      </c>
      <c r="E546" s="32" t="s">
        <v>817</v>
      </c>
      <c r="F546" s="34" t="s">
        <v>53</v>
      </c>
      <c r="G546" s="34" t="s">
        <v>1632</v>
      </c>
      <c r="H546" s="35" t="s">
        <v>26</v>
      </c>
      <c r="I546" s="35" t="s">
        <v>27</v>
      </c>
      <c r="J546" s="57"/>
      <c r="K546" s="57"/>
      <c r="L546" s="84"/>
    </row>
    <row r="547">
      <c r="A547" s="32" t="s">
        <v>1633</v>
      </c>
      <c r="B547" s="32" t="s">
        <v>1634</v>
      </c>
      <c r="C547" s="33">
        <v>45733.0</v>
      </c>
      <c r="D547" s="34" t="s">
        <v>22</v>
      </c>
      <c r="E547" s="32" t="s">
        <v>1635</v>
      </c>
      <c r="F547" s="34" t="s">
        <v>53</v>
      </c>
      <c r="G547" s="34" t="s">
        <v>32</v>
      </c>
      <c r="H547" s="35" t="s">
        <v>26</v>
      </c>
      <c r="I547" s="36" t="str">
        <f>HYPERLINK("https://open.spotify.com/album/7dVbIQ20TzWLHrNtXOTVCs", "S")</f>
        <v>S</v>
      </c>
      <c r="J547" s="57"/>
      <c r="K547" s="57"/>
      <c r="L547" s="84"/>
    </row>
    <row r="548">
      <c r="A548" s="31" t="s">
        <v>1636</v>
      </c>
      <c r="B548" s="32" t="s">
        <v>1637</v>
      </c>
      <c r="C548" s="45">
        <v>45734.0</v>
      </c>
      <c r="D548" s="34" t="s">
        <v>22</v>
      </c>
      <c r="E548" s="32" t="s">
        <v>331</v>
      </c>
      <c r="F548" s="34" t="s">
        <v>156</v>
      </c>
      <c r="G548" s="34" t="s">
        <v>1638</v>
      </c>
      <c r="H548" s="35" t="s">
        <v>26</v>
      </c>
      <c r="I548" s="36" t="str">
        <f>HYPERLINK("https://open.spotify.com/album/23DH4v75ZVEYviIqMBZtWR", "S")</f>
        <v>S</v>
      </c>
      <c r="J548" s="57"/>
      <c r="K548" s="57"/>
      <c r="L548" s="84"/>
    </row>
    <row r="549">
      <c r="A549" s="31" t="s">
        <v>1639</v>
      </c>
      <c r="B549" s="32" t="s">
        <v>1640</v>
      </c>
      <c r="C549" s="33">
        <v>45734.0</v>
      </c>
      <c r="D549" s="34" t="s">
        <v>39</v>
      </c>
      <c r="E549" s="32" t="s">
        <v>1641</v>
      </c>
      <c r="F549" s="34" t="s">
        <v>24</v>
      </c>
      <c r="G549" s="34" t="s">
        <v>884</v>
      </c>
      <c r="H549" s="35" t="s">
        <v>26</v>
      </c>
      <c r="I549" s="36" t="str">
        <f>HYPERLINK("https://open.spotify.com/album/1fpj98O8mHUP1y8sDrmpyy", "S")</f>
        <v>S</v>
      </c>
      <c r="J549" s="57"/>
      <c r="K549" s="57"/>
      <c r="L549" s="84"/>
    </row>
    <row r="550">
      <c r="A550" s="31" t="s">
        <v>1642</v>
      </c>
      <c r="B550" s="32" t="s">
        <v>1643</v>
      </c>
      <c r="C550" s="33">
        <v>45736.0</v>
      </c>
      <c r="D550" s="34" t="s">
        <v>22</v>
      </c>
      <c r="E550" s="32" t="s">
        <v>122</v>
      </c>
      <c r="F550" s="34" t="s">
        <v>156</v>
      </c>
      <c r="G550" s="34" t="s">
        <v>430</v>
      </c>
      <c r="H550" s="35" t="s">
        <v>26</v>
      </c>
      <c r="I550" s="36" t="str">
        <f>HYPERLINK("https://open.spotify.com/album/2MzoiSawmmwZycn8lboXpp", "S")</f>
        <v>S</v>
      </c>
      <c r="J550" s="57"/>
      <c r="K550" s="57"/>
      <c r="L550" s="84"/>
    </row>
    <row r="551">
      <c r="A551" s="31" t="s">
        <v>1644</v>
      </c>
      <c r="B551" s="32" t="s">
        <v>1645</v>
      </c>
      <c r="C551" s="33">
        <v>45736.0</v>
      </c>
      <c r="D551" s="34" t="s">
        <v>22</v>
      </c>
      <c r="E551" s="32" t="s">
        <v>325</v>
      </c>
      <c r="F551" s="34" t="s">
        <v>156</v>
      </c>
      <c r="G551" s="34" t="s">
        <v>469</v>
      </c>
      <c r="H551" s="35" t="s">
        <v>26</v>
      </c>
      <c r="I551" s="36" t="str">
        <f>HYPERLINK("https://open.spotify.com/album/2xgwuU03C8iZPSvWYRktxo", "S")</f>
        <v>S</v>
      </c>
      <c r="J551" s="35" t="s">
        <v>100</v>
      </c>
      <c r="K551" s="57"/>
      <c r="L551" s="84"/>
    </row>
    <row r="552">
      <c r="A552" s="31" t="s">
        <v>1646</v>
      </c>
      <c r="B552" s="32" t="s">
        <v>1647</v>
      </c>
      <c r="C552" s="33">
        <v>45736.0</v>
      </c>
      <c r="D552" s="69" t="s">
        <v>22</v>
      </c>
      <c r="E552" s="32" t="s">
        <v>1648</v>
      </c>
      <c r="F552" s="34" t="s">
        <v>156</v>
      </c>
      <c r="G552" s="34" t="s">
        <v>1649</v>
      </c>
      <c r="H552" s="35" t="s">
        <v>26</v>
      </c>
      <c r="I552" s="36" t="str">
        <f>HYPERLINK("https://open.spotify.com/album/0HZxeK1XCUvEznnwQTGa0l", "S")</f>
        <v>S</v>
      </c>
      <c r="J552" s="57"/>
      <c r="K552" s="57"/>
      <c r="L552" s="84"/>
    </row>
    <row r="553">
      <c r="A553" s="67">
        <v>54.0</v>
      </c>
      <c r="B553" s="32" t="s">
        <v>1650</v>
      </c>
      <c r="C553" s="33">
        <v>45736.0</v>
      </c>
      <c r="D553" s="47" t="s">
        <v>22</v>
      </c>
      <c r="E553" s="32" t="s">
        <v>1651</v>
      </c>
      <c r="F553" s="34" t="s">
        <v>53</v>
      </c>
      <c r="G553" s="34" t="s">
        <v>1652</v>
      </c>
      <c r="H553" s="35" t="s">
        <v>26</v>
      </c>
      <c r="I553" s="36" t="str">
        <f>HYPERLINK("https://open.spotify.com/album/401TwTpof7Dism3ejpyfg9", "S")</f>
        <v>S</v>
      </c>
      <c r="J553" s="35" t="s">
        <v>100</v>
      </c>
      <c r="K553" s="57"/>
      <c r="L553" s="84"/>
    </row>
    <row r="554">
      <c r="A554" s="32" t="s">
        <v>1653</v>
      </c>
      <c r="B554" s="32" t="s">
        <v>1654</v>
      </c>
      <c r="C554" s="33">
        <v>45736.0</v>
      </c>
      <c r="D554" s="47" t="s">
        <v>22</v>
      </c>
      <c r="E554" s="32" t="s">
        <v>1655</v>
      </c>
      <c r="F554" s="34" t="s">
        <v>24</v>
      </c>
      <c r="G554" s="34" t="s">
        <v>1261</v>
      </c>
      <c r="H554" s="35" t="s">
        <v>26</v>
      </c>
      <c r="I554" s="66"/>
      <c r="J554" s="57"/>
      <c r="K554" s="57"/>
      <c r="L554" s="84"/>
    </row>
    <row r="555">
      <c r="A555" s="32" t="s">
        <v>1656</v>
      </c>
      <c r="B555" s="32" t="s">
        <v>1657</v>
      </c>
      <c r="C555" s="33">
        <v>45736.0</v>
      </c>
      <c r="D555" s="34" t="s">
        <v>22</v>
      </c>
      <c r="E555" s="32" t="s">
        <v>1658</v>
      </c>
      <c r="F555" s="34" t="s">
        <v>24</v>
      </c>
      <c r="G555" s="34" t="s">
        <v>1659</v>
      </c>
      <c r="H555" s="35" t="s">
        <v>26</v>
      </c>
      <c r="I555" s="35" t="s">
        <v>27</v>
      </c>
      <c r="J555" s="57"/>
      <c r="K555" s="57"/>
      <c r="L555" s="84"/>
    </row>
    <row r="556">
      <c r="A556" s="32" t="s">
        <v>1660</v>
      </c>
      <c r="B556" s="32" t="s">
        <v>1661</v>
      </c>
      <c r="C556" s="33">
        <v>45736.0</v>
      </c>
      <c r="D556" s="34" t="s">
        <v>22</v>
      </c>
      <c r="E556" s="32" t="s">
        <v>1662</v>
      </c>
      <c r="F556" s="34" t="s">
        <v>24</v>
      </c>
      <c r="G556" s="34" t="s">
        <v>32</v>
      </c>
      <c r="H556" s="35" t="s">
        <v>26</v>
      </c>
      <c r="I556" s="66"/>
      <c r="J556" s="57"/>
      <c r="K556" s="57"/>
      <c r="L556" s="84"/>
    </row>
    <row r="557">
      <c r="A557" s="32" t="s">
        <v>1663</v>
      </c>
      <c r="B557" s="32" t="s">
        <v>1664</v>
      </c>
      <c r="C557" s="33">
        <v>45737.0</v>
      </c>
      <c r="D557" s="34" t="s">
        <v>22</v>
      </c>
      <c r="E557" s="32" t="s">
        <v>73</v>
      </c>
      <c r="F557" s="34" t="s">
        <v>24</v>
      </c>
      <c r="G557" s="34" t="s">
        <v>181</v>
      </c>
      <c r="H557" s="35" t="s">
        <v>26</v>
      </c>
      <c r="I557" s="35" t="s">
        <v>27</v>
      </c>
      <c r="J557" s="57"/>
      <c r="K557" s="57"/>
      <c r="L557" s="84"/>
    </row>
    <row r="558">
      <c r="A558" s="32" t="s">
        <v>1665</v>
      </c>
      <c r="B558" s="32" t="s">
        <v>1666</v>
      </c>
      <c r="C558" s="33">
        <v>45737.0</v>
      </c>
      <c r="D558" s="34" t="s">
        <v>39</v>
      </c>
      <c r="E558" s="32" t="s">
        <v>122</v>
      </c>
      <c r="F558" s="34" t="s">
        <v>53</v>
      </c>
      <c r="G558" s="34" t="s">
        <v>1667</v>
      </c>
      <c r="H558" s="35" t="s">
        <v>26</v>
      </c>
      <c r="I558" s="35" t="s">
        <v>27</v>
      </c>
      <c r="J558" s="57"/>
      <c r="K558" s="57"/>
      <c r="L558" s="84"/>
    </row>
    <row r="559">
      <c r="A559" s="32" t="s">
        <v>1668</v>
      </c>
      <c r="B559" s="32" t="s">
        <v>1669</v>
      </c>
      <c r="C559" s="33">
        <v>45737.0</v>
      </c>
      <c r="D559" s="34" t="s">
        <v>22</v>
      </c>
      <c r="E559" s="32" t="s">
        <v>1670</v>
      </c>
      <c r="F559" s="34" t="s">
        <v>156</v>
      </c>
      <c r="G559" s="34" t="s">
        <v>299</v>
      </c>
      <c r="H559" s="66"/>
      <c r="I559" s="35" t="s">
        <v>27</v>
      </c>
      <c r="J559" s="57"/>
      <c r="K559" s="57"/>
      <c r="L559" s="84"/>
    </row>
    <row r="560">
      <c r="A560" s="32" t="s">
        <v>1671</v>
      </c>
      <c r="B560" s="32" t="s">
        <v>1672</v>
      </c>
      <c r="C560" s="33">
        <v>45737.0</v>
      </c>
      <c r="D560" s="34" t="s">
        <v>22</v>
      </c>
      <c r="E560" s="32" t="s">
        <v>160</v>
      </c>
      <c r="F560" s="34" t="s">
        <v>53</v>
      </c>
      <c r="G560" s="34" t="s">
        <v>1673</v>
      </c>
      <c r="H560" s="35" t="s">
        <v>26</v>
      </c>
      <c r="I560" s="35" t="s">
        <v>27</v>
      </c>
      <c r="J560" s="57"/>
      <c r="K560" s="57"/>
      <c r="L560" s="84"/>
    </row>
    <row r="561">
      <c r="A561" s="31" t="s">
        <v>1674</v>
      </c>
      <c r="B561" s="32" t="s">
        <v>1674</v>
      </c>
      <c r="C561" s="33">
        <v>45737.0</v>
      </c>
      <c r="D561" s="47" t="s">
        <v>22</v>
      </c>
      <c r="E561" s="32" t="s">
        <v>61</v>
      </c>
      <c r="F561" s="34" t="s">
        <v>24</v>
      </c>
      <c r="G561" s="34" t="s">
        <v>41</v>
      </c>
      <c r="H561" s="35" t="s">
        <v>26</v>
      </c>
      <c r="I561" s="35" t="s">
        <v>27</v>
      </c>
      <c r="J561" s="35" t="s">
        <v>100</v>
      </c>
      <c r="K561" s="57"/>
      <c r="L561" s="84"/>
    </row>
    <row r="562">
      <c r="A562" s="31" t="s">
        <v>1675</v>
      </c>
      <c r="B562" s="32" t="s">
        <v>1676</v>
      </c>
      <c r="C562" s="33">
        <v>45737.0</v>
      </c>
      <c r="D562" s="34" t="s">
        <v>22</v>
      </c>
      <c r="E562" s="32" t="s">
        <v>1677</v>
      </c>
      <c r="F562" s="34" t="s">
        <v>53</v>
      </c>
      <c r="G562" s="34" t="s">
        <v>1678</v>
      </c>
      <c r="H562" s="66"/>
      <c r="I562" s="35" t="s">
        <v>27</v>
      </c>
      <c r="J562" s="57"/>
      <c r="K562" s="57"/>
      <c r="L562" s="84"/>
    </row>
    <row r="563">
      <c r="A563" s="31" t="s">
        <v>1679</v>
      </c>
      <c r="B563" s="32" t="s">
        <v>1680</v>
      </c>
      <c r="C563" s="33">
        <v>45737.0</v>
      </c>
      <c r="D563" s="34" t="s">
        <v>22</v>
      </c>
      <c r="E563" s="32" t="s">
        <v>513</v>
      </c>
      <c r="F563" s="34" t="s">
        <v>156</v>
      </c>
      <c r="G563" s="34" t="s">
        <v>365</v>
      </c>
      <c r="H563" s="35" t="s">
        <v>26</v>
      </c>
      <c r="I563" s="36" t="str">
        <f>HYPERLINK("https://open.spotify.com/album/54dqJwP9PsbxHuyr1kbyg5", "S")</f>
        <v>S</v>
      </c>
      <c r="J563" s="57"/>
      <c r="K563" s="57"/>
      <c r="L563" s="84"/>
    </row>
    <row r="564">
      <c r="A564" s="31" t="s">
        <v>1681</v>
      </c>
      <c r="B564" s="32" t="s">
        <v>1682</v>
      </c>
      <c r="C564" s="33">
        <v>45737.0</v>
      </c>
      <c r="D564" s="34" t="s">
        <v>22</v>
      </c>
      <c r="E564" s="32" t="s">
        <v>129</v>
      </c>
      <c r="F564" s="34" t="s">
        <v>24</v>
      </c>
      <c r="G564" s="34" t="s">
        <v>1683</v>
      </c>
      <c r="H564" s="35" t="s">
        <v>26</v>
      </c>
      <c r="I564" s="58" t="str">
        <f>HYPERLINK("https://open.spotify.com/album/60l5egfnvt4lQJ0XAiJtuX", "S")</f>
        <v>S</v>
      </c>
      <c r="J564" s="35" t="s">
        <v>100</v>
      </c>
      <c r="K564" s="57"/>
      <c r="L564" s="84"/>
    </row>
    <row r="565">
      <c r="A565" s="31" t="s">
        <v>1684</v>
      </c>
      <c r="B565" s="32" t="s">
        <v>1685</v>
      </c>
      <c r="C565" s="33">
        <v>45737.0</v>
      </c>
      <c r="D565" s="34" t="s">
        <v>22</v>
      </c>
      <c r="E565" s="32" t="s">
        <v>1686</v>
      </c>
      <c r="F565" s="34" t="s">
        <v>53</v>
      </c>
      <c r="G565" s="34" t="s">
        <v>1687</v>
      </c>
      <c r="H565" s="35" t="s">
        <v>26</v>
      </c>
      <c r="I565" s="35" t="s">
        <v>27</v>
      </c>
      <c r="J565" s="57"/>
      <c r="K565" s="57"/>
      <c r="L565" s="84"/>
    </row>
    <row r="566">
      <c r="A566" s="31" t="s">
        <v>1688</v>
      </c>
      <c r="B566" s="32" t="s">
        <v>1689</v>
      </c>
      <c r="C566" s="33">
        <v>45737.0</v>
      </c>
      <c r="D566" s="47" t="s">
        <v>39</v>
      </c>
      <c r="E566" s="32" t="s">
        <v>84</v>
      </c>
      <c r="F566" s="34" t="s">
        <v>24</v>
      </c>
      <c r="G566" s="34" t="s">
        <v>62</v>
      </c>
      <c r="H566" s="35" t="s">
        <v>26</v>
      </c>
      <c r="I566" s="35" t="s">
        <v>27</v>
      </c>
      <c r="J566" s="57"/>
      <c r="K566" s="57"/>
      <c r="L566" s="84"/>
    </row>
    <row r="567">
      <c r="A567" s="31" t="s">
        <v>1690</v>
      </c>
      <c r="B567" s="32" t="s">
        <v>1691</v>
      </c>
      <c r="C567" s="33">
        <v>45737.0</v>
      </c>
      <c r="D567" s="47" t="s">
        <v>22</v>
      </c>
      <c r="E567" s="32" t="s">
        <v>436</v>
      </c>
      <c r="F567" s="34" t="s">
        <v>53</v>
      </c>
      <c r="G567" s="34" t="s">
        <v>342</v>
      </c>
      <c r="H567" s="35" t="s">
        <v>26</v>
      </c>
      <c r="I567" s="35" t="s">
        <v>27</v>
      </c>
      <c r="J567" s="57"/>
      <c r="K567" s="57"/>
      <c r="L567" s="84"/>
    </row>
    <row r="568">
      <c r="A568" s="31" t="s">
        <v>1692</v>
      </c>
      <c r="B568" s="32" t="s">
        <v>1693</v>
      </c>
      <c r="C568" s="33">
        <v>45737.0</v>
      </c>
      <c r="D568" s="34" t="s">
        <v>22</v>
      </c>
      <c r="E568" s="32" t="s">
        <v>122</v>
      </c>
      <c r="F568" s="34" t="s">
        <v>31</v>
      </c>
      <c r="G568" s="34" t="s">
        <v>1694</v>
      </c>
      <c r="H568" s="35" t="s">
        <v>26</v>
      </c>
      <c r="I568" s="35" t="s">
        <v>27</v>
      </c>
      <c r="J568" s="57"/>
      <c r="K568" s="57"/>
      <c r="L568" s="84"/>
    </row>
    <row r="569">
      <c r="A569" s="31" t="s">
        <v>1695</v>
      </c>
      <c r="B569" s="32" t="s">
        <v>1696</v>
      </c>
      <c r="C569" s="33">
        <v>45737.0</v>
      </c>
      <c r="D569" s="34" t="s">
        <v>22</v>
      </c>
      <c r="E569" s="32" t="s">
        <v>1697</v>
      </c>
      <c r="F569" s="34" t="s">
        <v>53</v>
      </c>
      <c r="G569" s="34" t="s">
        <v>1698</v>
      </c>
      <c r="H569" s="35" t="s">
        <v>26</v>
      </c>
      <c r="I569" s="35" t="s">
        <v>27</v>
      </c>
      <c r="J569" s="57"/>
      <c r="K569" s="57"/>
      <c r="L569" s="84"/>
    </row>
    <row r="570">
      <c r="A570" s="31" t="s">
        <v>1699</v>
      </c>
      <c r="B570" s="32" t="s">
        <v>1700</v>
      </c>
      <c r="C570" s="33">
        <v>45737.0</v>
      </c>
      <c r="D570" s="34" t="s">
        <v>22</v>
      </c>
      <c r="E570" s="32" t="s">
        <v>1701</v>
      </c>
      <c r="F570" s="34" t="s">
        <v>24</v>
      </c>
      <c r="G570" s="34" t="s">
        <v>96</v>
      </c>
      <c r="H570" s="35" t="s">
        <v>26</v>
      </c>
      <c r="I570" s="35" t="s">
        <v>27</v>
      </c>
      <c r="J570" s="57"/>
      <c r="K570" s="57"/>
      <c r="L570" s="84"/>
    </row>
    <row r="571">
      <c r="A571" s="31" t="s">
        <v>1702</v>
      </c>
      <c r="B571" s="32" t="s">
        <v>1703</v>
      </c>
      <c r="C571" s="33">
        <v>45737.0</v>
      </c>
      <c r="D571" s="47" t="s">
        <v>22</v>
      </c>
      <c r="E571" s="32" t="s">
        <v>122</v>
      </c>
      <c r="F571" s="34" t="s">
        <v>53</v>
      </c>
      <c r="G571" s="34" t="s">
        <v>1704</v>
      </c>
      <c r="H571" s="35" t="s">
        <v>26</v>
      </c>
      <c r="I571" s="35" t="s">
        <v>27</v>
      </c>
      <c r="J571" s="35" t="s">
        <v>100</v>
      </c>
      <c r="K571" s="57"/>
      <c r="L571" s="84"/>
    </row>
    <row r="572">
      <c r="A572" s="31" t="s">
        <v>1705</v>
      </c>
      <c r="B572" s="32" t="s">
        <v>1706</v>
      </c>
      <c r="C572" s="33">
        <v>45737.0</v>
      </c>
      <c r="D572" s="34" t="s">
        <v>22</v>
      </c>
      <c r="E572" s="32" t="s">
        <v>61</v>
      </c>
      <c r="F572" s="34" t="s">
        <v>24</v>
      </c>
      <c r="G572" s="34" t="s">
        <v>279</v>
      </c>
      <c r="H572" s="66"/>
      <c r="I572" s="35" t="s">
        <v>27</v>
      </c>
      <c r="J572" s="57"/>
      <c r="K572" s="57"/>
      <c r="L572" s="84"/>
    </row>
    <row r="573">
      <c r="A573" s="31" t="s">
        <v>1707</v>
      </c>
      <c r="B573" s="32" t="s">
        <v>1708</v>
      </c>
      <c r="C573" s="33">
        <v>45737.0</v>
      </c>
      <c r="D573" s="34" t="s">
        <v>22</v>
      </c>
      <c r="E573" s="32" t="s">
        <v>1709</v>
      </c>
      <c r="F573" s="34" t="s">
        <v>24</v>
      </c>
      <c r="G573" s="34" t="s">
        <v>365</v>
      </c>
      <c r="H573" s="35" t="s">
        <v>26</v>
      </c>
      <c r="I573" s="35" t="s">
        <v>27</v>
      </c>
      <c r="J573" s="57"/>
      <c r="K573" s="57"/>
      <c r="L573" s="84"/>
    </row>
    <row r="574">
      <c r="A574" s="31" t="s">
        <v>1710</v>
      </c>
      <c r="B574" s="32" t="s">
        <v>1711</v>
      </c>
      <c r="C574" s="33">
        <v>45737.0</v>
      </c>
      <c r="D574" s="34" t="s">
        <v>22</v>
      </c>
      <c r="E574" s="32" t="s">
        <v>1626</v>
      </c>
      <c r="F574" s="34" t="s">
        <v>24</v>
      </c>
      <c r="G574" s="34" t="s">
        <v>257</v>
      </c>
      <c r="H574" s="35" t="s">
        <v>26</v>
      </c>
      <c r="I574" s="35" t="s">
        <v>27</v>
      </c>
      <c r="J574" s="35" t="s">
        <v>100</v>
      </c>
      <c r="K574" s="57"/>
      <c r="L574" s="84"/>
    </row>
    <row r="575">
      <c r="A575" s="31" t="s">
        <v>1712</v>
      </c>
      <c r="B575" s="32" t="s">
        <v>1713</v>
      </c>
      <c r="C575" s="33">
        <v>45737.0</v>
      </c>
      <c r="D575" s="34" t="s">
        <v>22</v>
      </c>
      <c r="E575" s="32" t="s">
        <v>1714</v>
      </c>
      <c r="F575" s="34" t="s">
        <v>53</v>
      </c>
      <c r="G575" s="34" t="s">
        <v>1209</v>
      </c>
      <c r="H575" s="35" t="s">
        <v>26</v>
      </c>
      <c r="I575" s="35" t="s">
        <v>27</v>
      </c>
      <c r="J575" s="57"/>
      <c r="K575" s="57"/>
      <c r="L575" s="84"/>
    </row>
    <row r="576">
      <c r="A576" s="31" t="s">
        <v>1715</v>
      </c>
      <c r="B576" s="32" t="s">
        <v>1716</v>
      </c>
      <c r="C576" s="33">
        <v>45737.0</v>
      </c>
      <c r="D576" s="34" t="s">
        <v>22</v>
      </c>
      <c r="E576" s="32" t="s">
        <v>1717</v>
      </c>
      <c r="F576" s="34" t="s">
        <v>53</v>
      </c>
      <c r="G576" s="34" t="s">
        <v>693</v>
      </c>
      <c r="H576" s="35" t="s">
        <v>26</v>
      </c>
      <c r="I576" s="35" t="s">
        <v>27</v>
      </c>
      <c r="J576" s="57"/>
      <c r="K576" s="57"/>
      <c r="L576" s="84"/>
    </row>
    <row r="577">
      <c r="A577" s="31" t="s">
        <v>1718</v>
      </c>
      <c r="B577" s="32" t="s">
        <v>1719</v>
      </c>
      <c r="C577" s="33">
        <v>45737.0</v>
      </c>
      <c r="D577" s="47" t="s">
        <v>22</v>
      </c>
      <c r="E577" s="32" t="s">
        <v>370</v>
      </c>
      <c r="F577" s="34" t="s">
        <v>53</v>
      </c>
      <c r="G577" s="34" t="s">
        <v>49</v>
      </c>
      <c r="H577" s="35" t="s">
        <v>26</v>
      </c>
      <c r="I577" s="35" t="s">
        <v>27</v>
      </c>
      <c r="J577" s="57"/>
      <c r="K577" s="57"/>
      <c r="L577" s="84"/>
    </row>
    <row r="578">
      <c r="A578" s="31" t="s">
        <v>1720</v>
      </c>
      <c r="B578" s="32" t="s">
        <v>1721</v>
      </c>
      <c r="C578" s="45">
        <v>45737.0</v>
      </c>
      <c r="D578" s="34" t="s">
        <v>22</v>
      </c>
      <c r="E578" s="32" t="s">
        <v>122</v>
      </c>
      <c r="F578" s="34" t="s">
        <v>156</v>
      </c>
      <c r="G578" s="34" t="s">
        <v>646</v>
      </c>
      <c r="H578" s="35" t="s">
        <v>26</v>
      </c>
      <c r="I578" s="35" t="s">
        <v>27</v>
      </c>
      <c r="J578" s="35" t="s">
        <v>100</v>
      </c>
      <c r="K578" s="57"/>
      <c r="L578" s="84"/>
    </row>
    <row r="579">
      <c r="A579" s="31" t="s">
        <v>1722</v>
      </c>
      <c r="B579" s="32" t="s">
        <v>1723</v>
      </c>
      <c r="C579" s="45">
        <v>45737.0</v>
      </c>
      <c r="D579" s="34" t="s">
        <v>22</v>
      </c>
      <c r="E579" s="32" t="s">
        <v>122</v>
      </c>
      <c r="F579" s="34" t="s">
        <v>53</v>
      </c>
      <c r="G579" s="34" t="s">
        <v>702</v>
      </c>
      <c r="H579" s="35" t="s">
        <v>26</v>
      </c>
      <c r="I579" s="35" t="s">
        <v>27</v>
      </c>
      <c r="J579" s="57"/>
      <c r="K579" s="57"/>
      <c r="L579" s="84"/>
    </row>
    <row r="580">
      <c r="A580" s="31" t="s">
        <v>1724</v>
      </c>
      <c r="B580" s="32" t="s">
        <v>1725</v>
      </c>
      <c r="C580" s="59">
        <v>45737.0</v>
      </c>
      <c r="D580" s="34" t="s">
        <v>22</v>
      </c>
      <c r="E580" s="32" t="s">
        <v>1726</v>
      </c>
      <c r="F580" s="34" t="s">
        <v>24</v>
      </c>
      <c r="G580" s="34" t="s">
        <v>1187</v>
      </c>
      <c r="H580" s="65"/>
      <c r="I580" s="35" t="s">
        <v>27</v>
      </c>
      <c r="J580" s="57"/>
      <c r="K580" s="57"/>
      <c r="L580" s="84"/>
    </row>
    <row r="581">
      <c r="A581" s="31" t="s">
        <v>1727</v>
      </c>
      <c r="B581" s="32" t="s">
        <v>1728</v>
      </c>
      <c r="C581" s="45">
        <v>45737.0</v>
      </c>
      <c r="D581" s="34" t="s">
        <v>22</v>
      </c>
      <c r="E581" s="32" t="s">
        <v>1729</v>
      </c>
      <c r="F581" s="34" t="s">
        <v>53</v>
      </c>
      <c r="G581" s="34" t="s">
        <v>693</v>
      </c>
      <c r="H581" s="35" t="s">
        <v>26</v>
      </c>
      <c r="I581" s="35" t="s">
        <v>27</v>
      </c>
      <c r="J581" s="35" t="s">
        <v>100</v>
      </c>
      <c r="K581" s="57"/>
      <c r="L581" s="84"/>
    </row>
    <row r="582">
      <c r="A582" s="31" t="s">
        <v>1730</v>
      </c>
      <c r="B582" s="32" t="s">
        <v>1731</v>
      </c>
      <c r="C582" s="45">
        <v>45737.0</v>
      </c>
      <c r="D582" s="34" t="s">
        <v>22</v>
      </c>
      <c r="E582" s="32" t="s">
        <v>328</v>
      </c>
      <c r="F582" s="34" t="s">
        <v>156</v>
      </c>
      <c r="G582" s="34" t="s">
        <v>442</v>
      </c>
      <c r="H582" s="35" t="s">
        <v>26</v>
      </c>
      <c r="I582" s="35" t="s">
        <v>27</v>
      </c>
      <c r="J582" s="57"/>
      <c r="K582" s="57"/>
      <c r="L582" s="84"/>
    </row>
    <row r="583">
      <c r="A583" s="31" t="s">
        <v>1732</v>
      </c>
      <c r="B583" s="32" t="s">
        <v>1733</v>
      </c>
      <c r="C583" s="33">
        <v>45737.0</v>
      </c>
      <c r="D583" s="47" t="s">
        <v>22</v>
      </c>
      <c r="E583" s="32" t="s">
        <v>613</v>
      </c>
      <c r="F583" s="34" t="s">
        <v>24</v>
      </c>
      <c r="G583" s="34" t="s">
        <v>221</v>
      </c>
      <c r="H583" s="35" t="s">
        <v>26</v>
      </c>
      <c r="I583" s="35" t="s">
        <v>27</v>
      </c>
      <c r="J583" s="57"/>
      <c r="K583" s="57"/>
      <c r="L583" s="84"/>
    </row>
    <row r="584">
      <c r="A584" s="31" t="s">
        <v>1734</v>
      </c>
      <c r="B584" s="32" t="s">
        <v>1735</v>
      </c>
      <c r="C584" s="33">
        <v>45737.0</v>
      </c>
      <c r="D584" s="47" t="s">
        <v>22</v>
      </c>
      <c r="E584" s="32" t="s">
        <v>1736</v>
      </c>
      <c r="F584" s="34" t="s">
        <v>24</v>
      </c>
      <c r="G584" s="34" t="s">
        <v>342</v>
      </c>
      <c r="H584" s="35" t="s">
        <v>26</v>
      </c>
      <c r="I584" s="35" t="s">
        <v>27</v>
      </c>
      <c r="J584" s="35" t="s">
        <v>100</v>
      </c>
      <c r="K584" s="57"/>
      <c r="L584" s="84"/>
    </row>
    <row r="585">
      <c r="A585" s="31" t="s">
        <v>1737</v>
      </c>
      <c r="B585" s="67">
        <v>3.0</v>
      </c>
      <c r="C585" s="33">
        <v>45737.0</v>
      </c>
      <c r="D585" s="34" t="s">
        <v>22</v>
      </c>
      <c r="E585" s="32" t="s">
        <v>521</v>
      </c>
      <c r="F585" s="34" t="s">
        <v>24</v>
      </c>
      <c r="G585" s="34" t="s">
        <v>157</v>
      </c>
      <c r="H585" s="35" t="s">
        <v>26</v>
      </c>
      <c r="I585" s="35" t="s">
        <v>27</v>
      </c>
      <c r="J585" s="57"/>
      <c r="K585" s="57"/>
      <c r="L585" s="84"/>
    </row>
    <row r="586">
      <c r="A586" s="31" t="s">
        <v>1738</v>
      </c>
      <c r="B586" s="32" t="s">
        <v>1739</v>
      </c>
      <c r="C586" s="33">
        <v>45737.0</v>
      </c>
      <c r="D586" s="34" t="s">
        <v>22</v>
      </c>
      <c r="E586" s="32" t="s">
        <v>382</v>
      </c>
      <c r="F586" s="34" t="s">
        <v>53</v>
      </c>
      <c r="G586" s="34" t="s">
        <v>1740</v>
      </c>
      <c r="H586" s="35" t="s">
        <v>26</v>
      </c>
      <c r="I586" s="35" t="s">
        <v>27</v>
      </c>
      <c r="J586" s="57"/>
      <c r="K586" s="57"/>
      <c r="L586" s="84"/>
    </row>
    <row r="587">
      <c r="A587" s="31" t="s">
        <v>1741</v>
      </c>
      <c r="B587" s="32" t="s">
        <v>1742</v>
      </c>
      <c r="C587" s="33">
        <v>45737.0</v>
      </c>
      <c r="D587" s="34" t="s">
        <v>22</v>
      </c>
      <c r="E587" s="32" t="s">
        <v>1743</v>
      </c>
      <c r="F587" s="34" t="s">
        <v>24</v>
      </c>
      <c r="G587" s="34" t="s">
        <v>549</v>
      </c>
      <c r="H587" s="35" t="s">
        <v>26</v>
      </c>
      <c r="I587" s="35" t="s">
        <v>27</v>
      </c>
      <c r="J587" s="35" t="s">
        <v>100</v>
      </c>
      <c r="K587" s="57"/>
      <c r="L587" s="84"/>
    </row>
    <row r="588">
      <c r="A588" s="31" t="s">
        <v>1744</v>
      </c>
      <c r="B588" s="32" t="s">
        <v>1745</v>
      </c>
      <c r="C588" s="33">
        <v>45737.0</v>
      </c>
      <c r="D588" s="34" t="s">
        <v>22</v>
      </c>
      <c r="E588" s="32" t="s">
        <v>1519</v>
      </c>
      <c r="F588" s="34" t="s">
        <v>24</v>
      </c>
      <c r="G588" s="34" t="s">
        <v>725</v>
      </c>
      <c r="H588" s="35" t="s">
        <v>26</v>
      </c>
      <c r="I588" s="35" t="s">
        <v>27</v>
      </c>
      <c r="J588" s="57"/>
      <c r="K588" s="57"/>
      <c r="L588" s="84"/>
    </row>
    <row r="589">
      <c r="A589" s="31" t="s">
        <v>1746</v>
      </c>
      <c r="B589" s="32" t="s">
        <v>1747</v>
      </c>
      <c r="C589" s="33">
        <v>45737.0</v>
      </c>
      <c r="D589" s="34" t="s">
        <v>22</v>
      </c>
      <c r="E589" s="32" t="s">
        <v>1301</v>
      </c>
      <c r="F589" s="34" t="s">
        <v>24</v>
      </c>
      <c r="G589" s="34" t="s">
        <v>32</v>
      </c>
      <c r="H589" s="35" t="s">
        <v>26</v>
      </c>
      <c r="I589" s="35" t="s">
        <v>27</v>
      </c>
      <c r="J589" s="35" t="s">
        <v>100</v>
      </c>
      <c r="K589" s="57"/>
      <c r="L589" s="84"/>
    </row>
    <row r="590">
      <c r="A590" s="31" t="s">
        <v>1748</v>
      </c>
      <c r="B590" s="32" t="s">
        <v>1749</v>
      </c>
      <c r="C590" s="33">
        <v>45737.0</v>
      </c>
      <c r="D590" s="34" t="s">
        <v>22</v>
      </c>
      <c r="E590" s="32" t="s">
        <v>1750</v>
      </c>
      <c r="F590" s="34" t="s">
        <v>24</v>
      </c>
      <c r="G590" s="34" t="s">
        <v>716</v>
      </c>
      <c r="H590" s="35" t="s">
        <v>26</v>
      </c>
      <c r="I590" s="35" t="s">
        <v>27</v>
      </c>
      <c r="J590" s="57"/>
      <c r="K590" s="57"/>
      <c r="L590" s="84"/>
    </row>
    <row r="591">
      <c r="A591" s="31" t="s">
        <v>1751</v>
      </c>
      <c r="B591" s="32" t="s">
        <v>1752</v>
      </c>
      <c r="C591" s="33">
        <v>45737.0</v>
      </c>
      <c r="D591" s="47" t="s">
        <v>39</v>
      </c>
      <c r="E591" s="32" t="s">
        <v>1753</v>
      </c>
      <c r="F591" s="34" t="s">
        <v>24</v>
      </c>
      <c r="G591" s="34" t="s">
        <v>712</v>
      </c>
      <c r="H591" s="35" t="s">
        <v>26</v>
      </c>
      <c r="I591" s="35" t="s">
        <v>27</v>
      </c>
      <c r="J591" s="57"/>
      <c r="K591" s="57"/>
      <c r="L591" s="84"/>
    </row>
    <row r="592">
      <c r="A592" s="31" t="s">
        <v>838</v>
      </c>
      <c r="B592" s="32" t="s">
        <v>1754</v>
      </c>
      <c r="C592" s="33">
        <v>45737.0</v>
      </c>
      <c r="D592" s="34" t="s">
        <v>22</v>
      </c>
      <c r="E592" s="32" t="s">
        <v>1138</v>
      </c>
      <c r="F592" s="34" t="s">
        <v>24</v>
      </c>
      <c r="G592" s="34" t="s">
        <v>1755</v>
      </c>
      <c r="H592" s="35" t="s">
        <v>26</v>
      </c>
      <c r="I592" s="35" t="s">
        <v>27</v>
      </c>
      <c r="J592" s="57"/>
      <c r="K592" s="57"/>
      <c r="L592" s="84"/>
    </row>
    <row r="593">
      <c r="A593" s="31" t="s">
        <v>1756</v>
      </c>
      <c r="B593" s="32" t="s">
        <v>1757</v>
      </c>
      <c r="C593" s="33">
        <v>45737.0</v>
      </c>
      <c r="D593" s="34" t="s">
        <v>22</v>
      </c>
      <c r="E593" s="32" t="s">
        <v>1758</v>
      </c>
      <c r="F593" s="34" t="s">
        <v>156</v>
      </c>
      <c r="G593" s="34" t="s">
        <v>1759</v>
      </c>
      <c r="H593" s="35" t="s">
        <v>26</v>
      </c>
      <c r="I593" s="35" t="s">
        <v>27</v>
      </c>
      <c r="J593" s="57"/>
      <c r="K593" s="57"/>
      <c r="L593" s="84"/>
    </row>
    <row r="594">
      <c r="A594" s="31" t="s">
        <v>1760</v>
      </c>
      <c r="B594" s="32" t="s">
        <v>1761</v>
      </c>
      <c r="C594" s="33">
        <v>45737.0</v>
      </c>
      <c r="D594" s="34" t="s">
        <v>22</v>
      </c>
      <c r="E594" s="32" t="s">
        <v>626</v>
      </c>
      <c r="F594" s="34" t="s">
        <v>24</v>
      </c>
      <c r="G594" s="34" t="s">
        <v>1404</v>
      </c>
      <c r="H594" s="35" t="s">
        <v>26</v>
      </c>
      <c r="I594" s="35" t="s">
        <v>27</v>
      </c>
      <c r="J594" s="57"/>
      <c r="K594" s="57"/>
      <c r="L594" s="84"/>
    </row>
    <row r="595">
      <c r="A595" s="31" t="s">
        <v>1762</v>
      </c>
      <c r="B595" s="32" t="s">
        <v>1763</v>
      </c>
      <c r="C595" s="33">
        <v>45737.0</v>
      </c>
      <c r="D595" s="34" t="s">
        <v>22</v>
      </c>
      <c r="E595" s="32" t="s">
        <v>61</v>
      </c>
      <c r="F595" s="34" t="s">
        <v>24</v>
      </c>
      <c r="G595" s="34" t="s">
        <v>361</v>
      </c>
      <c r="H595" s="35" t="s">
        <v>26</v>
      </c>
      <c r="I595" s="35" t="s">
        <v>27</v>
      </c>
      <c r="J595" s="57"/>
      <c r="K595" s="57"/>
      <c r="L595" s="84"/>
    </row>
    <row r="596">
      <c r="A596" s="31" t="s">
        <v>1764</v>
      </c>
      <c r="B596" s="32" t="s">
        <v>1765</v>
      </c>
      <c r="C596" s="33">
        <v>45737.0</v>
      </c>
      <c r="D596" s="47" t="s">
        <v>39</v>
      </c>
      <c r="E596" s="32" t="s">
        <v>1766</v>
      </c>
      <c r="F596" s="34" t="s">
        <v>53</v>
      </c>
      <c r="G596" s="34" t="s">
        <v>423</v>
      </c>
      <c r="H596" s="35" t="s">
        <v>26</v>
      </c>
      <c r="I596" s="35" t="s">
        <v>27</v>
      </c>
      <c r="J596" s="35" t="s">
        <v>100</v>
      </c>
      <c r="K596" s="57"/>
      <c r="L596" s="84"/>
    </row>
    <row r="597">
      <c r="A597" s="31" t="s">
        <v>1767</v>
      </c>
      <c r="B597" s="32" t="s">
        <v>1768</v>
      </c>
      <c r="C597" s="33">
        <v>45737.0</v>
      </c>
      <c r="D597" s="34" t="s">
        <v>22</v>
      </c>
      <c r="E597" s="32" t="s">
        <v>335</v>
      </c>
      <c r="F597" s="34" t="s">
        <v>24</v>
      </c>
      <c r="G597" s="34" t="s">
        <v>1769</v>
      </c>
      <c r="H597" s="35" t="s">
        <v>26</v>
      </c>
      <c r="I597" s="35" t="s">
        <v>27</v>
      </c>
      <c r="J597" s="57"/>
      <c r="K597" s="57"/>
      <c r="L597" s="84"/>
    </row>
    <row r="598">
      <c r="A598" s="31" t="s">
        <v>1770</v>
      </c>
      <c r="B598" s="32" t="s">
        <v>1771</v>
      </c>
      <c r="C598" s="33">
        <v>45737.0</v>
      </c>
      <c r="D598" s="34" t="s">
        <v>22</v>
      </c>
      <c r="E598" s="32" t="s">
        <v>176</v>
      </c>
      <c r="F598" s="34" t="s">
        <v>156</v>
      </c>
      <c r="G598" s="34" t="s">
        <v>1772</v>
      </c>
      <c r="H598" s="35" t="s">
        <v>26</v>
      </c>
      <c r="I598" s="35" t="s">
        <v>27</v>
      </c>
      <c r="J598" s="57"/>
      <c r="K598" s="57"/>
      <c r="L598" s="84"/>
    </row>
    <row r="599">
      <c r="A599" s="31" t="s">
        <v>1773</v>
      </c>
      <c r="B599" s="32" t="s">
        <v>1774</v>
      </c>
      <c r="C599" s="33">
        <v>45737.0</v>
      </c>
      <c r="D599" s="34" t="s">
        <v>22</v>
      </c>
      <c r="E599" s="32" t="s">
        <v>284</v>
      </c>
      <c r="F599" s="34" t="s">
        <v>53</v>
      </c>
      <c r="G599" s="34" t="s">
        <v>539</v>
      </c>
      <c r="H599" s="35" t="s">
        <v>26</v>
      </c>
      <c r="I599" s="35" t="s">
        <v>27</v>
      </c>
      <c r="J599" s="57"/>
      <c r="K599" s="57"/>
      <c r="L599" s="84"/>
    </row>
    <row r="600">
      <c r="A600" s="31" t="s">
        <v>1775</v>
      </c>
      <c r="B600" s="32" t="s">
        <v>1776</v>
      </c>
      <c r="C600" s="33">
        <v>45737.0</v>
      </c>
      <c r="D600" s="34" t="s">
        <v>22</v>
      </c>
      <c r="E600" s="32" t="s">
        <v>73</v>
      </c>
      <c r="F600" s="34" t="s">
        <v>156</v>
      </c>
      <c r="G600" s="34" t="s">
        <v>792</v>
      </c>
      <c r="H600" s="35" t="s">
        <v>26</v>
      </c>
      <c r="I600" s="35" t="s">
        <v>27</v>
      </c>
      <c r="J600" s="57"/>
      <c r="K600" s="57"/>
      <c r="L600" s="84"/>
    </row>
    <row r="601">
      <c r="A601" s="31" t="s">
        <v>1777</v>
      </c>
      <c r="B601" s="32" t="s">
        <v>1778</v>
      </c>
      <c r="C601" s="33">
        <v>45737.0</v>
      </c>
      <c r="D601" s="34" t="s">
        <v>22</v>
      </c>
      <c r="E601" s="32" t="s">
        <v>160</v>
      </c>
      <c r="F601" s="34" t="s">
        <v>24</v>
      </c>
      <c r="G601" s="34" t="s">
        <v>199</v>
      </c>
      <c r="H601" s="35" t="s">
        <v>26</v>
      </c>
      <c r="I601" s="35" t="s">
        <v>27</v>
      </c>
      <c r="J601" s="57"/>
      <c r="K601" s="57"/>
      <c r="L601" s="84"/>
    </row>
    <row r="602">
      <c r="A602" s="31" t="s">
        <v>1779</v>
      </c>
      <c r="B602" s="32" t="s">
        <v>1780</v>
      </c>
      <c r="C602" s="33">
        <v>45737.0</v>
      </c>
      <c r="D602" s="34" t="s">
        <v>22</v>
      </c>
      <c r="E602" s="32" t="s">
        <v>1781</v>
      </c>
      <c r="F602" s="34" t="s">
        <v>53</v>
      </c>
      <c r="G602" s="34" t="s">
        <v>225</v>
      </c>
      <c r="H602" s="35" t="s">
        <v>26</v>
      </c>
      <c r="I602" s="35" t="s">
        <v>27</v>
      </c>
      <c r="J602" s="57"/>
      <c r="K602" s="57"/>
      <c r="L602" s="84"/>
    </row>
    <row r="603">
      <c r="A603" s="31" t="s">
        <v>1782</v>
      </c>
      <c r="B603" s="32" t="s">
        <v>1783</v>
      </c>
      <c r="C603" s="33">
        <v>45737.0</v>
      </c>
      <c r="D603" s="34" t="s">
        <v>22</v>
      </c>
      <c r="E603" s="32" t="s">
        <v>61</v>
      </c>
      <c r="F603" s="34" t="s">
        <v>24</v>
      </c>
      <c r="G603" s="34" t="s">
        <v>221</v>
      </c>
      <c r="H603" s="35" t="s">
        <v>26</v>
      </c>
      <c r="I603" s="35" t="s">
        <v>27</v>
      </c>
      <c r="J603" s="35" t="s">
        <v>100</v>
      </c>
      <c r="K603" s="57"/>
      <c r="L603" s="84"/>
    </row>
    <row r="604">
      <c r="A604" s="31" t="s">
        <v>1784</v>
      </c>
      <c r="B604" s="32" t="s">
        <v>1785</v>
      </c>
      <c r="C604" s="33">
        <v>45737.0</v>
      </c>
      <c r="D604" s="47" t="s">
        <v>22</v>
      </c>
      <c r="E604" s="32" t="s">
        <v>129</v>
      </c>
      <c r="F604" s="34" t="s">
        <v>24</v>
      </c>
      <c r="G604" s="34" t="s">
        <v>231</v>
      </c>
      <c r="H604" s="35" t="s">
        <v>26</v>
      </c>
      <c r="I604" s="35" t="s">
        <v>27</v>
      </c>
      <c r="J604" s="57"/>
      <c r="K604" s="57"/>
      <c r="L604" s="84"/>
    </row>
    <row r="605">
      <c r="A605" s="31" t="s">
        <v>1786</v>
      </c>
      <c r="B605" s="32" t="s">
        <v>1787</v>
      </c>
      <c r="C605" s="33">
        <v>45737.0</v>
      </c>
      <c r="D605" s="34" t="s">
        <v>22</v>
      </c>
      <c r="E605" s="32" t="s">
        <v>1736</v>
      </c>
      <c r="F605" s="34" t="s">
        <v>156</v>
      </c>
      <c r="G605" s="34" t="s">
        <v>257</v>
      </c>
      <c r="H605" s="35" t="s">
        <v>26</v>
      </c>
      <c r="I605" s="35" t="s">
        <v>27</v>
      </c>
      <c r="J605" s="57"/>
      <c r="K605" s="57"/>
      <c r="L605" s="84"/>
    </row>
    <row r="606">
      <c r="A606" s="31" t="s">
        <v>1788</v>
      </c>
      <c r="B606" s="32" t="s">
        <v>1789</v>
      </c>
      <c r="C606" s="33">
        <v>45737.0</v>
      </c>
      <c r="D606" s="95" t="s">
        <v>39</v>
      </c>
      <c r="E606" s="32" t="s">
        <v>111</v>
      </c>
      <c r="F606" s="34" t="s">
        <v>24</v>
      </c>
      <c r="G606" s="34" t="s">
        <v>1790</v>
      </c>
      <c r="H606" s="35" t="s">
        <v>26</v>
      </c>
      <c r="I606" s="35" t="s">
        <v>27</v>
      </c>
      <c r="J606" s="57"/>
      <c r="K606" s="57"/>
      <c r="L606" s="84"/>
    </row>
    <row r="607">
      <c r="A607" s="32" t="s">
        <v>1791</v>
      </c>
      <c r="B607" s="32" t="s">
        <v>1792</v>
      </c>
      <c r="C607" s="33">
        <v>45737.0</v>
      </c>
      <c r="D607" s="34" t="s">
        <v>22</v>
      </c>
      <c r="E607" s="32" t="s">
        <v>321</v>
      </c>
      <c r="F607" s="34" t="s">
        <v>24</v>
      </c>
      <c r="G607" s="34" t="s">
        <v>322</v>
      </c>
      <c r="H607" s="35" t="s">
        <v>26</v>
      </c>
      <c r="I607" s="58" t="str">
        <f>HYPERLINK("https://open.spotify.com/album/09y3vYYzzAiWBflHk4XIio", "S")</f>
        <v>S</v>
      </c>
      <c r="J607" s="57"/>
      <c r="K607" s="57"/>
      <c r="L607" s="84"/>
    </row>
    <row r="608">
      <c r="A608" s="32" t="s">
        <v>1793</v>
      </c>
      <c r="B608" s="32" t="s">
        <v>1794</v>
      </c>
      <c r="C608" s="33">
        <v>45737.0</v>
      </c>
      <c r="D608" s="34" t="s">
        <v>22</v>
      </c>
      <c r="E608" s="32" t="s">
        <v>328</v>
      </c>
      <c r="F608" s="34" t="s">
        <v>156</v>
      </c>
      <c r="G608" s="34" t="s">
        <v>510</v>
      </c>
      <c r="H608" s="35" t="s">
        <v>26</v>
      </c>
      <c r="I608" s="35" t="s">
        <v>27</v>
      </c>
      <c r="J608" s="57"/>
      <c r="K608" s="57"/>
      <c r="L608" s="84"/>
    </row>
    <row r="609">
      <c r="A609" s="32" t="s">
        <v>1795</v>
      </c>
      <c r="B609" s="32" t="s">
        <v>1796</v>
      </c>
      <c r="C609" s="33">
        <v>45737.0</v>
      </c>
      <c r="D609" s="47" t="s">
        <v>39</v>
      </c>
      <c r="E609" s="32" t="s">
        <v>84</v>
      </c>
      <c r="F609" s="34" t="s">
        <v>24</v>
      </c>
      <c r="G609" s="34" t="s">
        <v>1797</v>
      </c>
      <c r="H609" s="35" t="s">
        <v>26</v>
      </c>
      <c r="I609" s="35" t="s">
        <v>27</v>
      </c>
      <c r="J609" s="57"/>
      <c r="K609" s="57"/>
      <c r="L609" s="84"/>
    </row>
    <row r="610">
      <c r="A610" s="32" t="s">
        <v>1798</v>
      </c>
      <c r="B610" s="32" t="s">
        <v>1171</v>
      </c>
      <c r="C610" s="33">
        <v>45737.0</v>
      </c>
      <c r="D610" s="34" t="s">
        <v>22</v>
      </c>
      <c r="E610" s="32" t="s">
        <v>569</v>
      </c>
      <c r="F610" s="34" t="s">
        <v>24</v>
      </c>
      <c r="G610" s="34" t="s">
        <v>1799</v>
      </c>
      <c r="H610" s="35" t="s">
        <v>26</v>
      </c>
      <c r="I610" s="36" t="str">
        <f>HYPERLINK("https://open.spotify.com/album/4Uxp5ebTMS3YqbV5oVWpVo", "S")</f>
        <v>S</v>
      </c>
      <c r="J610" s="57"/>
      <c r="K610" s="57"/>
      <c r="L610" s="84"/>
    </row>
    <row r="611">
      <c r="A611" s="32" t="s">
        <v>1800</v>
      </c>
      <c r="B611" s="32" t="s">
        <v>1801</v>
      </c>
      <c r="C611" s="33">
        <v>45737.0</v>
      </c>
      <c r="D611" s="47" t="s">
        <v>22</v>
      </c>
      <c r="E611" s="32" t="s">
        <v>160</v>
      </c>
      <c r="F611" s="34" t="s">
        <v>53</v>
      </c>
      <c r="G611" s="34" t="s">
        <v>161</v>
      </c>
      <c r="H611" s="35" t="s">
        <v>26</v>
      </c>
      <c r="I611" s="35" t="s">
        <v>27</v>
      </c>
      <c r="J611" s="57"/>
      <c r="K611" s="57"/>
      <c r="L611" s="84"/>
    </row>
    <row r="612">
      <c r="A612" s="32" t="s">
        <v>1802</v>
      </c>
      <c r="B612" s="32" t="s">
        <v>1803</v>
      </c>
      <c r="C612" s="33">
        <v>45737.0</v>
      </c>
      <c r="D612" s="47" t="s">
        <v>22</v>
      </c>
      <c r="E612" s="32" t="s">
        <v>436</v>
      </c>
      <c r="F612" s="34" t="s">
        <v>31</v>
      </c>
      <c r="G612" s="34" t="s">
        <v>1804</v>
      </c>
      <c r="H612" s="35" t="s">
        <v>26</v>
      </c>
      <c r="I612" s="35" t="s">
        <v>27</v>
      </c>
      <c r="J612" s="57"/>
      <c r="K612" s="57"/>
      <c r="L612" s="84"/>
    </row>
    <row r="613">
      <c r="A613" s="32" t="s">
        <v>1805</v>
      </c>
      <c r="B613" s="32" t="s">
        <v>1806</v>
      </c>
      <c r="C613" s="33">
        <v>45737.0</v>
      </c>
      <c r="D613" s="34" t="s">
        <v>22</v>
      </c>
      <c r="E613" s="32" t="s">
        <v>1807</v>
      </c>
      <c r="F613" s="34" t="s">
        <v>24</v>
      </c>
      <c r="G613" s="34" t="s">
        <v>1808</v>
      </c>
      <c r="H613" s="35" t="s">
        <v>26</v>
      </c>
      <c r="I613" s="35" t="s">
        <v>27</v>
      </c>
      <c r="J613" s="57"/>
      <c r="K613" s="57"/>
      <c r="L613" s="84"/>
    </row>
    <row r="614">
      <c r="A614" s="32" t="s">
        <v>1809</v>
      </c>
      <c r="B614" s="32" t="s">
        <v>1810</v>
      </c>
      <c r="C614" s="33">
        <v>45737.0</v>
      </c>
      <c r="D614" s="34" t="s">
        <v>22</v>
      </c>
      <c r="E614" s="32" t="s">
        <v>61</v>
      </c>
      <c r="F614" s="34" t="s">
        <v>24</v>
      </c>
      <c r="G614" s="34" t="s">
        <v>487</v>
      </c>
      <c r="H614" s="35" t="s">
        <v>26</v>
      </c>
      <c r="I614" s="35" t="s">
        <v>27</v>
      </c>
      <c r="J614" s="35" t="s">
        <v>100</v>
      </c>
      <c r="K614" s="57"/>
      <c r="L614" s="84"/>
    </row>
    <row r="615">
      <c r="A615" s="31" t="s">
        <v>1811</v>
      </c>
      <c r="B615" s="32" t="s">
        <v>1812</v>
      </c>
      <c r="C615" s="33">
        <v>45737.0</v>
      </c>
      <c r="D615" s="34" t="s">
        <v>22</v>
      </c>
      <c r="E615" s="32" t="s">
        <v>1813</v>
      </c>
      <c r="F615" s="34" t="s">
        <v>24</v>
      </c>
      <c r="G615" s="34" t="s">
        <v>302</v>
      </c>
      <c r="H615" s="35" t="s">
        <v>26</v>
      </c>
      <c r="I615" s="36" t="str">
        <f>HYPERLINK("https://open.spotify.com/album/7z3SlSvnSO5yy4TBEgehVL", "S")</f>
        <v>S</v>
      </c>
      <c r="J615" s="57"/>
      <c r="K615" s="57"/>
      <c r="L615" s="84"/>
    </row>
    <row r="616">
      <c r="A616" s="32" t="s">
        <v>1814</v>
      </c>
      <c r="B616" s="32" t="s">
        <v>1814</v>
      </c>
      <c r="C616" s="33">
        <v>45737.0</v>
      </c>
      <c r="D616" s="47" t="s">
        <v>39</v>
      </c>
      <c r="E616" s="32" t="s">
        <v>1815</v>
      </c>
      <c r="F616" s="34" t="s">
        <v>53</v>
      </c>
      <c r="G616" s="34" t="s">
        <v>1566</v>
      </c>
      <c r="H616" s="35" t="s">
        <v>26</v>
      </c>
      <c r="I616" s="35" t="s">
        <v>27</v>
      </c>
      <c r="J616" s="57"/>
      <c r="K616" s="57"/>
      <c r="L616" s="84"/>
    </row>
    <row r="617">
      <c r="A617" s="32" t="s">
        <v>1816</v>
      </c>
      <c r="B617" s="32" t="s">
        <v>1817</v>
      </c>
      <c r="C617" s="59">
        <v>45737.0</v>
      </c>
      <c r="D617" s="68" t="s">
        <v>22</v>
      </c>
      <c r="E617" s="32" t="s">
        <v>1818</v>
      </c>
      <c r="F617" s="34" t="s">
        <v>24</v>
      </c>
      <c r="G617" s="34" t="s">
        <v>725</v>
      </c>
      <c r="H617" s="35" t="str">
        <f>HYPERLINK("https://cabalcph.bandcamp.com/album/everything-rots", "BC")</f>
        <v>BC</v>
      </c>
      <c r="I617" s="35" t="s">
        <v>27</v>
      </c>
      <c r="J617" s="57"/>
      <c r="K617" s="57"/>
      <c r="L617" s="84"/>
    </row>
    <row r="618">
      <c r="A618" s="31" t="s">
        <v>1819</v>
      </c>
      <c r="B618" s="32" t="s">
        <v>64</v>
      </c>
      <c r="C618" s="33">
        <v>45738.0</v>
      </c>
      <c r="D618" s="34" t="s">
        <v>22</v>
      </c>
      <c r="E618" s="32" t="s">
        <v>1138</v>
      </c>
      <c r="F618" s="34" t="s">
        <v>24</v>
      </c>
      <c r="G618" s="34" t="s">
        <v>1820</v>
      </c>
      <c r="H618" s="35" t="s">
        <v>26</v>
      </c>
      <c r="I618" s="57"/>
      <c r="J618" s="57"/>
      <c r="K618" s="57"/>
      <c r="L618" s="84"/>
    </row>
    <row r="619">
      <c r="A619" s="32" t="s">
        <v>1821</v>
      </c>
      <c r="B619" s="32" t="s">
        <v>1822</v>
      </c>
      <c r="C619" s="33">
        <v>45738.0</v>
      </c>
      <c r="D619" s="34" t="s">
        <v>22</v>
      </c>
      <c r="E619" s="32" t="s">
        <v>370</v>
      </c>
      <c r="F619" s="34" t="s">
        <v>53</v>
      </c>
      <c r="G619" s="34" t="s">
        <v>1823</v>
      </c>
      <c r="H619" s="35" t="s">
        <v>26</v>
      </c>
      <c r="I619" s="35" t="s">
        <v>27</v>
      </c>
      <c r="J619" s="57"/>
      <c r="K619" s="57"/>
      <c r="L619" s="84"/>
    </row>
    <row r="620">
      <c r="A620" s="32" t="s">
        <v>1824</v>
      </c>
      <c r="B620" s="32" t="s">
        <v>1825</v>
      </c>
      <c r="C620" s="33">
        <v>45738.0</v>
      </c>
      <c r="D620" s="47" t="s">
        <v>22</v>
      </c>
      <c r="E620" s="32" t="s">
        <v>263</v>
      </c>
      <c r="F620" s="34" t="s">
        <v>24</v>
      </c>
      <c r="G620" s="34" t="s">
        <v>221</v>
      </c>
      <c r="H620" s="66"/>
      <c r="I620" s="35" t="s">
        <v>27</v>
      </c>
      <c r="J620" s="35" t="s">
        <v>100</v>
      </c>
      <c r="K620" s="57"/>
      <c r="L620" s="84"/>
    </row>
    <row r="621">
      <c r="A621" s="32" t="s">
        <v>1826</v>
      </c>
      <c r="B621" s="32" t="s">
        <v>1827</v>
      </c>
      <c r="C621" s="33">
        <v>45738.0</v>
      </c>
      <c r="D621" s="34" t="s">
        <v>39</v>
      </c>
      <c r="E621" s="32" t="s">
        <v>73</v>
      </c>
      <c r="F621" s="34" t="s">
        <v>24</v>
      </c>
      <c r="G621" s="34" t="s">
        <v>892</v>
      </c>
      <c r="H621" s="35" t="s">
        <v>26</v>
      </c>
      <c r="I621" s="66"/>
      <c r="J621" s="57"/>
      <c r="K621" s="57"/>
      <c r="L621" s="84"/>
    </row>
    <row r="622">
      <c r="A622" s="32" t="s">
        <v>1828</v>
      </c>
      <c r="B622" s="32" t="s">
        <v>1829</v>
      </c>
      <c r="C622" s="33">
        <v>45738.0</v>
      </c>
      <c r="D622" s="34" t="s">
        <v>22</v>
      </c>
      <c r="E622" s="32" t="s">
        <v>84</v>
      </c>
      <c r="F622" s="34" t="s">
        <v>53</v>
      </c>
      <c r="G622" s="34" t="s">
        <v>1830</v>
      </c>
      <c r="H622" s="35" t="s">
        <v>26</v>
      </c>
      <c r="I622" s="35" t="s">
        <v>27</v>
      </c>
      <c r="J622" s="57"/>
      <c r="K622" s="57"/>
      <c r="L622" s="84"/>
    </row>
    <row r="623">
      <c r="A623" s="31" t="s">
        <v>1831</v>
      </c>
      <c r="B623" s="32" t="s">
        <v>1832</v>
      </c>
      <c r="C623" s="33">
        <v>45739.0</v>
      </c>
      <c r="D623" s="34" t="s">
        <v>22</v>
      </c>
      <c r="E623" s="32" t="s">
        <v>1833</v>
      </c>
      <c r="F623" s="34" t="s">
        <v>53</v>
      </c>
      <c r="G623" s="34" t="s">
        <v>202</v>
      </c>
      <c r="H623" s="35" t="s">
        <v>26</v>
      </c>
      <c r="I623" s="36" t="str">
        <f>HYPERLINK("https://open.spotify.com/album/10x8rIPLfMFWzOpsHo65EV", "S")</f>
        <v>S</v>
      </c>
      <c r="J623" s="57"/>
      <c r="K623" s="57"/>
      <c r="L623" s="84"/>
    </row>
    <row r="624">
      <c r="A624" s="32" t="s">
        <v>1834</v>
      </c>
      <c r="B624" s="32" t="s">
        <v>1834</v>
      </c>
      <c r="C624" s="33">
        <v>45739.0</v>
      </c>
      <c r="D624" s="34" t="s">
        <v>22</v>
      </c>
      <c r="E624" s="32" t="s">
        <v>122</v>
      </c>
      <c r="F624" s="34" t="s">
        <v>31</v>
      </c>
      <c r="G624" s="34" t="s">
        <v>1835</v>
      </c>
      <c r="H624" s="35" t="s">
        <v>26</v>
      </c>
      <c r="I624" s="35" t="s">
        <v>27</v>
      </c>
      <c r="J624" s="57"/>
      <c r="K624" s="57"/>
      <c r="L624" s="84"/>
    </row>
    <row r="625">
      <c r="A625" s="31" t="s">
        <v>1836</v>
      </c>
      <c r="B625" s="32" t="s">
        <v>1837</v>
      </c>
      <c r="C625" s="33">
        <v>45740.0</v>
      </c>
      <c r="D625" s="34" t="s">
        <v>22</v>
      </c>
      <c r="E625" s="32" t="s">
        <v>1838</v>
      </c>
      <c r="F625" s="34" t="s">
        <v>31</v>
      </c>
      <c r="G625" s="34" t="s">
        <v>890</v>
      </c>
      <c r="H625" s="35" t="s">
        <v>26</v>
      </c>
      <c r="I625" s="36" t="str">
        <f>HYPERLINK("https://open.spotify.com/album/41cKgKBFnJyuCroiIa7own", "S")</f>
        <v>S</v>
      </c>
      <c r="J625" s="57"/>
      <c r="K625" s="57"/>
      <c r="L625" s="84"/>
    </row>
    <row r="626">
      <c r="A626" s="31" t="s">
        <v>1839</v>
      </c>
      <c r="B626" s="32" t="s">
        <v>1840</v>
      </c>
      <c r="C626" s="33">
        <v>45740.0</v>
      </c>
      <c r="D626" s="47" t="s">
        <v>22</v>
      </c>
      <c r="E626" s="32" t="s">
        <v>1841</v>
      </c>
      <c r="F626" s="34" t="s">
        <v>24</v>
      </c>
      <c r="G626" s="34" t="s">
        <v>792</v>
      </c>
      <c r="H626" s="35" t="s">
        <v>26</v>
      </c>
      <c r="I626" s="36" t="str">
        <f>HYPERLINK("https://open.spotify.com/album/58BrNg1GMmoSNqWwA5qHtw", "S")</f>
        <v>S</v>
      </c>
      <c r="J626" s="57"/>
      <c r="K626" s="57"/>
      <c r="L626" s="84"/>
    </row>
    <row r="627">
      <c r="A627" s="32" t="s">
        <v>1842</v>
      </c>
      <c r="B627" s="32" t="s">
        <v>1843</v>
      </c>
      <c r="C627" s="33">
        <v>45740.0</v>
      </c>
      <c r="D627" s="47" t="s">
        <v>22</v>
      </c>
      <c r="E627" s="32" t="s">
        <v>1844</v>
      </c>
      <c r="F627" s="34" t="s">
        <v>31</v>
      </c>
      <c r="G627" s="34" t="s">
        <v>1845</v>
      </c>
      <c r="H627" s="35" t="s">
        <v>26</v>
      </c>
      <c r="I627" s="35" t="s">
        <v>27</v>
      </c>
      <c r="J627" s="57"/>
      <c r="K627" s="57"/>
      <c r="L627" s="84"/>
    </row>
    <row r="628">
      <c r="A628" s="32" t="s">
        <v>1846</v>
      </c>
      <c r="B628" s="32" t="s">
        <v>1847</v>
      </c>
      <c r="C628" s="33">
        <v>45741.0</v>
      </c>
      <c r="D628" s="47" t="s">
        <v>22</v>
      </c>
      <c r="E628" s="32" t="s">
        <v>73</v>
      </c>
      <c r="F628" s="34" t="s">
        <v>24</v>
      </c>
      <c r="G628" s="34" t="s">
        <v>199</v>
      </c>
      <c r="H628" s="35" t="s">
        <v>26</v>
      </c>
      <c r="I628" s="35" t="s">
        <v>27</v>
      </c>
      <c r="J628" s="57"/>
      <c r="K628" s="57"/>
      <c r="L628" s="84"/>
    </row>
    <row r="629">
      <c r="A629" s="31" t="s">
        <v>1848</v>
      </c>
      <c r="B629" s="32" t="s">
        <v>1849</v>
      </c>
      <c r="C629" s="33">
        <v>45742.0</v>
      </c>
      <c r="D629" s="34" t="s">
        <v>22</v>
      </c>
      <c r="E629" s="32" t="s">
        <v>1850</v>
      </c>
      <c r="F629" s="34" t="s">
        <v>24</v>
      </c>
      <c r="G629" s="34" t="s">
        <v>386</v>
      </c>
      <c r="H629" s="96" t="s">
        <v>26</v>
      </c>
      <c r="I629" s="35" t="s">
        <v>27</v>
      </c>
      <c r="J629" s="57"/>
      <c r="K629" s="57"/>
      <c r="L629" s="84"/>
    </row>
    <row r="630">
      <c r="A630" s="32" t="s">
        <v>1851</v>
      </c>
      <c r="B630" s="32" t="s">
        <v>1852</v>
      </c>
      <c r="C630" s="33">
        <v>45742.0</v>
      </c>
      <c r="D630" s="34" t="s">
        <v>22</v>
      </c>
      <c r="E630" s="32" t="s">
        <v>1853</v>
      </c>
      <c r="F630" s="34" t="s">
        <v>24</v>
      </c>
      <c r="G630" s="34" t="s">
        <v>96</v>
      </c>
      <c r="H630" s="35" t="s">
        <v>26</v>
      </c>
      <c r="I630" s="36" t="str">
        <f>HYPERLINK("https://open.spotify.com/album/1chpj9FxzYWij0de1mOjzY", "S")</f>
        <v>S</v>
      </c>
      <c r="J630" s="57"/>
      <c r="K630" s="57"/>
      <c r="L630" s="84"/>
    </row>
    <row r="631">
      <c r="A631" s="31" t="s">
        <v>1854</v>
      </c>
      <c r="B631" s="32" t="s">
        <v>1855</v>
      </c>
      <c r="C631" s="33">
        <v>45743.0</v>
      </c>
      <c r="D631" s="47" t="s">
        <v>22</v>
      </c>
      <c r="E631" s="32" t="s">
        <v>745</v>
      </c>
      <c r="F631" s="34" t="s">
        <v>24</v>
      </c>
      <c r="G631" s="34" t="s">
        <v>1856</v>
      </c>
      <c r="H631" s="35" t="s">
        <v>26</v>
      </c>
      <c r="I631" s="36" t="str">
        <f>HYPERLINK("https://open.spotify.com/album/6Cnu2nW6cbsFbRnEd9WkmR", "S")</f>
        <v>S</v>
      </c>
      <c r="J631" s="57"/>
      <c r="K631" s="57"/>
      <c r="L631" s="84"/>
    </row>
    <row r="632">
      <c r="A632" s="31" t="s">
        <v>1857</v>
      </c>
      <c r="B632" s="32" t="s">
        <v>1858</v>
      </c>
      <c r="C632" s="33">
        <v>45743.0</v>
      </c>
      <c r="D632" s="47" t="s">
        <v>22</v>
      </c>
      <c r="E632" s="32" t="s">
        <v>433</v>
      </c>
      <c r="F632" s="34" t="s">
        <v>24</v>
      </c>
      <c r="G632" s="34" t="s">
        <v>442</v>
      </c>
      <c r="H632" s="35" t="s">
        <v>26</v>
      </c>
      <c r="I632" s="36" t="str">
        <f>HYPERLINK("https://open.spotify.com/album/3KZm6VNWsAZa4WAEunwMJJ", "S")</f>
        <v>S</v>
      </c>
      <c r="J632" s="57"/>
      <c r="K632" s="57"/>
      <c r="L632" s="84"/>
    </row>
    <row r="633">
      <c r="A633" s="32" t="s">
        <v>1859</v>
      </c>
      <c r="B633" s="32" t="s">
        <v>1860</v>
      </c>
      <c r="C633" s="33">
        <v>45743.0</v>
      </c>
      <c r="D633" s="34" t="s">
        <v>22</v>
      </c>
      <c r="E633" s="32" t="s">
        <v>122</v>
      </c>
      <c r="F633" s="34" t="s">
        <v>31</v>
      </c>
      <c r="G633" s="34" t="s">
        <v>1861</v>
      </c>
      <c r="H633" s="35" t="s">
        <v>26</v>
      </c>
      <c r="I633" s="36" t="str">
        <f>HYPERLINK("https://open.spotify.com/album/7hCwL7ySWVCboPYtjUgkRN", "S")</f>
        <v>S</v>
      </c>
      <c r="J633" s="57"/>
      <c r="K633" s="57"/>
      <c r="L633" s="84"/>
    </row>
    <row r="634">
      <c r="A634" s="32" t="s">
        <v>1862</v>
      </c>
      <c r="B634" s="32" t="s">
        <v>1863</v>
      </c>
      <c r="C634" s="33">
        <v>45743.0</v>
      </c>
      <c r="D634" s="34" t="s">
        <v>22</v>
      </c>
      <c r="E634" s="32" t="s">
        <v>817</v>
      </c>
      <c r="F634" s="34" t="s">
        <v>31</v>
      </c>
      <c r="G634" s="34" t="s">
        <v>202</v>
      </c>
      <c r="H634" s="35" t="s">
        <v>26</v>
      </c>
      <c r="I634" s="36" t="str">
        <f>HYPERLINK("https://open.spotify.com/album/4Ot5Gy5vXU3y2LwJGXwXK7", "S")</f>
        <v>S</v>
      </c>
      <c r="J634" s="57"/>
      <c r="K634" s="57"/>
      <c r="L634" s="84"/>
    </row>
    <row r="635">
      <c r="A635" s="32" t="s">
        <v>1864</v>
      </c>
      <c r="B635" s="32" t="s">
        <v>1865</v>
      </c>
      <c r="C635" s="33">
        <v>45743.0</v>
      </c>
      <c r="D635" s="34" t="s">
        <v>22</v>
      </c>
      <c r="E635" s="32" t="s">
        <v>737</v>
      </c>
      <c r="F635" s="34" t="s">
        <v>53</v>
      </c>
      <c r="G635" s="34" t="s">
        <v>1213</v>
      </c>
      <c r="H635" s="35" t="s">
        <v>26</v>
      </c>
      <c r="I635" s="36" t="str">
        <f>HYPERLINK("https://open.spotify.com/album/41MbdW2TxV4tqIY1LBlPkV", "S")</f>
        <v>S</v>
      </c>
      <c r="J635" s="57"/>
      <c r="K635" s="57"/>
      <c r="L635" s="84"/>
    </row>
    <row r="636">
      <c r="A636" s="32" t="s">
        <v>1866</v>
      </c>
      <c r="B636" s="32" t="s">
        <v>1867</v>
      </c>
      <c r="C636" s="33">
        <v>45744.0</v>
      </c>
      <c r="D636" s="34" t="s">
        <v>22</v>
      </c>
      <c r="E636" s="32" t="s">
        <v>1868</v>
      </c>
      <c r="F636" s="34" t="s">
        <v>24</v>
      </c>
      <c r="G636" s="34" t="s">
        <v>1520</v>
      </c>
      <c r="H636" s="35" t="s">
        <v>26</v>
      </c>
      <c r="I636" s="35" t="s">
        <v>27</v>
      </c>
      <c r="J636" s="35" t="s">
        <v>100</v>
      </c>
      <c r="K636" s="57"/>
      <c r="L636" s="84"/>
    </row>
    <row r="637">
      <c r="A637" s="32" t="s">
        <v>1869</v>
      </c>
      <c r="B637" s="32" t="s">
        <v>1870</v>
      </c>
      <c r="C637" s="33">
        <v>45744.0</v>
      </c>
      <c r="D637" s="34" t="s">
        <v>22</v>
      </c>
      <c r="E637" s="32" t="s">
        <v>1871</v>
      </c>
      <c r="F637" s="34" t="s">
        <v>156</v>
      </c>
      <c r="G637" s="34" t="s">
        <v>1404</v>
      </c>
      <c r="H637" s="66"/>
      <c r="I637" s="35" t="s">
        <v>27</v>
      </c>
      <c r="J637" s="57"/>
      <c r="K637" s="57"/>
      <c r="L637" s="84"/>
    </row>
    <row r="638">
      <c r="A638" s="32" t="s">
        <v>1872</v>
      </c>
      <c r="B638" s="32" t="s">
        <v>1873</v>
      </c>
      <c r="C638" s="33">
        <v>45744.0</v>
      </c>
      <c r="D638" s="34" t="s">
        <v>22</v>
      </c>
      <c r="E638" s="32" t="s">
        <v>136</v>
      </c>
      <c r="F638" s="34" t="s">
        <v>53</v>
      </c>
      <c r="G638" s="34" t="s">
        <v>611</v>
      </c>
      <c r="H638" s="66"/>
      <c r="I638" s="35" t="s">
        <v>27</v>
      </c>
      <c r="J638" s="57"/>
      <c r="K638" s="57"/>
      <c r="L638" s="84"/>
    </row>
    <row r="639">
      <c r="A639" s="32" t="s">
        <v>1874</v>
      </c>
      <c r="B639" s="32" t="s">
        <v>1875</v>
      </c>
      <c r="C639" s="33">
        <v>45744.0</v>
      </c>
      <c r="D639" s="34" t="s">
        <v>22</v>
      </c>
      <c r="E639" s="97" t="s">
        <v>44</v>
      </c>
      <c r="F639" s="34" t="s">
        <v>53</v>
      </c>
      <c r="G639" s="34" t="s">
        <v>539</v>
      </c>
      <c r="H639" s="35" t="s">
        <v>26</v>
      </c>
      <c r="I639" s="35" t="s">
        <v>27</v>
      </c>
      <c r="J639" s="57"/>
      <c r="K639" s="57"/>
      <c r="L639" s="84"/>
    </row>
    <row r="640">
      <c r="A640" s="32" t="s">
        <v>1876</v>
      </c>
      <c r="B640" s="32" t="s">
        <v>1877</v>
      </c>
      <c r="C640" s="33">
        <v>45744.0</v>
      </c>
      <c r="D640" s="47" t="s">
        <v>39</v>
      </c>
      <c r="E640" s="32" t="s">
        <v>44</v>
      </c>
      <c r="F640" s="34" t="s">
        <v>24</v>
      </c>
      <c r="G640" s="34" t="s">
        <v>1878</v>
      </c>
      <c r="H640" s="35" t="s">
        <v>26</v>
      </c>
      <c r="I640" s="35" t="s">
        <v>27</v>
      </c>
      <c r="J640" s="57"/>
      <c r="K640" s="57"/>
      <c r="L640" s="84"/>
    </row>
    <row r="641">
      <c r="A641" s="32" t="s">
        <v>1879</v>
      </c>
      <c r="B641" s="32" t="s">
        <v>1880</v>
      </c>
      <c r="C641" s="33">
        <v>45744.0</v>
      </c>
      <c r="D641" s="34" t="s">
        <v>22</v>
      </c>
      <c r="E641" s="32" t="s">
        <v>370</v>
      </c>
      <c r="F641" s="34" t="s">
        <v>53</v>
      </c>
      <c r="G641" s="34" t="s">
        <v>1881</v>
      </c>
      <c r="H641" s="35" t="s">
        <v>26</v>
      </c>
      <c r="I641" s="58" t="str">
        <f>HYPERLINK("https://open.spotify.com/album/4vi0NLdZLpaoQHLfHk37Uv", "S")</f>
        <v>S</v>
      </c>
      <c r="J641" s="35" t="s">
        <v>100</v>
      </c>
      <c r="K641" s="57"/>
      <c r="L641" s="84"/>
    </row>
    <row r="642">
      <c r="A642" s="32" t="s">
        <v>1882</v>
      </c>
      <c r="B642" s="32" t="s">
        <v>1883</v>
      </c>
      <c r="C642" s="33">
        <v>45744.0</v>
      </c>
      <c r="D642" s="47" t="s">
        <v>39</v>
      </c>
      <c r="E642" s="32" t="s">
        <v>122</v>
      </c>
      <c r="F642" s="34" t="s">
        <v>31</v>
      </c>
      <c r="G642" s="34" t="s">
        <v>1884</v>
      </c>
      <c r="H642" s="35" t="s">
        <v>26</v>
      </c>
      <c r="I642" s="35" t="s">
        <v>27</v>
      </c>
      <c r="J642" s="57"/>
      <c r="K642" s="57"/>
      <c r="L642" s="84"/>
    </row>
    <row r="643">
      <c r="A643" s="32" t="s">
        <v>1885</v>
      </c>
      <c r="B643" s="32" t="s">
        <v>1886</v>
      </c>
      <c r="C643" s="33">
        <v>45744.0</v>
      </c>
      <c r="D643" s="34" t="s">
        <v>22</v>
      </c>
      <c r="E643" s="32" t="s">
        <v>1887</v>
      </c>
      <c r="F643" s="34" t="s">
        <v>24</v>
      </c>
      <c r="G643" s="34" t="s">
        <v>1583</v>
      </c>
      <c r="H643" s="35" t="s">
        <v>26</v>
      </c>
      <c r="I643" s="35" t="s">
        <v>27</v>
      </c>
      <c r="J643" s="57"/>
      <c r="K643" s="57"/>
      <c r="L643" s="84"/>
    </row>
    <row r="644">
      <c r="A644" s="32" t="s">
        <v>1888</v>
      </c>
      <c r="B644" s="32" t="s">
        <v>1889</v>
      </c>
      <c r="C644" s="33">
        <v>45744.0</v>
      </c>
      <c r="D644" s="69" t="s">
        <v>39</v>
      </c>
      <c r="E644" s="32" t="s">
        <v>1890</v>
      </c>
      <c r="F644" s="34" t="s">
        <v>24</v>
      </c>
      <c r="G644" s="34" t="s">
        <v>437</v>
      </c>
      <c r="H644" s="35" t="s">
        <v>26</v>
      </c>
      <c r="I644" s="34"/>
      <c r="J644" s="35" t="s">
        <v>100</v>
      </c>
      <c r="K644" s="57"/>
      <c r="L644" s="84"/>
    </row>
    <row r="645">
      <c r="A645" s="31" t="s">
        <v>1891</v>
      </c>
      <c r="B645" s="32" t="s">
        <v>1892</v>
      </c>
      <c r="C645" s="33">
        <v>45744.0</v>
      </c>
      <c r="D645" s="34" t="s">
        <v>39</v>
      </c>
      <c r="E645" s="32" t="s">
        <v>122</v>
      </c>
      <c r="F645" s="34" t="s">
        <v>53</v>
      </c>
      <c r="G645" s="34" t="s">
        <v>1694</v>
      </c>
      <c r="H645" s="35" t="s">
        <v>26</v>
      </c>
      <c r="I645" s="35" t="s">
        <v>27</v>
      </c>
      <c r="J645" s="35" t="s">
        <v>100</v>
      </c>
      <c r="K645" s="57"/>
      <c r="L645" s="84"/>
    </row>
    <row r="646">
      <c r="A646" s="31" t="s">
        <v>1893</v>
      </c>
      <c r="B646" s="32" t="s">
        <v>1893</v>
      </c>
      <c r="C646" s="33">
        <v>45744.0</v>
      </c>
      <c r="D646" s="47" t="s">
        <v>22</v>
      </c>
      <c r="E646" s="32" t="s">
        <v>781</v>
      </c>
      <c r="F646" s="34" t="s">
        <v>24</v>
      </c>
      <c r="G646" s="34" t="s">
        <v>1028</v>
      </c>
      <c r="H646" s="35" t="s">
        <v>26</v>
      </c>
      <c r="I646" s="35" t="s">
        <v>27</v>
      </c>
      <c r="J646" s="57"/>
      <c r="K646" s="57"/>
      <c r="L646" s="84"/>
    </row>
    <row r="647">
      <c r="A647" s="31" t="s">
        <v>1894</v>
      </c>
      <c r="B647" s="32" t="s">
        <v>1894</v>
      </c>
      <c r="C647" s="33">
        <v>45744.0</v>
      </c>
      <c r="D647" s="47" t="s">
        <v>22</v>
      </c>
      <c r="E647" s="32" t="s">
        <v>1895</v>
      </c>
      <c r="F647" s="34" t="s">
        <v>156</v>
      </c>
      <c r="G647" s="34" t="s">
        <v>41</v>
      </c>
      <c r="H647" s="35" t="s">
        <v>26</v>
      </c>
      <c r="I647" s="58" t="str">
        <f>HYPERLINK("https://open.spotify.com/album/0cwKo3CWoXJ47DhqbQ6WuM", "S")</f>
        <v>S</v>
      </c>
      <c r="J647" s="57"/>
      <c r="K647" s="57"/>
      <c r="L647" s="84"/>
    </row>
    <row r="648">
      <c r="A648" s="31" t="s">
        <v>1896</v>
      </c>
      <c r="B648" s="32" t="s">
        <v>1897</v>
      </c>
      <c r="C648" s="33">
        <v>45744.0</v>
      </c>
      <c r="D648" s="34" t="s">
        <v>39</v>
      </c>
      <c r="E648" s="32" t="s">
        <v>1898</v>
      </c>
      <c r="F648" s="34" t="s">
        <v>24</v>
      </c>
      <c r="G648" s="34" t="s">
        <v>365</v>
      </c>
      <c r="H648" s="35" t="s">
        <v>26</v>
      </c>
      <c r="I648" s="35" t="s">
        <v>27</v>
      </c>
      <c r="J648" s="57"/>
      <c r="K648" s="57"/>
      <c r="L648" s="84"/>
    </row>
    <row r="649">
      <c r="A649" s="31" t="s">
        <v>1899</v>
      </c>
      <c r="B649" s="32" t="s">
        <v>1900</v>
      </c>
      <c r="C649" s="33">
        <v>45744.0</v>
      </c>
      <c r="D649" s="34" t="s">
        <v>22</v>
      </c>
      <c r="E649" s="32" t="s">
        <v>1516</v>
      </c>
      <c r="F649" s="34" t="s">
        <v>53</v>
      </c>
      <c r="G649" s="34" t="s">
        <v>25</v>
      </c>
      <c r="H649" s="35" t="s">
        <v>26</v>
      </c>
      <c r="I649" s="35" t="s">
        <v>27</v>
      </c>
      <c r="J649" s="57"/>
      <c r="K649" s="57"/>
      <c r="L649" s="84"/>
    </row>
    <row r="650">
      <c r="A650" s="31" t="s">
        <v>1901</v>
      </c>
      <c r="B650" s="32" t="s">
        <v>1902</v>
      </c>
      <c r="C650" s="59">
        <v>45744.0</v>
      </c>
      <c r="D650" s="34" t="s">
        <v>22</v>
      </c>
      <c r="E650" s="32" t="s">
        <v>945</v>
      </c>
      <c r="F650" s="34" t="s">
        <v>53</v>
      </c>
      <c r="G650" s="34" t="s">
        <v>1392</v>
      </c>
      <c r="H650" s="35" t="s">
        <v>26</v>
      </c>
      <c r="I650" s="35" t="s">
        <v>27</v>
      </c>
      <c r="J650" s="57"/>
      <c r="K650" s="57"/>
      <c r="L650" s="84"/>
    </row>
    <row r="651">
      <c r="A651" s="31" t="s">
        <v>1903</v>
      </c>
      <c r="B651" s="32" t="s">
        <v>1904</v>
      </c>
      <c r="C651" s="33">
        <v>45744.0</v>
      </c>
      <c r="D651" s="34" t="s">
        <v>22</v>
      </c>
      <c r="E651" s="32" t="s">
        <v>192</v>
      </c>
      <c r="F651" s="34" t="s">
        <v>156</v>
      </c>
      <c r="G651" s="34" t="s">
        <v>371</v>
      </c>
      <c r="H651" s="35" t="s">
        <v>26</v>
      </c>
      <c r="I651" s="35" t="s">
        <v>27</v>
      </c>
      <c r="J651" s="57"/>
      <c r="K651" s="57"/>
      <c r="L651" s="84"/>
    </row>
    <row r="652">
      <c r="A652" s="31" t="s">
        <v>1905</v>
      </c>
      <c r="B652" s="32" t="s">
        <v>1906</v>
      </c>
      <c r="C652" s="33">
        <v>45744.0</v>
      </c>
      <c r="D652" s="34" t="s">
        <v>22</v>
      </c>
      <c r="E652" s="32" t="s">
        <v>69</v>
      </c>
      <c r="F652" s="34" t="s">
        <v>53</v>
      </c>
      <c r="G652" s="34" t="s">
        <v>1907</v>
      </c>
      <c r="H652" s="35" t="s">
        <v>26</v>
      </c>
      <c r="I652" s="35" t="s">
        <v>27</v>
      </c>
      <c r="J652" s="35" t="s">
        <v>100</v>
      </c>
      <c r="K652" s="57"/>
      <c r="L652" s="84"/>
    </row>
    <row r="653">
      <c r="A653" s="31" t="s">
        <v>1908</v>
      </c>
      <c r="B653" s="32" t="s">
        <v>1909</v>
      </c>
      <c r="C653" s="33">
        <v>45744.0</v>
      </c>
      <c r="D653" s="34" t="s">
        <v>22</v>
      </c>
      <c r="E653" s="32" t="s">
        <v>513</v>
      </c>
      <c r="F653" s="34" t="s">
        <v>156</v>
      </c>
      <c r="G653" s="34" t="s">
        <v>549</v>
      </c>
      <c r="H653" s="35" t="s">
        <v>26</v>
      </c>
      <c r="I653" s="35" t="s">
        <v>27</v>
      </c>
      <c r="J653" s="57"/>
      <c r="K653" s="57"/>
      <c r="L653" s="84"/>
    </row>
    <row r="654">
      <c r="A654" s="31" t="s">
        <v>1910</v>
      </c>
      <c r="B654" s="32" t="s">
        <v>1911</v>
      </c>
      <c r="C654" s="33">
        <v>45744.0</v>
      </c>
      <c r="D654" s="47" t="s">
        <v>22</v>
      </c>
      <c r="E654" s="32" t="s">
        <v>192</v>
      </c>
      <c r="F654" s="34" t="s">
        <v>156</v>
      </c>
      <c r="G654" s="34" t="s">
        <v>285</v>
      </c>
      <c r="H654" s="35" t="s">
        <v>26</v>
      </c>
      <c r="I654" s="35" t="s">
        <v>27</v>
      </c>
      <c r="J654" s="57"/>
      <c r="K654" s="57"/>
      <c r="L654" s="84"/>
    </row>
    <row r="655">
      <c r="A655" s="31" t="s">
        <v>1912</v>
      </c>
      <c r="B655" s="32" t="s">
        <v>1913</v>
      </c>
      <c r="C655" s="33">
        <v>45744.0</v>
      </c>
      <c r="D655" s="34" t="s">
        <v>22</v>
      </c>
      <c r="E655" s="32" t="s">
        <v>328</v>
      </c>
      <c r="F655" s="34" t="s">
        <v>156</v>
      </c>
      <c r="G655" s="34" t="s">
        <v>1914</v>
      </c>
      <c r="H655" s="35" t="s">
        <v>26</v>
      </c>
      <c r="I655" s="35" t="s">
        <v>27</v>
      </c>
      <c r="J655" s="57"/>
      <c r="K655" s="57"/>
      <c r="L655" s="84"/>
    </row>
    <row r="656">
      <c r="A656" s="31" t="s">
        <v>1915</v>
      </c>
      <c r="B656" s="32" t="s">
        <v>1916</v>
      </c>
      <c r="C656" s="33">
        <v>45744.0</v>
      </c>
      <c r="D656" s="34" t="s">
        <v>22</v>
      </c>
      <c r="E656" s="32" t="s">
        <v>168</v>
      </c>
      <c r="F656" s="34" t="s">
        <v>53</v>
      </c>
      <c r="G656" s="34" t="s">
        <v>454</v>
      </c>
      <c r="H656" s="66"/>
      <c r="I656" s="35" t="s">
        <v>27</v>
      </c>
      <c r="J656" s="57"/>
      <c r="K656" s="57"/>
      <c r="L656" s="84"/>
    </row>
    <row r="657">
      <c r="A657" s="31" t="s">
        <v>1917</v>
      </c>
      <c r="B657" s="32" t="s">
        <v>1918</v>
      </c>
      <c r="C657" s="33">
        <v>45744.0</v>
      </c>
      <c r="D657" s="34" t="s">
        <v>39</v>
      </c>
      <c r="E657" s="32" t="s">
        <v>84</v>
      </c>
      <c r="F657" s="34" t="s">
        <v>53</v>
      </c>
      <c r="G657" s="34" t="s">
        <v>41</v>
      </c>
      <c r="H657" s="66"/>
      <c r="I657" s="35" t="s">
        <v>27</v>
      </c>
      <c r="J657" s="57"/>
      <c r="K657" s="57"/>
      <c r="L657" s="84"/>
    </row>
    <row r="658">
      <c r="A658" s="31" t="s">
        <v>1919</v>
      </c>
      <c r="B658" s="32" t="s">
        <v>1920</v>
      </c>
      <c r="C658" s="33">
        <v>45744.0</v>
      </c>
      <c r="D658" s="34" t="s">
        <v>39</v>
      </c>
      <c r="E658" s="32" t="s">
        <v>1000</v>
      </c>
      <c r="F658" s="34" t="s">
        <v>53</v>
      </c>
      <c r="G658" s="34" t="s">
        <v>1921</v>
      </c>
      <c r="H658" s="35" t="s">
        <v>26</v>
      </c>
      <c r="I658" s="35" t="s">
        <v>27</v>
      </c>
      <c r="J658" s="57"/>
      <c r="K658" s="57"/>
      <c r="L658" s="84"/>
    </row>
    <row r="659">
      <c r="A659" s="31" t="s">
        <v>1919</v>
      </c>
      <c r="B659" s="32" t="s">
        <v>1922</v>
      </c>
      <c r="C659" s="33">
        <v>45744.0</v>
      </c>
      <c r="D659" s="34" t="s">
        <v>39</v>
      </c>
      <c r="E659" s="32" t="s">
        <v>1000</v>
      </c>
      <c r="F659" s="34" t="s">
        <v>53</v>
      </c>
      <c r="G659" s="34" t="s">
        <v>1921</v>
      </c>
      <c r="H659" s="35" t="s">
        <v>26</v>
      </c>
      <c r="I659" s="35" t="s">
        <v>27</v>
      </c>
      <c r="J659" s="57"/>
      <c r="K659" s="57"/>
      <c r="L659" s="84"/>
    </row>
    <row r="660">
      <c r="A660" s="31" t="s">
        <v>1923</v>
      </c>
      <c r="B660" s="32" t="s">
        <v>1924</v>
      </c>
      <c r="C660" s="33">
        <v>45744.0</v>
      </c>
      <c r="D660" s="34" t="s">
        <v>22</v>
      </c>
      <c r="E660" s="32" t="s">
        <v>52</v>
      </c>
      <c r="F660" s="34" t="s">
        <v>53</v>
      </c>
      <c r="G660" s="34" t="s">
        <v>1925</v>
      </c>
      <c r="H660" s="35" t="s">
        <v>26</v>
      </c>
      <c r="I660" s="35" t="s">
        <v>27</v>
      </c>
      <c r="J660" s="35" t="s">
        <v>100</v>
      </c>
      <c r="K660" s="57"/>
      <c r="L660" s="84"/>
    </row>
    <row r="661">
      <c r="A661" s="31" t="s">
        <v>1926</v>
      </c>
      <c r="B661" s="32" t="s">
        <v>1927</v>
      </c>
      <c r="C661" s="33">
        <v>45744.0</v>
      </c>
      <c r="D661" s="47" t="s">
        <v>22</v>
      </c>
      <c r="E661" s="32" t="s">
        <v>1089</v>
      </c>
      <c r="F661" s="34" t="s">
        <v>24</v>
      </c>
      <c r="G661" s="34" t="s">
        <v>1928</v>
      </c>
      <c r="H661" s="35" t="s">
        <v>26</v>
      </c>
      <c r="I661" s="35" t="s">
        <v>27</v>
      </c>
      <c r="J661" s="57"/>
      <c r="K661" s="57"/>
      <c r="L661" s="84"/>
    </row>
    <row r="662">
      <c r="A662" s="31" t="s">
        <v>1929</v>
      </c>
      <c r="B662" s="32" t="s">
        <v>1930</v>
      </c>
      <c r="C662" s="33">
        <v>45744.0</v>
      </c>
      <c r="D662" s="34" t="s">
        <v>22</v>
      </c>
      <c r="E662" s="32" t="s">
        <v>1931</v>
      </c>
      <c r="F662" s="34" t="s">
        <v>53</v>
      </c>
      <c r="G662" s="34" t="s">
        <v>1845</v>
      </c>
      <c r="H662" s="35" t="s">
        <v>26</v>
      </c>
      <c r="I662" s="35" t="s">
        <v>27</v>
      </c>
      <c r="J662" s="57"/>
      <c r="K662" s="57"/>
      <c r="L662" s="84"/>
    </row>
    <row r="663">
      <c r="A663" s="31" t="s">
        <v>1932</v>
      </c>
      <c r="B663" s="32" t="s">
        <v>1933</v>
      </c>
      <c r="C663" s="33">
        <v>45744.0</v>
      </c>
      <c r="D663" s="34" t="s">
        <v>22</v>
      </c>
      <c r="E663" s="32" t="s">
        <v>107</v>
      </c>
      <c r="F663" s="34" t="s">
        <v>31</v>
      </c>
      <c r="G663" s="34" t="s">
        <v>1934</v>
      </c>
      <c r="H663" s="35" t="s">
        <v>26</v>
      </c>
      <c r="I663" s="35" t="s">
        <v>27</v>
      </c>
      <c r="J663" s="35" t="s">
        <v>100</v>
      </c>
      <c r="K663" s="57"/>
      <c r="L663" s="84"/>
    </row>
    <row r="664">
      <c r="A664" s="31" t="s">
        <v>1935</v>
      </c>
      <c r="B664" s="32" t="s">
        <v>1936</v>
      </c>
      <c r="C664" s="33">
        <v>45744.0</v>
      </c>
      <c r="D664" s="34" t="s">
        <v>39</v>
      </c>
      <c r="E664" s="32" t="s">
        <v>1937</v>
      </c>
      <c r="F664" s="34" t="s">
        <v>53</v>
      </c>
      <c r="G664" s="34" t="s">
        <v>1938</v>
      </c>
      <c r="H664" s="35" t="s">
        <v>26</v>
      </c>
      <c r="I664" s="35" t="s">
        <v>27</v>
      </c>
      <c r="J664" s="57"/>
      <c r="K664" s="57"/>
      <c r="L664" s="84"/>
    </row>
    <row r="665">
      <c r="A665" s="32" t="s">
        <v>1939</v>
      </c>
      <c r="B665" s="32" t="s">
        <v>1940</v>
      </c>
      <c r="C665" s="45">
        <v>45744.0</v>
      </c>
      <c r="D665" s="68" t="s">
        <v>22</v>
      </c>
      <c r="E665" s="32" t="s">
        <v>84</v>
      </c>
      <c r="F665" s="34" t="s">
        <v>53</v>
      </c>
      <c r="G665" s="34" t="s">
        <v>1941</v>
      </c>
      <c r="H665" s="65"/>
      <c r="I665" s="35" t="s">
        <v>27</v>
      </c>
      <c r="J665" s="57"/>
      <c r="K665" s="57"/>
      <c r="L665" s="84"/>
    </row>
    <row r="666">
      <c r="A666" s="31" t="s">
        <v>1942</v>
      </c>
      <c r="B666" s="32" t="s">
        <v>1943</v>
      </c>
      <c r="C666" s="45">
        <v>45744.0</v>
      </c>
      <c r="D666" s="34" t="s">
        <v>22</v>
      </c>
      <c r="E666" s="32" t="s">
        <v>160</v>
      </c>
      <c r="F666" s="34" t="s">
        <v>24</v>
      </c>
      <c r="G666" s="34" t="s">
        <v>1944</v>
      </c>
      <c r="H666" s="35" t="s">
        <v>26</v>
      </c>
      <c r="I666" s="35" t="s">
        <v>27</v>
      </c>
      <c r="J666" s="57"/>
      <c r="K666" s="57"/>
      <c r="L666" s="84"/>
    </row>
    <row r="667">
      <c r="A667" s="31" t="s">
        <v>1945</v>
      </c>
      <c r="B667" s="32" t="s">
        <v>1946</v>
      </c>
      <c r="C667" s="45">
        <v>45744.0</v>
      </c>
      <c r="D667" s="34" t="s">
        <v>22</v>
      </c>
      <c r="E667" s="32" t="s">
        <v>1444</v>
      </c>
      <c r="F667" s="34" t="s">
        <v>24</v>
      </c>
      <c r="G667" s="34" t="s">
        <v>510</v>
      </c>
      <c r="H667" s="35" t="s">
        <v>26</v>
      </c>
      <c r="I667" s="35" t="s">
        <v>27</v>
      </c>
      <c r="J667" s="57"/>
      <c r="K667" s="57"/>
      <c r="L667" s="84"/>
    </row>
    <row r="668">
      <c r="A668" s="31" t="s">
        <v>1947</v>
      </c>
      <c r="B668" s="32" t="s">
        <v>1948</v>
      </c>
      <c r="C668" s="33">
        <v>45744.0</v>
      </c>
      <c r="D668" s="34" t="s">
        <v>39</v>
      </c>
      <c r="E668" s="32" t="s">
        <v>1329</v>
      </c>
      <c r="F668" s="34" t="s">
        <v>156</v>
      </c>
      <c r="G668" s="34" t="s">
        <v>62</v>
      </c>
      <c r="H668" s="35" t="s">
        <v>26</v>
      </c>
      <c r="I668" s="35" t="s">
        <v>27</v>
      </c>
      <c r="J668" s="57"/>
      <c r="K668" s="57"/>
      <c r="L668" s="84"/>
    </row>
    <row r="669">
      <c r="A669" s="31" t="s">
        <v>1949</v>
      </c>
      <c r="B669" s="32" t="s">
        <v>1950</v>
      </c>
      <c r="C669" s="33">
        <v>45744.0</v>
      </c>
      <c r="D669" s="34" t="s">
        <v>39</v>
      </c>
      <c r="E669" s="32" t="s">
        <v>77</v>
      </c>
      <c r="F669" s="34" t="s">
        <v>53</v>
      </c>
      <c r="G669" s="34" t="s">
        <v>161</v>
      </c>
      <c r="H669" s="35" t="s">
        <v>26</v>
      </c>
      <c r="I669" s="35" t="s">
        <v>27</v>
      </c>
      <c r="J669" s="57"/>
      <c r="K669" s="57"/>
      <c r="L669" s="84"/>
    </row>
    <row r="670">
      <c r="A670" s="31" t="s">
        <v>1951</v>
      </c>
      <c r="B670" s="32" t="s">
        <v>1952</v>
      </c>
      <c r="C670" s="33">
        <v>45744.0</v>
      </c>
      <c r="D670" s="34" t="s">
        <v>22</v>
      </c>
      <c r="E670" s="32" t="s">
        <v>1953</v>
      </c>
      <c r="F670" s="34" t="s">
        <v>24</v>
      </c>
      <c r="G670" s="34" t="s">
        <v>1954</v>
      </c>
      <c r="H670" s="35" t="s">
        <v>26</v>
      </c>
      <c r="I670" s="35" t="s">
        <v>27</v>
      </c>
      <c r="J670" s="57"/>
      <c r="K670" s="57"/>
      <c r="L670" s="84"/>
    </row>
    <row r="671">
      <c r="A671" s="31" t="s">
        <v>1955</v>
      </c>
      <c r="B671" s="32" t="s">
        <v>1956</v>
      </c>
      <c r="C671" s="33">
        <v>45744.0</v>
      </c>
      <c r="D671" s="34" t="s">
        <v>22</v>
      </c>
      <c r="E671" s="32" t="s">
        <v>513</v>
      </c>
      <c r="F671" s="34" t="s">
        <v>156</v>
      </c>
      <c r="G671" s="34" t="s">
        <v>1583</v>
      </c>
      <c r="H671" s="35" t="s">
        <v>26</v>
      </c>
      <c r="I671" s="35" t="s">
        <v>27</v>
      </c>
      <c r="J671" s="57"/>
      <c r="K671" s="57"/>
      <c r="L671" s="84"/>
    </row>
    <row r="672">
      <c r="A672" s="31" t="s">
        <v>1957</v>
      </c>
      <c r="B672" s="32" t="s">
        <v>1958</v>
      </c>
      <c r="C672" s="33">
        <v>45744.0</v>
      </c>
      <c r="D672" s="34" t="s">
        <v>22</v>
      </c>
      <c r="E672" s="32" t="s">
        <v>1758</v>
      </c>
      <c r="F672" s="34" t="s">
        <v>156</v>
      </c>
      <c r="G672" s="34" t="s">
        <v>1959</v>
      </c>
      <c r="H672" s="35" t="s">
        <v>26</v>
      </c>
      <c r="I672" s="35" t="s">
        <v>27</v>
      </c>
      <c r="J672" s="57"/>
      <c r="K672" s="57"/>
      <c r="L672" s="84"/>
    </row>
    <row r="673">
      <c r="A673" s="31" t="s">
        <v>1960</v>
      </c>
      <c r="B673" s="32" t="s">
        <v>1961</v>
      </c>
      <c r="C673" s="33">
        <v>45744.0</v>
      </c>
      <c r="D673" s="34" t="s">
        <v>22</v>
      </c>
      <c r="E673" s="32" t="s">
        <v>61</v>
      </c>
      <c r="F673" s="34" t="s">
        <v>24</v>
      </c>
      <c r="G673" s="34" t="s">
        <v>257</v>
      </c>
      <c r="H673" s="35" t="s">
        <v>26</v>
      </c>
      <c r="I673" s="35" t="s">
        <v>27</v>
      </c>
      <c r="J673" s="57"/>
      <c r="K673" s="57"/>
      <c r="L673" s="84"/>
    </row>
    <row r="674">
      <c r="A674" s="31" t="s">
        <v>1962</v>
      </c>
      <c r="B674" s="32" t="s">
        <v>1963</v>
      </c>
      <c r="C674" s="33">
        <v>45744.0</v>
      </c>
      <c r="D674" s="34" t="s">
        <v>22</v>
      </c>
      <c r="E674" s="32" t="s">
        <v>73</v>
      </c>
      <c r="F674" s="34" t="s">
        <v>24</v>
      </c>
      <c r="G674" s="34" t="s">
        <v>693</v>
      </c>
      <c r="H674" s="35" t="s">
        <v>26</v>
      </c>
      <c r="I674" s="35" t="s">
        <v>27</v>
      </c>
      <c r="J674" s="35" t="s">
        <v>100</v>
      </c>
      <c r="K674" s="57"/>
      <c r="L674" s="84"/>
    </row>
    <row r="675">
      <c r="A675" s="31" t="s">
        <v>1964</v>
      </c>
      <c r="B675" s="32" t="s">
        <v>1965</v>
      </c>
      <c r="C675" s="33">
        <v>45744.0</v>
      </c>
      <c r="D675" s="34" t="s">
        <v>39</v>
      </c>
      <c r="E675" s="32" t="s">
        <v>1516</v>
      </c>
      <c r="F675" s="34" t="s">
        <v>53</v>
      </c>
      <c r="G675" s="34" t="s">
        <v>104</v>
      </c>
      <c r="H675" s="35" t="s">
        <v>26</v>
      </c>
      <c r="I675" s="35" t="s">
        <v>27</v>
      </c>
      <c r="J675" s="57"/>
      <c r="K675" s="57"/>
      <c r="L675" s="84"/>
    </row>
    <row r="676">
      <c r="A676" s="31" t="s">
        <v>1966</v>
      </c>
      <c r="B676" s="32" t="s">
        <v>1325</v>
      </c>
      <c r="C676" s="33">
        <v>45744.0</v>
      </c>
      <c r="D676" s="34" t="s">
        <v>22</v>
      </c>
      <c r="E676" s="32" t="s">
        <v>77</v>
      </c>
      <c r="F676" s="34" t="s">
        <v>53</v>
      </c>
      <c r="G676" s="34" t="s">
        <v>62</v>
      </c>
      <c r="H676" s="35" t="s">
        <v>26</v>
      </c>
      <c r="I676" s="35" t="s">
        <v>27</v>
      </c>
      <c r="J676" s="57"/>
      <c r="K676" s="57"/>
      <c r="L676" s="84"/>
    </row>
    <row r="677">
      <c r="A677" s="31" t="s">
        <v>1967</v>
      </c>
      <c r="B677" s="32" t="s">
        <v>1968</v>
      </c>
      <c r="C677" s="33">
        <v>45744.0</v>
      </c>
      <c r="D677" s="47" t="s">
        <v>22</v>
      </c>
      <c r="E677" s="32" t="s">
        <v>513</v>
      </c>
      <c r="F677" s="34" t="s">
        <v>156</v>
      </c>
      <c r="G677" s="34" t="s">
        <v>440</v>
      </c>
      <c r="H677" s="35" t="s">
        <v>26</v>
      </c>
      <c r="I677" s="35" t="s">
        <v>27</v>
      </c>
      <c r="J677" s="57"/>
      <c r="K677" s="57"/>
      <c r="L677" s="84"/>
    </row>
    <row r="678">
      <c r="A678" s="31" t="s">
        <v>1969</v>
      </c>
      <c r="B678" s="32" t="s">
        <v>1970</v>
      </c>
      <c r="C678" s="33">
        <v>45744.0</v>
      </c>
      <c r="D678" s="34" t="s">
        <v>22</v>
      </c>
      <c r="E678" s="32" t="s">
        <v>463</v>
      </c>
      <c r="F678" s="34" t="s">
        <v>156</v>
      </c>
      <c r="G678" s="34" t="s">
        <v>510</v>
      </c>
      <c r="H678" s="35" t="s">
        <v>26</v>
      </c>
      <c r="I678" s="35" t="s">
        <v>27</v>
      </c>
      <c r="J678" s="57"/>
      <c r="K678" s="57"/>
      <c r="L678" s="84"/>
    </row>
    <row r="679">
      <c r="A679" s="31" t="s">
        <v>1971</v>
      </c>
      <c r="B679" s="32" t="s">
        <v>1972</v>
      </c>
      <c r="C679" s="33">
        <v>45744.0</v>
      </c>
      <c r="D679" s="34" t="s">
        <v>22</v>
      </c>
      <c r="E679" s="32" t="s">
        <v>1973</v>
      </c>
      <c r="F679" s="34" t="s">
        <v>24</v>
      </c>
      <c r="G679" s="34" t="s">
        <v>1340</v>
      </c>
      <c r="H679" s="35" t="s">
        <v>26</v>
      </c>
      <c r="I679" s="35" t="s">
        <v>27</v>
      </c>
      <c r="J679" s="57"/>
      <c r="K679" s="57"/>
      <c r="L679" s="84"/>
    </row>
    <row r="680">
      <c r="A680" s="31" t="s">
        <v>1974</v>
      </c>
      <c r="B680" s="32" t="s">
        <v>1975</v>
      </c>
      <c r="C680" s="33">
        <v>45744.0</v>
      </c>
      <c r="D680" s="34" t="s">
        <v>22</v>
      </c>
      <c r="E680" s="32" t="s">
        <v>837</v>
      </c>
      <c r="F680" s="34" t="s">
        <v>24</v>
      </c>
      <c r="G680" s="34" t="s">
        <v>299</v>
      </c>
      <c r="H680" s="35" t="s">
        <v>26</v>
      </c>
      <c r="I680" s="35" t="s">
        <v>27</v>
      </c>
      <c r="J680" s="35" t="s">
        <v>100</v>
      </c>
      <c r="K680" s="57"/>
      <c r="L680" s="84"/>
    </row>
    <row r="681">
      <c r="A681" s="31" t="s">
        <v>1976</v>
      </c>
      <c r="B681" s="32" t="s">
        <v>1977</v>
      </c>
      <c r="C681" s="33">
        <v>45744.0</v>
      </c>
      <c r="D681" s="34" t="s">
        <v>22</v>
      </c>
      <c r="E681" s="32" t="s">
        <v>61</v>
      </c>
      <c r="F681" s="34" t="s">
        <v>24</v>
      </c>
      <c r="G681" s="34" t="s">
        <v>892</v>
      </c>
      <c r="H681" s="35" t="s">
        <v>26</v>
      </c>
      <c r="I681" s="35" t="s">
        <v>27</v>
      </c>
      <c r="J681" s="35" t="s">
        <v>100</v>
      </c>
      <c r="K681" s="57"/>
      <c r="L681" s="84"/>
    </row>
    <row r="682">
      <c r="A682" s="31" t="s">
        <v>1978</v>
      </c>
      <c r="B682" s="32" t="s">
        <v>1979</v>
      </c>
      <c r="C682" s="33">
        <v>45744.0</v>
      </c>
      <c r="D682" s="34" t="s">
        <v>22</v>
      </c>
      <c r="E682" s="32" t="s">
        <v>84</v>
      </c>
      <c r="F682" s="34" t="s">
        <v>24</v>
      </c>
      <c r="G682" s="34" t="s">
        <v>1980</v>
      </c>
      <c r="H682" s="35" t="s">
        <v>26</v>
      </c>
      <c r="I682" s="35" t="s">
        <v>27</v>
      </c>
      <c r="J682" s="57"/>
      <c r="K682" s="57"/>
      <c r="L682" s="84"/>
    </row>
    <row r="683">
      <c r="A683" s="31" t="s">
        <v>1981</v>
      </c>
      <c r="B683" s="32" t="s">
        <v>1982</v>
      </c>
      <c r="C683" s="33">
        <v>45744.0</v>
      </c>
      <c r="D683" s="34" t="s">
        <v>22</v>
      </c>
      <c r="E683" s="32" t="s">
        <v>374</v>
      </c>
      <c r="F683" s="34" t="s">
        <v>24</v>
      </c>
      <c r="G683" s="34" t="s">
        <v>1983</v>
      </c>
      <c r="H683" s="35" t="s">
        <v>26</v>
      </c>
      <c r="I683" s="58" t="str">
        <f>HYPERLINK("https://open.spotify.com/album/43AUzJUHS2SNfGnxAedqCi", "S")</f>
        <v>S</v>
      </c>
      <c r="J683" s="57"/>
      <c r="K683" s="57"/>
      <c r="L683" s="84"/>
    </row>
    <row r="684">
      <c r="A684" s="31" t="s">
        <v>1984</v>
      </c>
      <c r="B684" s="32" t="s">
        <v>1985</v>
      </c>
      <c r="C684" s="33">
        <v>45744.0</v>
      </c>
      <c r="D684" s="34" t="s">
        <v>22</v>
      </c>
      <c r="E684" s="32" t="s">
        <v>73</v>
      </c>
      <c r="F684" s="34" t="s">
        <v>24</v>
      </c>
      <c r="G684" s="34" t="s">
        <v>342</v>
      </c>
      <c r="H684" s="35" t="s">
        <v>26</v>
      </c>
      <c r="I684" s="35" t="s">
        <v>27</v>
      </c>
      <c r="J684" s="35" t="s">
        <v>100</v>
      </c>
      <c r="K684" s="57"/>
      <c r="L684" s="84"/>
    </row>
    <row r="685">
      <c r="A685" s="31" t="s">
        <v>1986</v>
      </c>
      <c r="B685" s="32" t="s">
        <v>1987</v>
      </c>
      <c r="C685" s="33">
        <v>45744.0</v>
      </c>
      <c r="D685" s="34" t="s">
        <v>22</v>
      </c>
      <c r="E685" s="32" t="s">
        <v>1138</v>
      </c>
      <c r="F685" s="34" t="s">
        <v>24</v>
      </c>
      <c r="G685" s="34" t="s">
        <v>336</v>
      </c>
      <c r="H685" s="35" t="s">
        <v>26</v>
      </c>
      <c r="I685" s="35" t="s">
        <v>27</v>
      </c>
      <c r="J685" s="35" t="s">
        <v>100</v>
      </c>
      <c r="K685" s="57"/>
      <c r="L685" s="84"/>
    </row>
    <row r="686">
      <c r="A686" s="31" t="s">
        <v>1988</v>
      </c>
      <c r="B686" s="32" t="s">
        <v>1989</v>
      </c>
      <c r="C686" s="59">
        <v>45744.0</v>
      </c>
      <c r="D686" s="34" t="s">
        <v>22</v>
      </c>
      <c r="E686" s="32" t="s">
        <v>1990</v>
      </c>
      <c r="F686" s="34" t="s">
        <v>24</v>
      </c>
      <c r="G686" s="34" t="s">
        <v>161</v>
      </c>
      <c r="H686" s="35" t="s">
        <v>26</v>
      </c>
      <c r="I686" s="35" t="s">
        <v>27</v>
      </c>
      <c r="J686" s="35" t="s">
        <v>100</v>
      </c>
      <c r="K686" s="57"/>
      <c r="L686" s="84"/>
    </row>
    <row r="687">
      <c r="A687" s="31" t="s">
        <v>1991</v>
      </c>
      <c r="B687" s="32" t="s">
        <v>1992</v>
      </c>
      <c r="C687" s="33">
        <v>45744.0</v>
      </c>
      <c r="D687" s="47" t="s">
        <v>22</v>
      </c>
      <c r="E687" s="32" t="s">
        <v>632</v>
      </c>
      <c r="F687" s="34" t="s">
        <v>24</v>
      </c>
      <c r="G687" s="34" t="s">
        <v>1993</v>
      </c>
      <c r="H687" s="35" t="s">
        <v>26</v>
      </c>
      <c r="I687" s="35" t="s">
        <v>27</v>
      </c>
      <c r="J687" s="57"/>
      <c r="K687" s="57"/>
      <c r="L687" s="84"/>
    </row>
    <row r="688">
      <c r="A688" s="31" t="s">
        <v>1994</v>
      </c>
      <c r="B688" s="32" t="s">
        <v>1995</v>
      </c>
      <c r="C688" s="33">
        <v>45744.0</v>
      </c>
      <c r="D688" s="34" t="s">
        <v>22</v>
      </c>
      <c r="E688" s="32" t="s">
        <v>1996</v>
      </c>
      <c r="F688" s="34" t="s">
        <v>24</v>
      </c>
      <c r="G688" s="34" t="s">
        <v>1997</v>
      </c>
      <c r="H688" s="35" t="s">
        <v>26</v>
      </c>
      <c r="I688" s="35" t="s">
        <v>27</v>
      </c>
      <c r="J688" s="57"/>
      <c r="K688" s="57"/>
      <c r="L688" s="84"/>
    </row>
    <row r="689">
      <c r="A689" s="32" t="s">
        <v>1998</v>
      </c>
      <c r="B689" s="32" t="s">
        <v>1999</v>
      </c>
      <c r="C689" s="33">
        <v>45744.0</v>
      </c>
      <c r="D689" s="34" t="s">
        <v>39</v>
      </c>
      <c r="E689" s="32" t="s">
        <v>513</v>
      </c>
      <c r="F689" s="34" t="s">
        <v>156</v>
      </c>
      <c r="G689" s="34" t="s">
        <v>2000</v>
      </c>
      <c r="H689" s="35" t="s">
        <v>26</v>
      </c>
      <c r="I689" s="35" t="s">
        <v>27</v>
      </c>
      <c r="J689" s="35" t="s">
        <v>100</v>
      </c>
      <c r="K689" s="57"/>
      <c r="L689" s="84"/>
    </row>
    <row r="690">
      <c r="A690" s="32" t="s">
        <v>2001</v>
      </c>
      <c r="B690" s="32" t="s">
        <v>2001</v>
      </c>
      <c r="C690" s="33">
        <v>45744.0</v>
      </c>
      <c r="D690" s="47" t="s">
        <v>39</v>
      </c>
      <c r="E690" s="32" t="s">
        <v>2002</v>
      </c>
      <c r="F690" s="34" t="s">
        <v>24</v>
      </c>
      <c r="G690" s="34" t="s">
        <v>2003</v>
      </c>
      <c r="H690" s="35" t="s">
        <v>26</v>
      </c>
      <c r="I690" s="58" t="str">
        <f>HYPERLINK("https://open.spotify.com/album/76pRAIruQs2pkkPuTxmCKr", "S")</f>
        <v>S</v>
      </c>
      <c r="J690" s="57"/>
      <c r="K690" s="57"/>
      <c r="L690" s="84"/>
    </row>
    <row r="691">
      <c r="A691" s="32" t="s">
        <v>2004</v>
      </c>
      <c r="B691" s="32" t="s">
        <v>2005</v>
      </c>
      <c r="C691" s="33">
        <v>45744.0</v>
      </c>
      <c r="D691" s="47" t="s">
        <v>22</v>
      </c>
      <c r="E691" s="32" t="s">
        <v>2006</v>
      </c>
      <c r="F691" s="34" t="s">
        <v>156</v>
      </c>
      <c r="G691" s="34" t="s">
        <v>2007</v>
      </c>
      <c r="H691" s="35" t="s">
        <v>26</v>
      </c>
      <c r="I691" s="35" t="s">
        <v>27</v>
      </c>
      <c r="J691" s="57"/>
      <c r="K691" s="57"/>
      <c r="L691" s="84"/>
    </row>
    <row r="692">
      <c r="A692" s="32" t="s">
        <v>2008</v>
      </c>
      <c r="B692" s="32" t="s">
        <v>2009</v>
      </c>
      <c r="C692" s="33">
        <v>45744.0</v>
      </c>
      <c r="D692" s="34" t="s">
        <v>39</v>
      </c>
      <c r="E692" s="32" t="s">
        <v>436</v>
      </c>
      <c r="F692" s="34" t="s">
        <v>31</v>
      </c>
      <c r="G692" s="34" t="s">
        <v>1954</v>
      </c>
      <c r="H692" s="35" t="s">
        <v>26</v>
      </c>
      <c r="I692" s="35" t="s">
        <v>27</v>
      </c>
      <c r="J692" s="57"/>
      <c r="K692" s="57"/>
      <c r="L692" s="84"/>
    </row>
    <row r="693">
      <c r="A693" s="32" t="s">
        <v>2010</v>
      </c>
      <c r="B693" s="32" t="s">
        <v>2011</v>
      </c>
      <c r="C693" s="33">
        <v>45744.0</v>
      </c>
      <c r="D693" s="34" t="s">
        <v>22</v>
      </c>
      <c r="E693" s="32" t="s">
        <v>328</v>
      </c>
      <c r="F693" s="34" t="s">
        <v>156</v>
      </c>
      <c r="G693" s="34" t="s">
        <v>2012</v>
      </c>
      <c r="H693" s="35" t="s">
        <v>26</v>
      </c>
      <c r="I693" s="58" t="str">
        <f>HYPERLINK("https://open.spotify.com/album/0MRK9sl2O05oSt6evfm2VJ", "S")</f>
        <v>S</v>
      </c>
      <c r="J693" s="57"/>
      <c r="K693" s="57"/>
      <c r="L693" s="84"/>
    </row>
    <row r="694">
      <c r="A694" s="31" t="s">
        <v>2013</v>
      </c>
      <c r="B694" s="32" t="s">
        <v>2014</v>
      </c>
      <c r="C694" s="33">
        <v>45744.0</v>
      </c>
      <c r="D694" s="34" t="s">
        <v>22</v>
      </c>
      <c r="E694" s="32" t="s">
        <v>2015</v>
      </c>
      <c r="F694" s="34" t="s">
        <v>24</v>
      </c>
      <c r="G694" s="34" t="s">
        <v>2016</v>
      </c>
      <c r="H694" s="35" t="s">
        <v>26</v>
      </c>
      <c r="I694" s="35" t="s">
        <v>27</v>
      </c>
      <c r="J694" s="35" t="s">
        <v>100</v>
      </c>
      <c r="K694" s="57"/>
      <c r="L694" s="84"/>
    </row>
    <row r="695">
      <c r="A695" s="32" t="s">
        <v>1358</v>
      </c>
      <c r="B695" s="32" t="s">
        <v>2017</v>
      </c>
      <c r="C695" s="33">
        <v>45744.0</v>
      </c>
      <c r="D695" s="34" t="s">
        <v>22</v>
      </c>
      <c r="E695" s="32" t="s">
        <v>737</v>
      </c>
      <c r="F695" s="34" t="s">
        <v>24</v>
      </c>
      <c r="G695" s="34" t="s">
        <v>141</v>
      </c>
      <c r="H695" s="35" t="s">
        <v>26</v>
      </c>
      <c r="I695" s="35" t="s">
        <v>27</v>
      </c>
      <c r="J695" s="57"/>
      <c r="K695" s="57"/>
      <c r="L695" s="84"/>
    </row>
    <row r="696">
      <c r="A696" s="32" t="s">
        <v>2018</v>
      </c>
      <c r="B696" s="32" t="s">
        <v>2019</v>
      </c>
      <c r="C696" s="33">
        <v>45744.0</v>
      </c>
      <c r="D696" s="34" t="s">
        <v>22</v>
      </c>
      <c r="E696" s="32" t="s">
        <v>122</v>
      </c>
      <c r="F696" s="34" t="s">
        <v>53</v>
      </c>
      <c r="G696" s="34" t="s">
        <v>62</v>
      </c>
      <c r="H696" s="35" t="s">
        <v>26</v>
      </c>
      <c r="I696" s="66"/>
      <c r="J696" s="57"/>
      <c r="K696" s="57"/>
      <c r="L696" s="84"/>
    </row>
    <row r="697">
      <c r="A697" s="32" t="s">
        <v>2020</v>
      </c>
      <c r="B697" s="32" t="s">
        <v>2021</v>
      </c>
      <c r="C697" s="33">
        <v>45744.0</v>
      </c>
      <c r="D697" s="47" t="s">
        <v>39</v>
      </c>
      <c r="E697" s="32" t="s">
        <v>2022</v>
      </c>
      <c r="F697" s="34" t="s">
        <v>24</v>
      </c>
      <c r="G697" s="34" t="s">
        <v>561</v>
      </c>
      <c r="H697" s="35" t="s">
        <v>26</v>
      </c>
      <c r="I697" s="66"/>
      <c r="J697" s="57"/>
      <c r="K697" s="57"/>
      <c r="L697" s="84"/>
    </row>
    <row r="698">
      <c r="A698" s="32" t="s">
        <v>2023</v>
      </c>
      <c r="B698" s="32" t="s">
        <v>2024</v>
      </c>
      <c r="C698" s="33">
        <v>45745.0</v>
      </c>
      <c r="D698" s="34" t="s">
        <v>22</v>
      </c>
      <c r="E698" s="32" t="s">
        <v>364</v>
      </c>
      <c r="F698" s="34" t="s">
        <v>24</v>
      </c>
      <c r="G698" s="34" t="s">
        <v>257</v>
      </c>
      <c r="H698" s="35" t="s">
        <v>26</v>
      </c>
      <c r="I698" s="35" t="s">
        <v>27</v>
      </c>
      <c r="J698" s="57"/>
      <c r="K698" s="57"/>
      <c r="L698" s="84"/>
    </row>
    <row r="699">
      <c r="A699" s="32" t="s">
        <v>2025</v>
      </c>
      <c r="B699" s="32" t="s">
        <v>2026</v>
      </c>
      <c r="C699" s="33">
        <v>45745.0</v>
      </c>
      <c r="D699" s="34" t="s">
        <v>22</v>
      </c>
      <c r="E699" s="32" t="s">
        <v>2027</v>
      </c>
      <c r="F699" s="34" t="s">
        <v>24</v>
      </c>
      <c r="G699" s="34" t="s">
        <v>257</v>
      </c>
      <c r="H699" s="35" t="s">
        <v>26</v>
      </c>
      <c r="I699" s="35" t="s">
        <v>27</v>
      </c>
      <c r="J699" s="57"/>
      <c r="K699" s="57"/>
      <c r="L699" s="84"/>
    </row>
    <row r="700">
      <c r="A700" s="31" t="s">
        <v>2028</v>
      </c>
      <c r="B700" s="32" t="s">
        <v>2029</v>
      </c>
      <c r="C700" s="33">
        <v>45746.0</v>
      </c>
      <c r="D700" s="34" t="s">
        <v>22</v>
      </c>
      <c r="E700" s="32" t="s">
        <v>1458</v>
      </c>
      <c r="F700" s="34" t="s">
        <v>53</v>
      </c>
      <c r="G700" s="34" t="s">
        <v>2030</v>
      </c>
      <c r="H700" s="35" t="s">
        <v>26</v>
      </c>
      <c r="I700" s="35" t="s">
        <v>27</v>
      </c>
      <c r="J700" s="57"/>
      <c r="K700" s="57"/>
      <c r="L700" s="84"/>
    </row>
    <row r="701">
      <c r="A701" s="32" t="s">
        <v>2031</v>
      </c>
      <c r="B701" s="32" t="s">
        <v>2032</v>
      </c>
      <c r="C701" s="33">
        <v>45746.0</v>
      </c>
      <c r="D701" s="47" t="s">
        <v>22</v>
      </c>
      <c r="E701" s="32" t="s">
        <v>632</v>
      </c>
      <c r="F701" s="34" t="s">
        <v>24</v>
      </c>
      <c r="G701" s="34" t="s">
        <v>2033</v>
      </c>
      <c r="H701" s="35" t="s">
        <v>26</v>
      </c>
      <c r="I701" s="66"/>
      <c r="J701" s="57"/>
      <c r="K701" s="57"/>
      <c r="L701" s="84"/>
    </row>
    <row r="702">
      <c r="A702" s="32" t="s">
        <v>2034</v>
      </c>
      <c r="B702" s="32" t="s">
        <v>2035</v>
      </c>
      <c r="C702" s="33">
        <v>45746.0</v>
      </c>
      <c r="D702" s="34" t="s">
        <v>22</v>
      </c>
      <c r="E702" s="32" t="s">
        <v>129</v>
      </c>
      <c r="F702" s="34" t="s">
        <v>24</v>
      </c>
      <c r="G702" s="34" t="s">
        <v>130</v>
      </c>
      <c r="H702" s="35" t="s">
        <v>26</v>
      </c>
      <c r="I702" s="35" t="s">
        <v>27</v>
      </c>
      <c r="J702" s="57"/>
      <c r="K702" s="57"/>
      <c r="L702" s="84"/>
    </row>
    <row r="703">
      <c r="A703" s="31" t="s">
        <v>2036</v>
      </c>
      <c r="B703" s="32" t="s">
        <v>2037</v>
      </c>
      <c r="C703" s="33">
        <v>45747.0</v>
      </c>
      <c r="D703" s="34" t="s">
        <v>22</v>
      </c>
      <c r="E703" s="32" t="s">
        <v>61</v>
      </c>
      <c r="F703" s="34" t="s">
        <v>24</v>
      </c>
      <c r="G703" s="34" t="s">
        <v>2038</v>
      </c>
      <c r="H703" s="35" t="s">
        <v>26</v>
      </c>
      <c r="I703" s="36" t="str">
        <f>HYPERLINK("https://open.spotify.com/album/1uTVXxnzasJtZnpQvdhPbR", "S")</f>
        <v>S</v>
      </c>
      <c r="J703" s="57"/>
      <c r="K703" s="57"/>
      <c r="L703" s="84"/>
    </row>
    <row r="704">
      <c r="A704" s="31" t="s">
        <v>2039</v>
      </c>
      <c r="B704" s="32" t="s">
        <v>2040</v>
      </c>
      <c r="C704" s="33">
        <v>45747.0</v>
      </c>
      <c r="D704" s="34" t="s">
        <v>22</v>
      </c>
      <c r="E704" s="32" t="s">
        <v>822</v>
      </c>
      <c r="F704" s="34" t="s">
        <v>53</v>
      </c>
      <c r="G704" s="34" t="s">
        <v>545</v>
      </c>
      <c r="H704" s="35" t="s">
        <v>26</v>
      </c>
      <c r="I704" s="36" t="str">
        <f>HYPERLINK("https://open.spotify.com/album/6aqkgzTysPLqK9FtSEE6Hi", "S")</f>
        <v>S</v>
      </c>
      <c r="J704" s="57"/>
      <c r="K704" s="57"/>
      <c r="L704" s="84"/>
    </row>
    <row r="705">
      <c r="A705" s="32" t="s">
        <v>2041</v>
      </c>
      <c r="B705" s="32" t="s">
        <v>2042</v>
      </c>
      <c r="C705" s="33">
        <v>45747.0</v>
      </c>
      <c r="D705" s="47" t="s">
        <v>39</v>
      </c>
      <c r="E705" s="32" t="s">
        <v>535</v>
      </c>
      <c r="F705" s="34" t="s">
        <v>24</v>
      </c>
      <c r="G705" s="34" t="s">
        <v>2043</v>
      </c>
      <c r="H705" s="35" t="s">
        <v>26</v>
      </c>
      <c r="I705" s="66"/>
      <c r="J705" s="57"/>
      <c r="K705" s="57"/>
      <c r="L705" s="84"/>
    </row>
    <row r="706">
      <c r="A706" s="31" t="s">
        <v>2044</v>
      </c>
      <c r="B706" s="32" t="s">
        <v>2045</v>
      </c>
      <c r="C706" s="33">
        <v>45748.0</v>
      </c>
      <c r="D706" s="34" t="s">
        <v>22</v>
      </c>
      <c r="E706" s="32" t="s">
        <v>61</v>
      </c>
      <c r="F706" s="34" t="s">
        <v>24</v>
      </c>
      <c r="G706" s="34" t="s">
        <v>336</v>
      </c>
      <c r="H706" s="35" t="s">
        <v>26</v>
      </c>
      <c r="I706" s="35" t="s">
        <v>27</v>
      </c>
      <c r="J706" s="35" t="s">
        <v>100</v>
      </c>
      <c r="K706" s="57"/>
      <c r="L706" s="84"/>
    </row>
    <row r="707">
      <c r="A707" s="32" t="s">
        <v>2046</v>
      </c>
      <c r="B707" s="32" t="s">
        <v>2047</v>
      </c>
      <c r="C707" s="33">
        <v>45748.0</v>
      </c>
      <c r="D707" s="34" t="s">
        <v>22</v>
      </c>
      <c r="E707" s="32" t="s">
        <v>2048</v>
      </c>
      <c r="F707" s="34" t="s">
        <v>24</v>
      </c>
      <c r="G707" s="34" t="s">
        <v>2049</v>
      </c>
      <c r="H707" s="35" t="s">
        <v>26</v>
      </c>
      <c r="I707" s="57"/>
      <c r="J707" s="57"/>
      <c r="K707" s="57"/>
      <c r="L707" s="84"/>
    </row>
    <row r="708">
      <c r="A708" s="32" t="s">
        <v>2050</v>
      </c>
      <c r="B708" s="32" t="s">
        <v>2051</v>
      </c>
      <c r="C708" s="33">
        <v>45748.0</v>
      </c>
      <c r="D708" s="47" t="s">
        <v>39</v>
      </c>
      <c r="E708" s="32" t="s">
        <v>2052</v>
      </c>
      <c r="F708" s="34" t="s">
        <v>53</v>
      </c>
      <c r="G708" s="34" t="s">
        <v>2053</v>
      </c>
      <c r="H708" s="35" t="s">
        <v>26</v>
      </c>
      <c r="I708" s="35" t="s">
        <v>27</v>
      </c>
      <c r="J708" s="57"/>
      <c r="K708" s="57"/>
      <c r="L708" s="84"/>
    </row>
    <row r="709">
      <c r="A709" s="31" t="s">
        <v>2054</v>
      </c>
      <c r="B709" s="32" t="s">
        <v>2055</v>
      </c>
      <c r="C709" s="33">
        <v>45749.0</v>
      </c>
      <c r="D709" s="34" t="s">
        <v>39</v>
      </c>
      <c r="E709" s="32" t="s">
        <v>2056</v>
      </c>
      <c r="F709" s="34" t="s">
        <v>24</v>
      </c>
      <c r="G709" s="34" t="s">
        <v>161</v>
      </c>
      <c r="H709" s="35" t="s">
        <v>26</v>
      </c>
      <c r="I709" s="35" t="s">
        <v>27</v>
      </c>
      <c r="J709" s="57"/>
      <c r="K709" s="57"/>
      <c r="L709" s="84"/>
    </row>
    <row r="710">
      <c r="A710" s="31" t="s">
        <v>2057</v>
      </c>
      <c r="B710" s="32" t="s">
        <v>2058</v>
      </c>
      <c r="C710" s="33">
        <v>45749.0</v>
      </c>
      <c r="D710" s="34" t="s">
        <v>22</v>
      </c>
      <c r="E710" s="32" t="s">
        <v>2059</v>
      </c>
      <c r="F710" s="34" t="s">
        <v>24</v>
      </c>
      <c r="G710" s="34" t="s">
        <v>96</v>
      </c>
      <c r="H710" s="35" t="s">
        <v>26</v>
      </c>
      <c r="I710" s="35" t="s">
        <v>27</v>
      </c>
      <c r="J710" s="57"/>
      <c r="K710" s="57"/>
      <c r="L710" s="84"/>
    </row>
    <row r="711">
      <c r="A711" s="32" t="s">
        <v>2060</v>
      </c>
      <c r="B711" s="32" t="s">
        <v>2061</v>
      </c>
      <c r="C711" s="33">
        <v>45749.0</v>
      </c>
      <c r="D711" s="34" t="s">
        <v>22</v>
      </c>
      <c r="E711" s="32" t="s">
        <v>88</v>
      </c>
      <c r="F711" s="34" t="s">
        <v>53</v>
      </c>
      <c r="G711" s="34" t="s">
        <v>299</v>
      </c>
      <c r="H711" s="35" t="s">
        <v>26</v>
      </c>
      <c r="I711" s="36" t="str">
        <f>HYPERLINK("https://open.spotify.com/album/5t7dxbRL3hACY25ttDBIy9", "S")</f>
        <v>S</v>
      </c>
      <c r="J711" s="66"/>
      <c r="K711" s="57"/>
      <c r="L711" s="84"/>
    </row>
    <row r="712">
      <c r="A712" s="31" t="s">
        <v>2062</v>
      </c>
      <c r="B712" s="32" t="s">
        <v>2063</v>
      </c>
      <c r="C712" s="33">
        <v>45750.0</v>
      </c>
      <c r="D712" s="34" t="s">
        <v>22</v>
      </c>
      <c r="E712" s="32" t="s">
        <v>1081</v>
      </c>
      <c r="F712" s="34" t="s">
        <v>156</v>
      </c>
      <c r="G712" s="34" t="s">
        <v>2064</v>
      </c>
      <c r="H712" s="35" t="s">
        <v>26</v>
      </c>
      <c r="I712" s="35" t="s">
        <v>27</v>
      </c>
      <c r="J712" s="57"/>
      <c r="K712" s="57"/>
      <c r="L712" s="84"/>
    </row>
    <row r="713">
      <c r="A713" s="32" t="s">
        <v>2065</v>
      </c>
      <c r="B713" s="32" t="s">
        <v>2066</v>
      </c>
      <c r="C713" s="33">
        <v>45750.0</v>
      </c>
      <c r="D713" s="34" t="s">
        <v>39</v>
      </c>
      <c r="E713" s="32" t="s">
        <v>1717</v>
      </c>
      <c r="F713" s="34" t="s">
        <v>24</v>
      </c>
      <c r="G713" s="34" t="s">
        <v>532</v>
      </c>
      <c r="H713" s="35" t="s">
        <v>26</v>
      </c>
      <c r="I713" s="35" t="s">
        <v>27</v>
      </c>
      <c r="J713" s="57"/>
      <c r="K713" s="57"/>
      <c r="L713" s="84"/>
    </row>
    <row r="714">
      <c r="A714" s="32" t="s">
        <v>2067</v>
      </c>
      <c r="B714" s="32" t="s">
        <v>2068</v>
      </c>
      <c r="C714" s="33">
        <v>45750.0</v>
      </c>
      <c r="D714" s="34" t="s">
        <v>39</v>
      </c>
      <c r="E714" s="32" t="s">
        <v>73</v>
      </c>
      <c r="F714" s="34" t="s">
        <v>24</v>
      </c>
      <c r="G714" s="34" t="s">
        <v>2069</v>
      </c>
      <c r="H714" s="35" t="s">
        <v>26</v>
      </c>
      <c r="I714" s="36" t="str">
        <f>HYPERLINK("https://open.spotify.com/album/4SvWc7VD9RZ7p0FDdR6Cb6", "S")</f>
        <v>S</v>
      </c>
      <c r="J714" s="57"/>
      <c r="K714" s="57"/>
      <c r="L714" s="84"/>
    </row>
    <row r="715">
      <c r="A715" s="32" t="s">
        <v>2070</v>
      </c>
      <c r="B715" s="32" t="s">
        <v>2071</v>
      </c>
      <c r="C715" s="33">
        <v>45751.0</v>
      </c>
      <c r="D715" s="34" t="s">
        <v>22</v>
      </c>
      <c r="E715" s="32" t="s">
        <v>2072</v>
      </c>
      <c r="F715" s="34" t="s">
        <v>53</v>
      </c>
      <c r="G715" s="34" t="s">
        <v>41</v>
      </c>
      <c r="H715" s="35" t="s">
        <v>26</v>
      </c>
      <c r="I715" s="35" t="s">
        <v>27</v>
      </c>
      <c r="J715" s="57"/>
      <c r="K715" s="57"/>
      <c r="L715" s="84"/>
    </row>
    <row r="716">
      <c r="A716" s="32" t="s">
        <v>2073</v>
      </c>
      <c r="B716" s="32" t="s">
        <v>2074</v>
      </c>
      <c r="C716" s="33">
        <v>45751.0</v>
      </c>
      <c r="D716" s="47" t="s">
        <v>22</v>
      </c>
      <c r="E716" s="32" t="s">
        <v>122</v>
      </c>
      <c r="F716" s="34" t="s">
        <v>53</v>
      </c>
      <c r="G716" s="34" t="s">
        <v>2075</v>
      </c>
      <c r="H716" s="35" t="s">
        <v>26</v>
      </c>
      <c r="I716" s="35" t="s">
        <v>27</v>
      </c>
      <c r="J716" s="35" t="s">
        <v>100</v>
      </c>
      <c r="K716" s="57"/>
      <c r="L716" s="84"/>
    </row>
    <row r="717">
      <c r="A717" s="32" t="s">
        <v>2076</v>
      </c>
      <c r="B717" s="32" t="s">
        <v>2077</v>
      </c>
      <c r="C717" s="33">
        <v>45751.0</v>
      </c>
      <c r="D717" s="47" t="s">
        <v>39</v>
      </c>
      <c r="E717" s="32" t="s">
        <v>2078</v>
      </c>
      <c r="F717" s="34" t="s">
        <v>24</v>
      </c>
      <c r="G717" s="34" t="s">
        <v>104</v>
      </c>
      <c r="H717" s="35" t="s">
        <v>26</v>
      </c>
      <c r="I717" s="35" t="s">
        <v>27</v>
      </c>
      <c r="J717" s="57"/>
      <c r="K717" s="57"/>
      <c r="L717" s="84"/>
    </row>
    <row r="718">
      <c r="A718" s="32" t="s">
        <v>2079</v>
      </c>
      <c r="B718" s="32" t="s">
        <v>2080</v>
      </c>
      <c r="C718" s="33">
        <v>45751.0</v>
      </c>
      <c r="D718" s="34" t="s">
        <v>22</v>
      </c>
      <c r="E718" s="32" t="s">
        <v>136</v>
      </c>
      <c r="F718" s="34" t="s">
        <v>156</v>
      </c>
      <c r="G718" s="34" t="s">
        <v>2081</v>
      </c>
      <c r="H718" s="35" t="s">
        <v>26</v>
      </c>
      <c r="I718" s="35" t="s">
        <v>27</v>
      </c>
      <c r="J718" s="57"/>
      <c r="K718" s="57"/>
      <c r="L718" s="84"/>
    </row>
    <row r="719">
      <c r="A719" s="32" t="s">
        <v>2082</v>
      </c>
      <c r="B719" s="32" t="s">
        <v>2083</v>
      </c>
      <c r="C719" s="33">
        <v>45751.0</v>
      </c>
      <c r="D719" s="34" t="s">
        <v>39</v>
      </c>
      <c r="E719" s="32" t="s">
        <v>69</v>
      </c>
      <c r="F719" s="34" t="s">
        <v>24</v>
      </c>
      <c r="G719" s="34" t="s">
        <v>2084</v>
      </c>
      <c r="H719" s="35" t="s">
        <v>26</v>
      </c>
      <c r="I719" s="35" t="s">
        <v>27</v>
      </c>
      <c r="J719" s="35" t="s">
        <v>100</v>
      </c>
      <c r="K719" s="57"/>
      <c r="L719" s="84"/>
    </row>
    <row r="720">
      <c r="A720" s="98" t="s">
        <v>2085</v>
      </c>
      <c r="B720" s="32" t="s">
        <v>2086</v>
      </c>
      <c r="C720" s="33">
        <v>45751.0</v>
      </c>
      <c r="D720" s="34" t="s">
        <v>22</v>
      </c>
      <c r="E720" s="32" t="s">
        <v>817</v>
      </c>
      <c r="F720" s="34" t="s">
        <v>156</v>
      </c>
      <c r="G720" s="34" t="s">
        <v>1209</v>
      </c>
      <c r="H720" s="35" t="s">
        <v>26</v>
      </c>
      <c r="I720" s="35" t="s">
        <v>27</v>
      </c>
      <c r="J720" s="57"/>
      <c r="K720" s="57"/>
      <c r="L720" s="84"/>
    </row>
    <row r="721">
      <c r="A721" s="31" t="s">
        <v>2087</v>
      </c>
      <c r="B721" s="32" t="s">
        <v>2088</v>
      </c>
      <c r="C721" s="33">
        <v>45751.0</v>
      </c>
      <c r="D721" s="34" t="s">
        <v>22</v>
      </c>
      <c r="E721" s="32" t="s">
        <v>2089</v>
      </c>
      <c r="F721" s="34" t="s">
        <v>24</v>
      </c>
      <c r="G721" s="34" t="s">
        <v>2090</v>
      </c>
      <c r="H721" s="35" t="s">
        <v>26</v>
      </c>
      <c r="I721" s="35" t="s">
        <v>27</v>
      </c>
      <c r="J721" s="57"/>
      <c r="K721" s="57"/>
      <c r="L721" s="84"/>
    </row>
    <row r="722">
      <c r="A722" s="31" t="s">
        <v>2091</v>
      </c>
      <c r="B722" s="32" t="s">
        <v>2092</v>
      </c>
      <c r="C722" s="33">
        <v>45751.0</v>
      </c>
      <c r="D722" s="34" t="s">
        <v>39</v>
      </c>
      <c r="E722" s="32" t="s">
        <v>2093</v>
      </c>
      <c r="F722" s="34" t="s">
        <v>235</v>
      </c>
      <c r="G722" s="34" t="s">
        <v>375</v>
      </c>
      <c r="H722" s="35" t="s">
        <v>26</v>
      </c>
      <c r="I722" s="35" t="s">
        <v>27</v>
      </c>
      <c r="J722" s="57"/>
      <c r="K722" s="57"/>
      <c r="L722" s="84"/>
    </row>
    <row r="723">
      <c r="A723" s="31" t="s">
        <v>2094</v>
      </c>
      <c r="B723" s="32" t="s">
        <v>2095</v>
      </c>
      <c r="C723" s="33">
        <v>45751.0</v>
      </c>
      <c r="D723" s="34" t="s">
        <v>22</v>
      </c>
      <c r="E723" s="32" t="s">
        <v>2096</v>
      </c>
      <c r="F723" s="34" t="s">
        <v>53</v>
      </c>
      <c r="G723" s="34" t="s">
        <v>440</v>
      </c>
      <c r="H723" s="35" t="s">
        <v>26</v>
      </c>
      <c r="I723" s="35" t="s">
        <v>27</v>
      </c>
      <c r="J723" s="35" t="s">
        <v>100</v>
      </c>
      <c r="K723" s="57"/>
      <c r="L723" s="84"/>
    </row>
    <row r="724">
      <c r="A724" s="31" t="s">
        <v>2097</v>
      </c>
      <c r="B724" s="32" t="s">
        <v>2098</v>
      </c>
      <c r="C724" s="33">
        <v>45751.0</v>
      </c>
      <c r="D724" s="34" t="s">
        <v>22</v>
      </c>
      <c r="E724" s="32" t="s">
        <v>2099</v>
      </c>
      <c r="F724" s="34" t="s">
        <v>53</v>
      </c>
      <c r="G724" s="34" t="s">
        <v>231</v>
      </c>
      <c r="H724" s="35" t="s">
        <v>26</v>
      </c>
      <c r="I724" s="35" t="s">
        <v>27</v>
      </c>
      <c r="J724" s="35" t="s">
        <v>100</v>
      </c>
      <c r="K724" s="57"/>
      <c r="L724" s="84"/>
    </row>
    <row r="725">
      <c r="A725" s="31" t="s">
        <v>2100</v>
      </c>
      <c r="B725" s="32" t="s">
        <v>2101</v>
      </c>
      <c r="C725" s="33">
        <v>45751.0</v>
      </c>
      <c r="D725" s="34" t="s">
        <v>22</v>
      </c>
      <c r="E725" s="32" t="s">
        <v>1701</v>
      </c>
      <c r="F725" s="34" t="s">
        <v>24</v>
      </c>
      <c r="G725" s="34" t="s">
        <v>41</v>
      </c>
      <c r="H725" s="35" t="s">
        <v>26</v>
      </c>
      <c r="I725" s="35" t="s">
        <v>27</v>
      </c>
      <c r="J725" s="57"/>
      <c r="K725" s="57"/>
      <c r="L725" s="84"/>
    </row>
    <row r="726">
      <c r="A726" s="31" t="s">
        <v>2102</v>
      </c>
      <c r="B726" s="32" t="s">
        <v>2103</v>
      </c>
      <c r="C726" s="33">
        <v>45751.0</v>
      </c>
      <c r="D726" s="34" t="s">
        <v>22</v>
      </c>
      <c r="E726" s="32" t="s">
        <v>2104</v>
      </c>
      <c r="F726" s="34" t="s">
        <v>53</v>
      </c>
      <c r="G726" s="34" t="s">
        <v>96</v>
      </c>
      <c r="H726" s="35" t="s">
        <v>26</v>
      </c>
      <c r="I726" s="35" t="s">
        <v>27</v>
      </c>
      <c r="J726" s="57"/>
      <c r="K726" s="57"/>
      <c r="L726" s="84"/>
    </row>
    <row r="727">
      <c r="A727" s="31" t="s">
        <v>2105</v>
      </c>
      <c r="B727" s="32" t="s">
        <v>2106</v>
      </c>
      <c r="C727" s="33">
        <v>45751.0</v>
      </c>
      <c r="D727" s="34" t="s">
        <v>22</v>
      </c>
      <c r="E727" s="32" t="s">
        <v>2107</v>
      </c>
      <c r="F727" s="34" t="s">
        <v>156</v>
      </c>
      <c r="G727" s="34" t="s">
        <v>2108</v>
      </c>
      <c r="H727" s="35" t="s">
        <v>26</v>
      </c>
      <c r="I727" s="35" t="s">
        <v>27</v>
      </c>
      <c r="J727" s="35" t="s">
        <v>100</v>
      </c>
      <c r="K727" s="57"/>
      <c r="L727" s="84"/>
    </row>
    <row r="728">
      <c r="A728" s="31" t="s">
        <v>2109</v>
      </c>
      <c r="B728" s="32" t="s">
        <v>2110</v>
      </c>
      <c r="C728" s="33">
        <v>45751.0</v>
      </c>
      <c r="D728" s="34" t="s">
        <v>22</v>
      </c>
      <c r="E728" s="32" t="s">
        <v>1648</v>
      </c>
      <c r="F728" s="34" t="s">
        <v>156</v>
      </c>
      <c r="G728" s="34" t="s">
        <v>116</v>
      </c>
      <c r="H728" s="35" t="s">
        <v>26</v>
      </c>
      <c r="I728" s="35" t="s">
        <v>27</v>
      </c>
      <c r="J728" s="57"/>
      <c r="K728" s="57"/>
      <c r="L728" s="84"/>
    </row>
    <row r="729">
      <c r="A729" s="31" t="s">
        <v>2111</v>
      </c>
      <c r="B729" s="32" t="s">
        <v>2112</v>
      </c>
      <c r="C729" s="33">
        <v>45751.0</v>
      </c>
      <c r="D729" s="34" t="s">
        <v>22</v>
      </c>
      <c r="E729" s="32" t="s">
        <v>1525</v>
      </c>
      <c r="F729" s="34" t="s">
        <v>24</v>
      </c>
      <c r="G729" s="34" t="s">
        <v>1374</v>
      </c>
      <c r="H729" s="35" t="s">
        <v>26</v>
      </c>
      <c r="I729" s="35" t="s">
        <v>27</v>
      </c>
      <c r="J729" s="57"/>
      <c r="K729" s="57"/>
      <c r="L729" s="84"/>
    </row>
    <row r="730">
      <c r="A730" s="32" t="s">
        <v>2113</v>
      </c>
      <c r="B730" s="32" t="s">
        <v>2114</v>
      </c>
      <c r="C730" s="45">
        <v>45751.0</v>
      </c>
      <c r="D730" s="68" t="s">
        <v>22</v>
      </c>
      <c r="E730" s="32" t="s">
        <v>2115</v>
      </c>
      <c r="F730" s="34" t="s">
        <v>24</v>
      </c>
      <c r="G730" s="34" t="s">
        <v>1252</v>
      </c>
      <c r="H730" s="65"/>
      <c r="I730" s="35" t="s">
        <v>27</v>
      </c>
      <c r="J730" s="57"/>
      <c r="K730" s="57"/>
      <c r="L730" s="84"/>
    </row>
    <row r="731">
      <c r="A731" s="31" t="s">
        <v>2116</v>
      </c>
      <c r="B731" s="32" t="s">
        <v>2117</v>
      </c>
      <c r="C731" s="45">
        <v>45751.0</v>
      </c>
      <c r="D731" s="34" t="s">
        <v>22</v>
      </c>
      <c r="E731" s="32" t="s">
        <v>263</v>
      </c>
      <c r="F731" s="34" t="s">
        <v>53</v>
      </c>
      <c r="G731" s="34" t="s">
        <v>292</v>
      </c>
      <c r="H731" s="35" t="s">
        <v>26</v>
      </c>
      <c r="I731" s="35" t="s">
        <v>27</v>
      </c>
      <c r="J731" s="57"/>
      <c r="K731" s="57"/>
      <c r="L731" s="84"/>
    </row>
    <row r="732">
      <c r="A732" s="31" t="s">
        <v>2118</v>
      </c>
      <c r="B732" s="32" t="s">
        <v>2119</v>
      </c>
      <c r="C732" s="33">
        <v>45751.0</v>
      </c>
      <c r="D732" s="34" t="s">
        <v>22</v>
      </c>
      <c r="E732" s="32" t="s">
        <v>284</v>
      </c>
      <c r="F732" s="34" t="s">
        <v>24</v>
      </c>
      <c r="G732" s="34" t="s">
        <v>2120</v>
      </c>
      <c r="H732" s="35" t="s">
        <v>26</v>
      </c>
      <c r="I732" s="35" t="s">
        <v>27</v>
      </c>
      <c r="J732" s="57"/>
      <c r="K732" s="57"/>
      <c r="L732" s="84"/>
    </row>
    <row r="733">
      <c r="A733" s="31" t="s">
        <v>2121</v>
      </c>
      <c r="B733" s="32" t="s">
        <v>2122</v>
      </c>
      <c r="C733" s="33">
        <v>45751.0</v>
      </c>
      <c r="D733" s="34" t="s">
        <v>22</v>
      </c>
      <c r="E733" s="32" t="s">
        <v>73</v>
      </c>
      <c r="F733" s="34" t="s">
        <v>24</v>
      </c>
      <c r="G733" s="34" t="s">
        <v>213</v>
      </c>
      <c r="H733" s="35" t="s">
        <v>26</v>
      </c>
      <c r="I733" s="35" t="s">
        <v>27</v>
      </c>
      <c r="J733" s="35" t="s">
        <v>100</v>
      </c>
      <c r="K733" s="57"/>
      <c r="L733" s="84"/>
    </row>
    <row r="734">
      <c r="A734" s="31" t="s">
        <v>2123</v>
      </c>
      <c r="B734" s="32" t="s">
        <v>2124</v>
      </c>
      <c r="C734" s="33">
        <v>45751.0</v>
      </c>
      <c r="D734" s="47" t="s">
        <v>22</v>
      </c>
      <c r="E734" s="32" t="s">
        <v>2125</v>
      </c>
      <c r="F734" s="34" t="s">
        <v>235</v>
      </c>
      <c r="G734" s="34" t="s">
        <v>299</v>
      </c>
      <c r="H734" s="35" t="s">
        <v>26</v>
      </c>
      <c r="I734" s="35" t="s">
        <v>27</v>
      </c>
      <c r="J734" s="57"/>
      <c r="K734" s="57"/>
      <c r="L734" s="84"/>
    </row>
    <row r="735">
      <c r="A735" s="31" t="s">
        <v>2126</v>
      </c>
      <c r="B735" s="32" t="s">
        <v>2127</v>
      </c>
      <c r="C735" s="33">
        <v>45751.0</v>
      </c>
      <c r="D735" s="47" t="s">
        <v>22</v>
      </c>
      <c r="E735" s="32" t="s">
        <v>98</v>
      </c>
      <c r="F735" s="34" t="s">
        <v>53</v>
      </c>
      <c r="G735" s="34" t="s">
        <v>2128</v>
      </c>
      <c r="H735" s="35" t="s">
        <v>26</v>
      </c>
      <c r="I735" s="35" t="s">
        <v>27</v>
      </c>
      <c r="J735" s="57"/>
      <c r="K735" s="57"/>
      <c r="L735" s="84"/>
    </row>
    <row r="736">
      <c r="A736" s="31" t="s">
        <v>2129</v>
      </c>
      <c r="B736" s="32" t="s">
        <v>2130</v>
      </c>
      <c r="C736" s="33">
        <v>45751.0</v>
      </c>
      <c r="D736" s="69" t="s">
        <v>22</v>
      </c>
      <c r="E736" s="32" t="s">
        <v>355</v>
      </c>
      <c r="F736" s="34" t="s">
        <v>24</v>
      </c>
      <c r="G736" s="34" t="s">
        <v>693</v>
      </c>
      <c r="H736" s="35" t="s">
        <v>26</v>
      </c>
      <c r="I736" s="35" t="s">
        <v>27</v>
      </c>
      <c r="J736" s="35" t="s">
        <v>100</v>
      </c>
      <c r="K736" s="57"/>
      <c r="L736" s="84"/>
    </row>
    <row r="737">
      <c r="A737" s="31" t="s">
        <v>2131</v>
      </c>
      <c r="B737" s="32" t="s">
        <v>2132</v>
      </c>
      <c r="C737" s="33">
        <v>45751.0</v>
      </c>
      <c r="D737" s="34" t="s">
        <v>22</v>
      </c>
      <c r="E737" s="32" t="s">
        <v>355</v>
      </c>
      <c r="F737" s="34" t="s">
        <v>24</v>
      </c>
      <c r="G737" s="34" t="s">
        <v>1082</v>
      </c>
      <c r="H737" s="35" t="s">
        <v>26</v>
      </c>
      <c r="I737" s="35" t="s">
        <v>27</v>
      </c>
      <c r="J737" s="57"/>
      <c r="K737" s="57"/>
      <c r="L737" s="84"/>
    </row>
    <row r="738">
      <c r="A738" s="31" t="s">
        <v>2133</v>
      </c>
      <c r="B738" s="32" t="s">
        <v>2134</v>
      </c>
      <c r="C738" s="33">
        <v>45751.0</v>
      </c>
      <c r="D738" s="34" t="s">
        <v>39</v>
      </c>
      <c r="E738" s="32" t="s">
        <v>98</v>
      </c>
      <c r="F738" s="34" t="s">
        <v>24</v>
      </c>
      <c r="G738" s="34" t="s">
        <v>295</v>
      </c>
      <c r="H738" s="65"/>
      <c r="I738" s="35" t="s">
        <v>27</v>
      </c>
      <c r="J738" s="57"/>
      <c r="K738" s="57"/>
      <c r="L738" s="84"/>
    </row>
    <row r="739">
      <c r="A739" s="31" t="s">
        <v>2135</v>
      </c>
      <c r="B739" s="32" t="s">
        <v>2136</v>
      </c>
      <c r="C739" s="33">
        <v>45751.0</v>
      </c>
      <c r="D739" s="34" t="s">
        <v>22</v>
      </c>
      <c r="E739" s="32" t="s">
        <v>61</v>
      </c>
      <c r="F739" s="34" t="s">
        <v>24</v>
      </c>
      <c r="G739" s="34" t="s">
        <v>279</v>
      </c>
      <c r="H739" s="35" t="s">
        <v>26</v>
      </c>
      <c r="I739" s="35" t="s">
        <v>27</v>
      </c>
      <c r="J739" s="35" t="s">
        <v>100</v>
      </c>
      <c r="K739" s="57"/>
      <c r="L739" s="84"/>
    </row>
    <row r="740">
      <c r="A740" s="31" t="s">
        <v>2137</v>
      </c>
      <c r="B740" s="32" t="s">
        <v>2138</v>
      </c>
      <c r="C740" s="33">
        <v>45751.0</v>
      </c>
      <c r="D740" s="34" t="s">
        <v>22</v>
      </c>
      <c r="E740" s="32" t="s">
        <v>73</v>
      </c>
      <c r="F740" s="34" t="s">
        <v>24</v>
      </c>
      <c r="G740" s="34" t="s">
        <v>2139</v>
      </c>
      <c r="H740" s="35" t="s">
        <v>26</v>
      </c>
      <c r="I740" s="35" t="s">
        <v>27</v>
      </c>
      <c r="J740" s="35" t="s">
        <v>100</v>
      </c>
      <c r="K740" s="57"/>
      <c r="L740" s="84"/>
    </row>
    <row r="741">
      <c r="A741" s="31" t="s">
        <v>2140</v>
      </c>
      <c r="B741" s="32" t="s">
        <v>2141</v>
      </c>
      <c r="C741" s="33">
        <v>45751.0</v>
      </c>
      <c r="D741" s="47" t="s">
        <v>22</v>
      </c>
      <c r="E741" s="32" t="s">
        <v>1049</v>
      </c>
      <c r="F741" s="34" t="s">
        <v>53</v>
      </c>
      <c r="G741" s="34" t="s">
        <v>553</v>
      </c>
      <c r="H741" s="35" t="s">
        <v>26</v>
      </c>
      <c r="I741" s="58" t="str">
        <f>HYPERLINK("https://open.spotify.com/album/0hxzERiK9zzQUv2jeCweYG", "S")</f>
        <v>S</v>
      </c>
      <c r="J741" s="57"/>
      <c r="K741" s="57"/>
      <c r="L741" s="84"/>
    </row>
    <row r="742">
      <c r="A742" s="31" t="s">
        <v>2142</v>
      </c>
      <c r="B742" s="32" t="s">
        <v>2143</v>
      </c>
      <c r="C742" s="33">
        <v>45751.0</v>
      </c>
      <c r="D742" s="47" t="s">
        <v>22</v>
      </c>
      <c r="E742" s="32" t="s">
        <v>2144</v>
      </c>
      <c r="F742" s="34" t="s">
        <v>24</v>
      </c>
      <c r="G742" s="34" t="s">
        <v>315</v>
      </c>
      <c r="H742" s="35" t="s">
        <v>26</v>
      </c>
      <c r="I742" s="35" t="s">
        <v>27</v>
      </c>
      <c r="J742" s="57"/>
      <c r="K742" s="57"/>
      <c r="L742" s="84"/>
    </row>
    <row r="743">
      <c r="A743" s="31" t="s">
        <v>2145</v>
      </c>
      <c r="B743" s="32" t="s">
        <v>2146</v>
      </c>
      <c r="C743" s="33">
        <v>45751.0</v>
      </c>
      <c r="D743" s="47" t="s">
        <v>39</v>
      </c>
      <c r="E743" s="32" t="s">
        <v>263</v>
      </c>
      <c r="F743" s="34" t="s">
        <v>24</v>
      </c>
      <c r="G743" s="34" t="s">
        <v>2147</v>
      </c>
      <c r="H743" s="35" t="s">
        <v>26</v>
      </c>
      <c r="I743" s="35" t="s">
        <v>27</v>
      </c>
      <c r="J743" s="57"/>
      <c r="K743" s="57"/>
      <c r="L743" s="84"/>
    </row>
    <row r="744">
      <c r="A744" s="32" t="s">
        <v>2148</v>
      </c>
      <c r="B744" s="32" t="s">
        <v>2149</v>
      </c>
      <c r="C744" s="33">
        <v>45751.0</v>
      </c>
      <c r="D744" s="34" t="s">
        <v>39</v>
      </c>
      <c r="E744" s="32" t="s">
        <v>2150</v>
      </c>
      <c r="F744" s="34" t="s">
        <v>24</v>
      </c>
      <c r="G744" s="34" t="s">
        <v>365</v>
      </c>
      <c r="H744" s="35" t="s">
        <v>26</v>
      </c>
      <c r="I744" s="35" t="s">
        <v>27</v>
      </c>
      <c r="J744" s="57"/>
      <c r="K744" s="57"/>
      <c r="L744" s="84"/>
    </row>
    <row r="745">
      <c r="A745" s="32" t="s">
        <v>2151</v>
      </c>
      <c r="B745" s="32" t="s">
        <v>2151</v>
      </c>
      <c r="C745" s="33">
        <v>45751.0</v>
      </c>
      <c r="D745" s="47" t="s">
        <v>22</v>
      </c>
      <c r="E745" s="32" t="s">
        <v>707</v>
      </c>
      <c r="F745" s="34" t="s">
        <v>24</v>
      </c>
      <c r="G745" s="34" t="s">
        <v>430</v>
      </c>
      <c r="H745" s="35" t="s">
        <v>26</v>
      </c>
      <c r="I745" s="35" t="s">
        <v>27</v>
      </c>
      <c r="J745" s="35" t="s">
        <v>100</v>
      </c>
      <c r="K745" s="57"/>
      <c r="L745" s="84"/>
    </row>
    <row r="746">
      <c r="A746" s="32" t="s">
        <v>2152</v>
      </c>
      <c r="B746" s="32" t="s">
        <v>2153</v>
      </c>
      <c r="C746" s="33">
        <v>45751.0</v>
      </c>
      <c r="D746" s="34" t="s">
        <v>22</v>
      </c>
      <c r="E746" s="32" t="s">
        <v>2154</v>
      </c>
      <c r="F746" s="34" t="s">
        <v>24</v>
      </c>
      <c r="G746" s="34" t="s">
        <v>299</v>
      </c>
      <c r="H746" s="35" t="s">
        <v>26</v>
      </c>
      <c r="I746" s="35" t="s">
        <v>27</v>
      </c>
      <c r="J746" s="57"/>
      <c r="K746" s="57"/>
      <c r="L746" s="84"/>
    </row>
    <row r="747">
      <c r="A747" s="32" t="s">
        <v>2155</v>
      </c>
      <c r="B747" s="32" t="s">
        <v>2156</v>
      </c>
      <c r="C747" s="33">
        <v>45751.0</v>
      </c>
      <c r="D747" s="34" t="s">
        <v>22</v>
      </c>
      <c r="E747" s="32" t="s">
        <v>1850</v>
      </c>
      <c r="F747" s="34" t="s">
        <v>53</v>
      </c>
      <c r="G747" s="34" t="s">
        <v>526</v>
      </c>
      <c r="H747" s="35" t="s">
        <v>26</v>
      </c>
      <c r="I747" s="35" t="s">
        <v>27</v>
      </c>
      <c r="J747" s="35" t="s">
        <v>100</v>
      </c>
      <c r="K747" s="57"/>
      <c r="L747" s="84"/>
    </row>
    <row r="748">
      <c r="A748" s="32" t="s">
        <v>2157</v>
      </c>
      <c r="B748" s="32" t="s">
        <v>2158</v>
      </c>
      <c r="C748" s="33">
        <v>45751.0</v>
      </c>
      <c r="D748" s="34" t="s">
        <v>22</v>
      </c>
      <c r="E748" s="32" t="s">
        <v>84</v>
      </c>
      <c r="F748" s="34" t="s">
        <v>24</v>
      </c>
      <c r="G748" s="34" t="s">
        <v>2159</v>
      </c>
      <c r="H748" s="35" t="s">
        <v>26</v>
      </c>
      <c r="I748" s="35" t="s">
        <v>27</v>
      </c>
      <c r="J748" s="57"/>
      <c r="K748" s="57"/>
      <c r="L748" s="84"/>
    </row>
    <row r="749">
      <c r="A749" s="32" t="s">
        <v>2160</v>
      </c>
      <c r="B749" s="32" t="s">
        <v>2161</v>
      </c>
      <c r="C749" s="33">
        <v>45751.0</v>
      </c>
      <c r="D749" s="34" t="s">
        <v>22</v>
      </c>
      <c r="E749" s="32" t="s">
        <v>328</v>
      </c>
      <c r="F749" s="34" t="s">
        <v>156</v>
      </c>
      <c r="G749" s="34" t="s">
        <v>239</v>
      </c>
      <c r="H749" s="35" t="s">
        <v>26</v>
      </c>
      <c r="I749" s="35" t="s">
        <v>27</v>
      </c>
      <c r="J749" s="57"/>
      <c r="K749" s="57"/>
      <c r="L749" s="84"/>
    </row>
    <row r="750">
      <c r="A750" s="32" t="s">
        <v>2162</v>
      </c>
      <c r="B750" s="32" t="s">
        <v>2163</v>
      </c>
      <c r="C750" s="33">
        <v>45751.0</v>
      </c>
      <c r="D750" s="34" t="s">
        <v>22</v>
      </c>
      <c r="E750" s="32" t="s">
        <v>69</v>
      </c>
      <c r="F750" s="34" t="s">
        <v>53</v>
      </c>
      <c r="G750" s="34" t="s">
        <v>1925</v>
      </c>
      <c r="H750" s="35" t="s">
        <v>26</v>
      </c>
      <c r="I750" s="63"/>
      <c r="J750" s="35" t="s">
        <v>100</v>
      </c>
      <c r="K750" s="57"/>
      <c r="L750" s="84"/>
    </row>
    <row r="751">
      <c r="A751" s="32" t="s">
        <v>2164</v>
      </c>
      <c r="B751" s="32" t="s">
        <v>2165</v>
      </c>
      <c r="C751" s="33">
        <v>45751.0</v>
      </c>
      <c r="D751" s="69" t="s">
        <v>22</v>
      </c>
      <c r="E751" s="32" t="s">
        <v>2166</v>
      </c>
      <c r="F751" s="34" t="s">
        <v>156</v>
      </c>
      <c r="G751" s="34" t="s">
        <v>2167</v>
      </c>
      <c r="H751" s="35" t="s">
        <v>26</v>
      </c>
      <c r="I751" s="35" t="s">
        <v>27</v>
      </c>
      <c r="J751" s="57"/>
      <c r="K751" s="57"/>
      <c r="L751" s="84"/>
    </row>
    <row r="752">
      <c r="A752" s="32" t="s">
        <v>2168</v>
      </c>
      <c r="B752" s="32" t="s">
        <v>2169</v>
      </c>
      <c r="C752" s="33">
        <v>45751.0</v>
      </c>
      <c r="D752" s="34" t="s">
        <v>22</v>
      </c>
      <c r="E752" s="32" t="s">
        <v>69</v>
      </c>
      <c r="F752" s="34" t="s">
        <v>53</v>
      </c>
      <c r="G752" s="34" t="s">
        <v>2170</v>
      </c>
      <c r="H752" s="35" t="s">
        <v>26</v>
      </c>
      <c r="I752" s="35" t="s">
        <v>27</v>
      </c>
      <c r="J752" s="57"/>
      <c r="K752" s="57"/>
      <c r="L752" s="84"/>
    </row>
    <row r="753">
      <c r="A753" s="32" t="s">
        <v>2171</v>
      </c>
      <c r="B753" s="32" t="s">
        <v>2172</v>
      </c>
      <c r="C753" s="33">
        <v>45751.0</v>
      </c>
      <c r="D753" s="34" t="s">
        <v>39</v>
      </c>
      <c r="E753" s="32" t="s">
        <v>2173</v>
      </c>
      <c r="F753" s="34" t="s">
        <v>24</v>
      </c>
      <c r="G753" s="34" t="s">
        <v>199</v>
      </c>
      <c r="H753" s="35" t="s">
        <v>26</v>
      </c>
      <c r="I753" s="35" t="s">
        <v>27</v>
      </c>
      <c r="J753" s="57"/>
      <c r="K753" s="57"/>
      <c r="L753" s="84"/>
    </row>
    <row r="754">
      <c r="A754" s="32" t="s">
        <v>1801</v>
      </c>
      <c r="B754" s="32" t="s">
        <v>1801</v>
      </c>
      <c r="C754" s="33">
        <v>45751.0</v>
      </c>
      <c r="D754" s="47" t="s">
        <v>22</v>
      </c>
      <c r="E754" s="32" t="s">
        <v>2174</v>
      </c>
      <c r="F754" s="34" t="s">
        <v>31</v>
      </c>
      <c r="G754" s="34" t="s">
        <v>1566</v>
      </c>
      <c r="H754" s="35" t="s">
        <v>26</v>
      </c>
      <c r="I754" s="66"/>
      <c r="J754" s="57"/>
      <c r="K754" s="57"/>
      <c r="L754" s="84"/>
    </row>
    <row r="755">
      <c r="A755" s="31" t="s">
        <v>2175</v>
      </c>
      <c r="B755" s="32" t="s">
        <v>2176</v>
      </c>
      <c r="C755" s="33">
        <v>45752.0</v>
      </c>
      <c r="D755" s="34" t="s">
        <v>22</v>
      </c>
      <c r="E755" s="32" t="s">
        <v>61</v>
      </c>
      <c r="F755" s="34" t="s">
        <v>24</v>
      </c>
      <c r="G755" s="34" t="s">
        <v>2064</v>
      </c>
      <c r="H755" s="35" t="s">
        <v>26</v>
      </c>
      <c r="I755" s="36" t="str">
        <f>HYPERLINK("https://open.spotify.com/album/6U60paSKgOfG5h747W6FUo", "S")</f>
        <v>S</v>
      </c>
      <c r="J755" s="57"/>
      <c r="K755" s="57"/>
      <c r="L755" s="84"/>
    </row>
    <row r="756">
      <c r="A756" s="31" t="s">
        <v>2177</v>
      </c>
      <c r="B756" s="32" t="s">
        <v>2178</v>
      </c>
      <c r="C756" s="33">
        <v>45753.0</v>
      </c>
      <c r="D756" s="47" t="s">
        <v>22</v>
      </c>
      <c r="E756" s="32" t="s">
        <v>160</v>
      </c>
      <c r="F756" s="34" t="s">
        <v>24</v>
      </c>
      <c r="G756" s="34" t="s">
        <v>2179</v>
      </c>
      <c r="H756" s="35" t="s">
        <v>26</v>
      </c>
      <c r="I756" s="35" t="s">
        <v>27</v>
      </c>
      <c r="J756" s="57"/>
      <c r="K756" s="57"/>
      <c r="L756" s="84"/>
    </row>
    <row r="757">
      <c r="A757" s="32" t="s">
        <v>2180</v>
      </c>
      <c r="B757" s="32" t="s">
        <v>2181</v>
      </c>
      <c r="C757" s="33">
        <v>45753.0</v>
      </c>
      <c r="D757" s="34" t="s">
        <v>22</v>
      </c>
      <c r="E757" s="32" t="s">
        <v>160</v>
      </c>
      <c r="F757" s="34" t="s">
        <v>24</v>
      </c>
      <c r="G757" s="34" t="s">
        <v>1856</v>
      </c>
      <c r="H757" s="35" t="s">
        <v>26</v>
      </c>
      <c r="I757" s="35" t="s">
        <v>27</v>
      </c>
      <c r="J757" s="57"/>
      <c r="K757" s="57"/>
      <c r="L757" s="84"/>
    </row>
    <row r="758">
      <c r="A758" s="32" t="s">
        <v>2182</v>
      </c>
      <c r="B758" s="32" t="s">
        <v>2183</v>
      </c>
      <c r="C758" s="33">
        <v>45754.0</v>
      </c>
      <c r="D758" s="47" t="s">
        <v>39</v>
      </c>
      <c r="E758" s="32" t="s">
        <v>433</v>
      </c>
      <c r="F758" s="34" t="s">
        <v>24</v>
      </c>
      <c r="G758" s="34" t="s">
        <v>199</v>
      </c>
      <c r="H758" s="35" t="s">
        <v>26</v>
      </c>
      <c r="I758" s="35" t="s">
        <v>27</v>
      </c>
      <c r="J758" s="57"/>
      <c r="K758" s="57"/>
      <c r="L758" s="84"/>
    </row>
    <row r="759">
      <c r="A759" s="32" t="s">
        <v>2184</v>
      </c>
      <c r="B759" s="32" t="s">
        <v>2184</v>
      </c>
      <c r="C759" s="33">
        <v>45754.0</v>
      </c>
      <c r="D759" s="47" t="s">
        <v>22</v>
      </c>
      <c r="E759" s="32" t="s">
        <v>122</v>
      </c>
      <c r="F759" s="34" t="s">
        <v>53</v>
      </c>
      <c r="G759" s="34" t="s">
        <v>2185</v>
      </c>
      <c r="H759" s="66"/>
      <c r="I759" s="35" t="s">
        <v>27</v>
      </c>
      <c r="J759" s="57"/>
      <c r="K759" s="57"/>
      <c r="L759" s="84"/>
    </row>
    <row r="760">
      <c r="A760" s="31" t="s">
        <v>2186</v>
      </c>
      <c r="B760" s="32" t="s">
        <v>2187</v>
      </c>
      <c r="C760" s="33">
        <v>45755.0</v>
      </c>
      <c r="D760" s="47" t="s">
        <v>22</v>
      </c>
      <c r="E760" s="32" t="s">
        <v>2188</v>
      </c>
      <c r="F760" s="34" t="s">
        <v>53</v>
      </c>
      <c r="G760" s="34" t="s">
        <v>2189</v>
      </c>
      <c r="H760" s="35" t="s">
        <v>26</v>
      </c>
      <c r="I760" s="36" t="str">
        <f>HYPERLINK("https://open.spotify.com/album/1iiJ1NGFjQ5hSVs75lVDYH", "S")</f>
        <v>S</v>
      </c>
      <c r="J760" s="57"/>
      <c r="K760" s="57"/>
      <c r="L760" s="84"/>
    </row>
    <row r="761">
      <c r="A761" s="32" t="s">
        <v>2190</v>
      </c>
      <c r="B761" s="32" t="s">
        <v>2191</v>
      </c>
      <c r="C761" s="33">
        <v>45755.0</v>
      </c>
      <c r="D761" s="34" t="s">
        <v>22</v>
      </c>
      <c r="E761" s="32" t="s">
        <v>2192</v>
      </c>
      <c r="F761" s="34" t="s">
        <v>156</v>
      </c>
      <c r="G761" s="34" t="s">
        <v>2193</v>
      </c>
      <c r="H761" s="35" t="s">
        <v>26</v>
      </c>
      <c r="I761" s="35" t="s">
        <v>27</v>
      </c>
      <c r="J761" s="57"/>
      <c r="K761" s="57"/>
      <c r="L761" s="84"/>
    </row>
    <row r="762">
      <c r="A762" s="32" t="s">
        <v>2194</v>
      </c>
      <c r="B762" s="32" t="s">
        <v>2195</v>
      </c>
      <c r="C762" s="33">
        <v>45755.0</v>
      </c>
      <c r="D762" s="34" t="s">
        <v>39</v>
      </c>
      <c r="E762" s="32" t="s">
        <v>2196</v>
      </c>
      <c r="F762" s="34" t="s">
        <v>53</v>
      </c>
      <c r="G762" s="34" t="s">
        <v>2197</v>
      </c>
      <c r="H762" s="35" t="s">
        <v>26</v>
      </c>
      <c r="I762" s="35" t="s">
        <v>27</v>
      </c>
      <c r="J762" s="57"/>
      <c r="K762" s="57"/>
      <c r="L762" s="84"/>
    </row>
    <row r="763">
      <c r="A763" s="32" t="s">
        <v>2198</v>
      </c>
      <c r="B763" s="32" t="s">
        <v>2199</v>
      </c>
      <c r="C763" s="33">
        <v>45755.0</v>
      </c>
      <c r="D763" s="69" t="s">
        <v>22</v>
      </c>
      <c r="E763" s="32" t="s">
        <v>69</v>
      </c>
      <c r="F763" s="34" t="s">
        <v>24</v>
      </c>
      <c r="G763" s="34" t="s">
        <v>2200</v>
      </c>
      <c r="H763" s="35" t="s">
        <v>26</v>
      </c>
      <c r="I763" s="66"/>
      <c r="J763" s="57"/>
      <c r="K763" s="57"/>
      <c r="L763" s="84"/>
    </row>
    <row r="764">
      <c r="A764" s="32" t="s">
        <v>2201</v>
      </c>
      <c r="B764" s="32" t="s">
        <v>2202</v>
      </c>
      <c r="C764" s="33">
        <v>45756.0</v>
      </c>
      <c r="D764" s="34" t="s">
        <v>22</v>
      </c>
      <c r="E764" s="32" t="s">
        <v>1401</v>
      </c>
      <c r="F764" s="34" t="s">
        <v>24</v>
      </c>
      <c r="G764" s="34" t="s">
        <v>2203</v>
      </c>
      <c r="H764" s="35" t="s">
        <v>26</v>
      </c>
      <c r="I764" s="99"/>
      <c r="J764" s="57"/>
      <c r="K764" s="57"/>
      <c r="L764" s="84"/>
    </row>
    <row r="765">
      <c r="A765" s="32" t="s">
        <v>2204</v>
      </c>
      <c r="B765" s="32" t="s">
        <v>2205</v>
      </c>
      <c r="C765" s="33">
        <v>45757.0</v>
      </c>
      <c r="D765" s="47" t="s">
        <v>22</v>
      </c>
      <c r="E765" s="32" t="s">
        <v>2206</v>
      </c>
      <c r="F765" s="34" t="s">
        <v>53</v>
      </c>
      <c r="G765" s="34" t="s">
        <v>1856</v>
      </c>
      <c r="H765" s="35" t="s">
        <v>26</v>
      </c>
      <c r="I765" s="66"/>
      <c r="J765" s="57"/>
      <c r="K765" s="57"/>
      <c r="L765" s="84"/>
    </row>
    <row r="766">
      <c r="A766" s="32" t="s">
        <v>2207</v>
      </c>
      <c r="B766" s="32" t="s">
        <v>2208</v>
      </c>
      <c r="C766" s="33">
        <v>45757.0</v>
      </c>
      <c r="D766" s="34" t="s">
        <v>39</v>
      </c>
      <c r="E766" s="32" t="s">
        <v>2209</v>
      </c>
      <c r="F766" s="34" t="s">
        <v>53</v>
      </c>
      <c r="G766" s="34" t="s">
        <v>933</v>
      </c>
      <c r="H766" s="35" t="s">
        <v>26</v>
      </c>
      <c r="I766" s="36" t="str">
        <f>HYPERLINK("https://open.spotify.com/album/3CVmwIQmxZgF7IDX677J50", "S")</f>
        <v>S</v>
      </c>
      <c r="J766" s="57"/>
      <c r="K766" s="57"/>
      <c r="L766" s="84"/>
    </row>
    <row r="767">
      <c r="A767" s="32" t="s">
        <v>2210</v>
      </c>
      <c r="B767" s="32" t="s">
        <v>2211</v>
      </c>
      <c r="C767" s="33">
        <v>45758.0</v>
      </c>
      <c r="D767" s="34" t="s">
        <v>22</v>
      </c>
      <c r="E767" s="32" t="s">
        <v>328</v>
      </c>
      <c r="F767" s="34" t="s">
        <v>53</v>
      </c>
      <c r="G767" s="34" t="s">
        <v>2212</v>
      </c>
      <c r="H767" s="35" t="s">
        <v>26</v>
      </c>
      <c r="I767" s="35" t="s">
        <v>27</v>
      </c>
      <c r="J767" s="57"/>
      <c r="K767" s="57"/>
      <c r="L767" s="84"/>
    </row>
    <row r="768">
      <c r="A768" s="32" t="s">
        <v>2213</v>
      </c>
      <c r="B768" s="32" t="s">
        <v>2214</v>
      </c>
      <c r="C768" s="33">
        <v>45758.0</v>
      </c>
      <c r="D768" s="34" t="s">
        <v>22</v>
      </c>
      <c r="E768" s="32" t="s">
        <v>2215</v>
      </c>
      <c r="F768" s="34" t="s">
        <v>24</v>
      </c>
      <c r="G768" s="34" t="s">
        <v>199</v>
      </c>
      <c r="H768" s="35" t="s">
        <v>26</v>
      </c>
      <c r="I768" s="35" t="s">
        <v>27</v>
      </c>
      <c r="J768" s="57"/>
      <c r="K768" s="57"/>
      <c r="L768" s="84"/>
    </row>
    <row r="769">
      <c r="A769" s="32" t="s">
        <v>2216</v>
      </c>
      <c r="B769" s="32" t="s">
        <v>2217</v>
      </c>
      <c r="C769" s="33">
        <v>45758.0</v>
      </c>
      <c r="D769" s="34" t="s">
        <v>22</v>
      </c>
      <c r="E769" s="32" t="s">
        <v>2218</v>
      </c>
      <c r="F769" s="34" t="s">
        <v>53</v>
      </c>
      <c r="G769" s="34" t="s">
        <v>342</v>
      </c>
      <c r="H769" s="35" t="s">
        <v>26</v>
      </c>
      <c r="I769" s="35" t="s">
        <v>27</v>
      </c>
      <c r="J769" s="57"/>
      <c r="K769" s="57"/>
      <c r="L769" s="84"/>
    </row>
    <row r="770">
      <c r="A770" s="32" t="s">
        <v>2219</v>
      </c>
      <c r="B770" s="32" t="s">
        <v>2220</v>
      </c>
      <c r="C770" s="33">
        <v>45758.0</v>
      </c>
      <c r="D770" s="34" t="s">
        <v>22</v>
      </c>
      <c r="E770" s="32" t="s">
        <v>817</v>
      </c>
      <c r="F770" s="34" t="s">
        <v>24</v>
      </c>
      <c r="G770" s="34" t="s">
        <v>161</v>
      </c>
      <c r="H770" s="35" t="s">
        <v>26</v>
      </c>
      <c r="I770" s="35" t="s">
        <v>27</v>
      </c>
      <c r="J770" s="57"/>
      <c r="K770" s="57"/>
      <c r="L770" s="84"/>
    </row>
    <row r="771">
      <c r="A771" s="32" t="s">
        <v>2221</v>
      </c>
      <c r="B771" s="32" t="s">
        <v>2222</v>
      </c>
      <c r="C771" s="33">
        <v>45758.0</v>
      </c>
      <c r="D771" s="34" t="s">
        <v>22</v>
      </c>
      <c r="E771" s="32" t="s">
        <v>745</v>
      </c>
      <c r="F771" s="34" t="s">
        <v>24</v>
      </c>
      <c r="G771" s="34" t="s">
        <v>1856</v>
      </c>
      <c r="H771" s="35" t="s">
        <v>26</v>
      </c>
      <c r="I771" s="35" t="s">
        <v>27</v>
      </c>
      <c r="J771" s="57"/>
      <c r="K771" s="57"/>
      <c r="L771" s="84"/>
    </row>
    <row r="772">
      <c r="A772" s="32" t="s">
        <v>2223</v>
      </c>
      <c r="B772" s="32" t="s">
        <v>2224</v>
      </c>
      <c r="C772" s="33">
        <v>45758.0</v>
      </c>
      <c r="D772" s="34" t="s">
        <v>22</v>
      </c>
      <c r="E772" s="32" t="s">
        <v>2225</v>
      </c>
      <c r="F772" s="34" t="s">
        <v>230</v>
      </c>
      <c r="G772" s="34" t="s">
        <v>923</v>
      </c>
      <c r="H772" s="35" t="s">
        <v>26</v>
      </c>
      <c r="I772" s="35" t="s">
        <v>27</v>
      </c>
      <c r="J772" s="57"/>
      <c r="K772" s="57"/>
      <c r="L772" s="84"/>
    </row>
    <row r="773">
      <c r="A773" s="32" t="s">
        <v>2226</v>
      </c>
      <c r="B773" s="32" t="s">
        <v>2227</v>
      </c>
      <c r="C773" s="33">
        <v>45758.0</v>
      </c>
      <c r="D773" s="34" t="s">
        <v>39</v>
      </c>
      <c r="E773" s="32" t="s">
        <v>513</v>
      </c>
      <c r="F773" s="34" t="s">
        <v>156</v>
      </c>
      <c r="G773" s="34" t="s">
        <v>454</v>
      </c>
      <c r="H773" s="35" t="s">
        <v>26</v>
      </c>
      <c r="I773" s="35" t="s">
        <v>27</v>
      </c>
      <c r="J773" s="57"/>
      <c r="K773" s="57"/>
      <c r="L773" s="84"/>
    </row>
    <row r="774">
      <c r="A774" s="32" t="s">
        <v>2228</v>
      </c>
      <c r="B774" s="32" t="s">
        <v>2229</v>
      </c>
      <c r="C774" s="33">
        <v>45758.0</v>
      </c>
      <c r="D774" s="34" t="s">
        <v>22</v>
      </c>
      <c r="E774" s="32" t="s">
        <v>2230</v>
      </c>
      <c r="F774" s="34" t="s">
        <v>156</v>
      </c>
      <c r="G774" s="34" t="s">
        <v>104</v>
      </c>
      <c r="H774" s="35" t="s">
        <v>26</v>
      </c>
      <c r="I774" s="35" t="s">
        <v>27</v>
      </c>
      <c r="J774" s="57"/>
      <c r="K774" s="57"/>
      <c r="L774" s="100"/>
    </row>
    <row r="775">
      <c r="A775" s="31" t="s">
        <v>2231</v>
      </c>
      <c r="B775" s="32" t="s">
        <v>2232</v>
      </c>
      <c r="C775" s="33">
        <v>45758.0</v>
      </c>
      <c r="D775" s="34" t="s">
        <v>22</v>
      </c>
      <c r="E775" s="32" t="s">
        <v>2233</v>
      </c>
      <c r="F775" s="34" t="s">
        <v>156</v>
      </c>
      <c r="G775" s="34" t="s">
        <v>599</v>
      </c>
      <c r="H775" s="35" t="s">
        <v>26</v>
      </c>
      <c r="I775" s="35" t="s">
        <v>27</v>
      </c>
      <c r="J775" s="99"/>
      <c r="K775" s="57"/>
      <c r="L775" s="84"/>
    </row>
    <row r="776">
      <c r="A776" s="31" t="s">
        <v>2234</v>
      </c>
      <c r="B776" s="32" t="s">
        <v>2235</v>
      </c>
      <c r="C776" s="33">
        <v>45758.0</v>
      </c>
      <c r="D776" s="34" t="s">
        <v>22</v>
      </c>
      <c r="E776" s="32" t="s">
        <v>69</v>
      </c>
      <c r="F776" s="34" t="s">
        <v>24</v>
      </c>
      <c r="G776" s="34" t="s">
        <v>70</v>
      </c>
      <c r="H776" s="35" t="s">
        <v>26</v>
      </c>
      <c r="I776" s="35" t="s">
        <v>27</v>
      </c>
      <c r="J776" s="35" t="s">
        <v>100</v>
      </c>
      <c r="K776" s="57"/>
      <c r="L776" s="84"/>
    </row>
    <row r="777">
      <c r="A777" s="31" t="s">
        <v>2236</v>
      </c>
      <c r="B777" s="32" t="s">
        <v>2237</v>
      </c>
      <c r="C777" s="33">
        <v>45758.0</v>
      </c>
      <c r="D777" s="34" t="s">
        <v>22</v>
      </c>
      <c r="E777" s="32" t="s">
        <v>637</v>
      </c>
      <c r="F777" s="34" t="s">
        <v>156</v>
      </c>
      <c r="G777" s="34" t="s">
        <v>792</v>
      </c>
      <c r="H777" s="35" t="s">
        <v>26</v>
      </c>
      <c r="I777" s="35" t="s">
        <v>27</v>
      </c>
      <c r="J777" s="99"/>
      <c r="K777" s="57"/>
      <c r="L777" s="84"/>
    </row>
    <row r="778">
      <c r="A778" s="31" t="s">
        <v>2238</v>
      </c>
      <c r="B778" s="32" t="s">
        <v>2239</v>
      </c>
      <c r="C778" s="33">
        <v>45758.0</v>
      </c>
      <c r="D778" s="34" t="s">
        <v>22</v>
      </c>
      <c r="E778" s="32" t="s">
        <v>122</v>
      </c>
      <c r="F778" s="34" t="s">
        <v>53</v>
      </c>
      <c r="G778" s="34" t="s">
        <v>1560</v>
      </c>
      <c r="H778" s="35" t="s">
        <v>26</v>
      </c>
      <c r="I778" s="35" t="s">
        <v>27</v>
      </c>
      <c r="J778" s="99"/>
      <c r="K778" s="57"/>
      <c r="L778" s="84"/>
    </row>
    <row r="779">
      <c r="A779" s="31" t="s">
        <v>2240</v>
      </c>
      <c r="B779" s="32" t="s">
        <v>2241</v>
      </c>
      <c r="C779" s="33">
        <v>45758.0</v>
      </c>
      <c r="D779" s="47" t="s">
        <v>22</v>
      </c>
      <c r="E779" s="32" t="s">
        <v>436</v>
      </c>
      <c r="F779" s="34" t="s">
        <v>53</v>
      </c>
      <c r="G779" s="34" t="s">
        <v>620</v>
      </c>
      <c r="H779" s="35" t="s">
        <v>26</v>
      </c>
      <c r="I779" s="35" t="s">
        <v>27</v>
      </c>
      <c r="J779" s="35" t="s">
        <v>100</v>
      </c>
      <c r="K779" s="57"/>
      <c r="L779" s="84"/>
    </row>
    <row r="780">
      <c r="A780" s="31" t="s">
        <v>2242</v>
      </c>
      <c r="B780" s="32" t="s">
        <v>2243</v>
      </c>
      <c r="C780" s="33">
        <v>45758.0</v>
      </c>
      <c r="D780" s="34" t="s">
        <v>22</v>
      </c>
      <c r="E780" s="32" t="s">
        <v>176</v>
      </c>
      <c r="F780" s="34" t="s">
        <v>156</v>
      </c>
      <c r="G780" s="34" t="s">
        <v>257</v>
      </c>
      <c r="H780" s="35" t="s">
        <v>26</v>
      </c>
      <c r="I780" s="35" t="s">
        <v>27</v>
      </c>
      <c r="J780" s="99"/>
      <c r="K780" s="57"/>
      <c r="L780" s="84"/>
    </row>
    <row r="781">
      <c r="A781" s="31" t="s">
        <v>2244</v>
      </c>
      <c r="B781" s="32" t="s">
        <v>2245</v>
      </c>
      <c r="C781" s="33">
        <v>45758.0</v>
      </c>
      <c r="D781" s="34" t="s">
        <v>22</v>
      </c>
      <c r="E781" s="32" t="s">
        <v>122</v>
      </c>
      <c r="F781" s="34" t="s">
        <v>53</v>
      </c>
      <c r="G781" s="34" t="s">
        <v>2246</v>
      </c>
      <c r="H781" s="35" t="s">
        <v>26</v>
      </c>
      <c r="I781" s="35" t="s">
        <v>27</v>
      </c>
      <c r="J781" s="35" t="s">
        <v>100</v>
      </c>
      <c r="K781" s="57"/>
      <c r="L781" s="84"/>
    </row>
    <row r="782">
      <c r="A782" s="32" t="s">
        <v>2247</v>
      </c>
      <c r="B782" s="32" t="s">
        <v>2248</v>
      </c>
      <c r="C782" s="45">
        <v>45758.0</v>
      </c>
      <c r="D782" s="68" t="s">
        <v>22</v>
      </c>
      <c r="E782" s="32" t="s">
        <v>2249</v>
      </c>
      <c r="F782" s="34" t="s">
        <v>53</v>
      </c>
      <c r="G782" s="34" t="s">
        <v>2250</v>
      </c>
      <c r="H782" s="35" t="str">
        <f>HYPERLINK("https://flummoxed.bandcamp.com/album/southern-progress", "BC")</f>
        <v>BC</v>
      </c>
      <c r="I782" s="35" t="s">
        <v>27</v>
      </c>
      <c r="J782" s="99"/>
      <c r="K782" s="57"/>
      <c r="L782" s="84"/>
    </row>
    <row r="783">
      <c r="A783" s="32" t="s">
        <v>2251</v>
      </c>
      <c r="B783" s="32" t="s">
        <v>2252</v>
      </c>
      <c r="C783" s="59">
        <v>45758.0</v>
      </c>
      <c r="D783" s="68" t="s">
        <v>39</v>
      </c>
      <c r="E783" s="32" t="s">
        <v>84</v>
      </c>
      <c r="F783" s="34" t="s">
        <v>53</v>
      </c>
      <c r="G783" s="34" t="s">
        <v>2253</v>
      </c>
      <c r="H783" s="35" t="s">
        <v>26</v>
      </c>
      <c r="I783" s="35" t="s">
        <v>27</v>
      </c>
      <c r="J783" s="35" t="s">
        <v>100</v>
      </c>
      <c r="K783" s="57"/>
      <c r="L783" s="84"/>
    </row>
    <row r="784">
      <c r="A784" s="32" t="s">
        <v>2254</v>
      </c>
      <c r="B784" s="32" t="s">
        <v>2255</v>
      </c>
      <c r="C784" s="59">
        <v>45758.0</v>
      </c>
      <c r="D784" s="68" t="s">
        <v>22</v>
      </c>
      <c r="E784" s="32" t="s">
        <v>2256</v>
      </c>
      <c r="F784" s="34" t="s">
        <v>24</v>
      </c>
      <c r="G784" s="34" t="s">
        <v>1012</v>
      </c>
      <c r="H784" s="65"/>
      <c r="I784" s="35" t="s">
        <v>27</v>
      </c>
      <c r="J784" s="99"/>
      <c r="K784" s="57"/>
      <c r="L784" s="84"/>
    </row>
    <row r="785">
      <c r="A785" s="31" t="s">
        <v>2257</v>
      </c>
      <c r="B785" s="32" t="s">
        <v>2258</v>
      </c>
      <c r="C785" s="33">
        <v>45758.0</v>
      </c>
      <c r="D785" s="34" t="s">
        <v>22</v>
      </c>
      <c r="E785" s="32" t="s">
        <v>2259</v>
      </c>
      <c r="F785" s="34" t="s">
        <v>24</v>
      </c>
      <c r="G785" s="34" t="s">
        <v>2260</v>
      </c>
      <c r="H785" s="35" t="s">
        <v>26</v>
      </c>
      <c r="I785" s="35" t="s">
        <v>27</v>
      </c>
      <c r="J785" s="99"/>
      <c r="K785" s="57"/>
      <c r="L785" s="84"/>
    </row>
    <row r="786">
      <c r="A786" s="31" t="s">
        <v>2261</v>
      </c>
      <c r="B786" s="32" t="s">
        <v>2262</v>
      </c>
      <c r="C786" s="33">
        <v>45758.0</v>
      </c>
      <c r="D786" s="34" t="s">
        <v>22</v>
      </c>
      <c r="E786" s="32" t="s">
        <v>61</v>
      </c>
      <c r="F786" s="34" t="s">
        <v>24</v>
      </c>
      <c r="G786" s="34" t="s">
        <v>161</v>
      </c>
      <c r="H786" s="35" t="s">
        <v>26</v>
      </c>
      <c r="I786" s="35" t="s">
        <v>27</v>
      </c>
      <c r="J786" s="35" t="s">
        <v>100</v>
      </c>
      <c r="K786" s="57"/>
      <c r="L786" s="84"/>
    </row>
    <row r="787">
      <c r="A787" s="31" t="s">
        <v>2263</v>
      </c>
      <c r="B787" s="32" t="s">
        <v>2264</v>
      </c>
      <c r="C787" s="33">
        <v>45758.0</v>
      </c>
      <c r="D787" s="34" t="s">
        <v>22</v>
      </c>
      <c r="E787" s="32" t="s">
        <v>2265</v>
      </c>
      <c r="F787" s="34" t="s">
        <v>156</v>
      </c>
      <c r="G787" s="34" t="s">
        <v>257</v>
      </c>
      <c r="H787" s="66"/>
      <c r="I787" s="35" t="s">
        <v>27</v>
      </c>
      <c r="J787" s="57"/>
      <c r="K787" s="57"/>
      <c r="L787" s="84"/>
    </row>
    <row r="788">
      <c r="A788" s="31" t="s">
        <v>2266</v>
      </c>
      <c r="B788" s="32" t="s">
        <v>2267</v>
      </c>
      <c r="C788" s="33">
        <v>45758.0</v>
      </c>
      <c r="D788" s="34" t="s">
        <v>39</v>
      </c>
      <c r="E788" s="32" t="s">
        <v>382</v>
      </c>
      <c r="F788" s="34" t="s">
        <v>53</v>
      </c>
      <c r="G788" s="34" t="s">
        <v>152</v>
      </c>
      <c r="H788" s="35" t="s">
        <v>26</v>
      </c>
      <c r="I788" s="35" t="s">
        <v>27</v>
      </c>
      <c r="J788" s="35" t="s">
        <v>100</v>
      </c>
      <c r="K788" s="57"/>
      <c r="L788" s="84"/>
    </row>
    <row r="789">
      <c r="A789" s="31" t="s">
        <v>2268</v>
      </c>
      <c r="B789" s="32" t="s">
        <v>2269</v>
      </c>
      <c r="C789" s="33">
        <v>45758.0</v>
      </c>
      <c r="D789" s="34" t="s">
        <v>22</v>
      </c>
      <c r="E789" s="32" t="s">
        <v>1204</v>
      </c>
      <c r="F789" s="34" t="s">
        <v>53</v>
      </c>
      <c r="G789" s="34" t="s">
        <v>2270</v>
      </c>
      <c r="H789" s="35" t="s">
        <v>26</v>
      </c>
      <c r="I789" s="35" t="s">
        <v>27</v>
      </c>
      <c r="J789" s="57"/>
      <c r="K789" s="57"/>
      <c r="L789" s="84"/>
    </row>
    <row r="790">
      <c r="A790" s="31" t="s">
        <v>2271</v>
      </c>
      <c r="B790" s="32" t="s">
        <v>2272</v>
      </c>
      <c r="C790" s="33">
        <v>45758.0</v>
      </c>
      <c r="D790" s="34" t="s">
        <v>22</v>
      </c>
      <c r="E790" s="32" t="s">
        <v>2273</v>
      </c>
      <c r="F790" s="34" t="s">
        <v>24</v>
      </c>
      <c r="G790" s="34" t="s">
        <v>62</v>
      </c>
      <c r="H790" s="35" t="s">
        <v>26</v>
      </c>
      <c r="I790" s="35" t="s">
        <v>27</v>
      </c>
      <c r="J790" s="35" t="s">
        <v>100</v>
      </c>
      <c r="K790" s="57"/>
      <c r="L790" s="84"/>
    </row>
    <row r="791">
      <c r="A791" s="31" t="s">
        <v>2274</v>
      </c>
      <c r="B791" s="32" t="s">
        <v>2275</v>
      </c>
      <c r="C791" s="33">
        <v>45758.0</v>
      </c>
      <c r="D791" s="34" t="s">
        <v>22</v>
      </c>
      <c r="E791" s="32" t="s">
        <v>436</v>
      </c>
      <c r="F791" s="34" t="s">
        <v>1430</v>
      </c>
      <c r="G791" s="34" t="s">
        <v>202</v>
      </c>
      <c r="H791" s="35" t="s">
        <v>26</v>
      </c>
      <c r="I791" s="35" t="s">
        <v>27</v>
      </c>
      <c r="J791" s="57"/>
      <c r="K791" s="57"/>
      <c r="L791" s="84"/>
    </row>
    <row r="792">
      <c r="A792" s="31" t="s">
        <v>2276</v>
      </c>
      <c r="B792" s="32" t="s">
        <v>2277</v>
      </c>
      <c r="C792" s="33">
        <v>45758.0</v>
      </c>
      <c r="D792" s="34" t="s">
        <v>22</v>
      </c>
      <c r="E792" s="32" t="s">
        <v>521</v>
      </c>
      <c r="F792" s="34" t="s">
        <v>24</v>
      </c>
      <c r="G792" s="34" t="s">
        <v>257</v>
      </c>
      <c r="H792" s="35" t="s">
        <v>26</v>
      </c>
      <c r="I792" s="35" t="s">
        <v>27</v>
      </c>
      <c r="J792" s="35" t="s">
        <v>100</v>
      </c>
      <c r="K792" s="57"/>
      <c r="L792" s="84"/>
    </row>
    <row r="793">
      <c r="A793" s="31" t="s">
        <v>2278</v>
      </c>
      <c r="B793" s="32" t="s">
        <v>2279</v>
      </c>
      <c r="C793" s="33">
        <v>45758.0</v>
      </c>
      <c r="D793" s="34" t="s">
        <v>22</v>
      </c>
      <c r="E793" s="32" t="s">
        <v>364</v>
      </c>
      <c r="F793" s="34" t="s">
        <v>24</v>
      </c>
      <c r="G793" s="34" t="s">
        <v>2280</v>
      </c>
      <c r="H793" s="35" t="s">
        <v>26</v>
      </c>
      <c r="I793" s="35" t="s">
        <v>27</v>
      </c>
      <c r="J793" s="57"/>
      <c r="K793" s="57"/>
      <c r="L793" s="84"/>
    </row>
    <row r="794">
      <c r="A794" s="31" t="s">
        <v>2281</v>
      </c>
      <c r="B794" s="32" t="s">
        <v>2282</v>
      </c>
      <c r="C794" s="33">
        <v>45758.0</v>
      </c>
      <c r="D794" s="34" t="s">
        <v>22</v>
      </c>
      <c r="E794" s="32" t="s">
        <v>160</v>
      </c>
      <c r="F794" s="34" t="s">
        <v>53</v>
      </c>
      <c r="G794" s="34" t="s">
        <v>315</v>
      </c>
      <c r="H794" s="35" t="s">
        <v>26</v>
      </c>
      <c r="I794" s="35" t="s">
        <v>27</v>
      </c>
      <c r="J794" s="35" t="s">
        <v>100</v>
      </c>
      <c r="K794" s="57"/>
      <c r="L794" s="84"/>
    </row>
    <row r="795">
      <c r="A795" s="31" t="s">
        <v>2283</v>
      </c>
      <c r="B795" s="32" t="s">
        <v>2284</v>
      </c>
      <c r="C795" s="33">
        <v>45758.0</v>
      </c>
      <c r="D795" s="34" t="s">
        <v>22</v>
      </c>
      <c r="E795" s="32" t="s">
        <v>355</v>
      </c>
      <c r="F795" s="34" t="s">
        <v>24</v>
      </c>
      <c r="G795" s="34" t="s">
        <v>199</v>
      </c>
      <c r="H795" s="35" t="s">
        <v>26</v>
      </c>
      <c r="I795" s="35" t="s">
        <v>27</v>
      </c>
      <c r="J795" s="57"/>
      <c r="K795" s="57"/>
      <c r="L795" s="84"/>
    </row>
    <row r="796">
      <c r="A796" s="31" t="s">
        <v>2285</v>
      </c>
      <c r="B796" s="32" t="s">
        <v>2286</v>
      </c>
      <c r="C796" s="33">
        <v>45758.0</v>
      </c>
      <c r="D796" s="34" t="s">
        <v>22</v>
      </c>
      <c r="E796" s="32" t="s">
        <v>2287</v>
      </c>
      <c r="F796" s="34" t="s">
        <v>156</v>
      </c>
      <c r="G796" s="34" t="s">
        <v>2288</v>
      </c>
      <c r="H796" s="35" t="s">
        <v>26</v>
      </c>
      <c r="I796" s="35" t="s">
        <v>27</v>
      </c>
      <c r="J796" s="57"/>
      <c r="K796" s="57"/>
      <c r="L796" s="84"/>
    </row>
    <row r="797">
      <c r="A797" s="31" t="s">
        <v>2289</v>
      </c>
      <c r="B797" s="32" t="s">
        <v>2290</v>
      </c>
      <c r="C797" s="33">
        <v>45758.0</v>
      </c>
      <c r="D797" s="47" t="s">
        <v>22</v>
      </c>
      <c r="E797" s="32" t="s">
        <v>1525</v>
      </c>
      <c r="F797" s="34" t="s">
        <v>53</v>
      </c>
      <c r="G797" s="34" t="s">
        <v>510</v>
      </c>
      <c r="H797" s="35" t="s">
        <v>26</v>
      </c>
      <c r="I797" s="35" t="s">
        <v>27</v>
      </c>
      <c r="J797" s="35" t="s">
        <v>100</v>
      </c>
      <c r="K797" s="57"/>
      <c r="L797" s="84"/>
    </row>
    <row r="798">
      <c r="A798" s="31" t="s">
        <v>2291</v>
      </c>
      <c r="B798" s="32" t="s">
        <v>2292</v>
      </c>
      <c r="C798" s="33">
        <v>45758.0</v>
      </c>
      <c r="D798" s="34" t="s">
        <v>22</v>
      </c>
      <c r="E798" s="32" t="s">
        <v>2293</v>
      </c>
      <c r="F798" s="34" t="s">
        <v>53</v>
      </c>
      <c r="G798" s="34" t="s">
        <v>1583</v>
      </c>
      <c r="H798" s="35" t="s">
        <v>26</v>
      </c>
      <c r="I798" s="35" t="s">
        <v>27</v>
      </c>
      <c r="J798" s="57"/>
      <c r="K798" s="57"/>
      <c r="L798" s="84"/>
    </row>
    <row r="799">
      <c r="A799" s="31" t="s">
        <v>2294</v>
      </c>
      <c r="B799" s="32" t="s">
        <v>2295</v>
      </c>
      <c r="C799" s="33">
        <v>45758.0</v>
      </c>
      <c r="D799" s="34" t="s">
        <v>22</v>
      </c>
      <c r="E799" s="32" t="s">
        <v>436</v>
      </c>
      <c r="F799" s="34" t="s">
        <v>31</v>
      </c>
      <c r="G799" s="34" t="s">
        <v>437</v>
      </c>
      <c r="H799" s="35" t="s">
        <v>26</v>
      </c>
      <c r="I799" s="35" t="s">
        <v>27</v>
      </c>
      <c r="J799" s="57"/>
      <c r="K799" s="57"/>
      <c r="L799" s="84"/>
    </row>
    <row r="800">
      <c r="A800" s="32" t="s">
        <v>2296</v>
      </c>
      <c r="B800" s="32" t="s">
        <v>2297</v>
      </c>
      <c r="C800" s="33">
        <v>45758.0</v>
      </c>
      <c r="D800" s="34" t="s">
        <v>22</v>
      </c>
      <c r="E800" s="32" t="s">
        <v>61</v>
      </c>
      <c r="F800" s="34" t="s">
        <v>24</v>
      </c>
      <c r="G800" s="34" t="s">
        <v>2298</v>
      </c>
      <c r="H800" s="35" t="s">
        <v>26</v>
      </c>
      <c r="I800" s="58" t="str">
        <f>HYPERLINK("https://open.spotify.com/album/6yfGXgG5h1VDywExd8m5YC", "S")</f>
        <v>S</v>
      </c>
      <c r="J800" s="35" t="s">
        <v>100</v>
      </c>
      <c r="K800" s="57"/>
      <c r="L800" s="84"/>
    </row>
    <row r="801">
      <c r="A801" s="32" t="s">
        <v>2299</v>
      </c>
      <c r="B801" s="32" t="s">
        <v>2300</v>
      </c>
      <c r="C801" s="33">
        <v>45758.0</v>
      </c>
      <c r="D801" s="34" t="s">
        <v>22</v>
      </c>
      <c r="E801" s="32" t="s">
        <v>2301</v>
      </c>
      <c r="F801" s="34" t="s">
        <v>53</v>
      </c>
      <c r="G801" s="34" t="s">
        <v>725</v>
      </c>
      <c r="H801" s="35" t="s">
        <v>26</v>
      </c>
      <c r="I801" s="35" t="s">
        <v>27</v>
      </c>
      <c r="J801" s="57"/>
      <c r="K801" s="57"/>
      <c r="L801" s="84"/>
    </row>
    <row r="802">
      <c r="A802" s="32" t="s">
        <v>2302</v>
      </c>
      <c r="B802" s="32" t="s">
        <v>2303</v>
      </c>
      <c r="C802" s="33">
        <v>45758.0</v>
      </c>
      <c r="D802" s="34" t="s">
        <v>22</v>
      </c>
      <c r="E802" s="32" t="s">
        <v>2304</v>
      </c>
      <c r="F802" s="34" t="s">
        <v>53</v>
      </c>
      <c r="G802" s="34" t="s">
        <v>32</v>
      </c>
      <c r="H802" s="35" t="s">
        <v>26</v>
      </c>
      <c r="I802" s="35" t="s">
        <v>27</v>
      </c>
      <c r="J802" s="57"/>
      <c r="K802" s="57"/>
      <c r="L802" s="84"/>
    </row>
    <row r="803">
      <c r="A803" s="32" t="s">
        <v>2305</v>
      </c>
      <c r="B803" s="32" t="s">
        <v>2306</v>
      </c>
      <c r="C803" s="33">
        <v>45758.0</v>
      </c>
      <c r="D803" s="34" t="s">
        <v>22</v>
      </c>
      <c r="E803" s="32" t="s">
        <v>2307</v>
      </c>
      <c r="F803" s="34" t="s">
        <v>53</v>
      </c>
      <c r="G803" s="34" t="s">
        <v>199</v>
      </c>
      <c r="H803" s="35" t="s">
        <v>26</v>
      </c>
      <c r="I803" s="35" t="s">
        <v>27</v>
      </c>
      <c r="J803" s="57"/>
      <c r="K803" s="57"/>
      <c r="L803" s="84"/>
    </row>
    <row r="804">
      <c r="A804" s="32" t="s">
        <v>2308</v>
      </c>
      <c r="B804" s="32" t="s">
        <v>2309</v>
      </c>
      <c r="C804" s="33">
        <v>45758.0</v>
      </c>
      <c r="D804" s="34" t="s">
        <v>22</v>
      </c>
      <c r="E804" s="32" t="s">
        <v>328</v>
      </c>
      <c r="F804" s="34" t="s">
        <v>24</v>
      </c>
      <c r="G804" s="34" t="s">
        <v>2310</v>
      </c>
      <c r="H804" s="35" t="s">
        <v>26</v>
      </c>
      <c r="I804" s="101" t="str">
        <f>HYPERLINK("https://open.spotify.com/album/2tuEloOBtOAwzpxEHOjO8j", "S")</f>
        <v>S</v>
      </c>
      <c r="J804" s="35" t="s">
        <v>100</v>
      </c>
      <c r="K804" s="57"/>
      <c r="L804" s="84"/>
    </row>
    <row r="805">
      <c r="A805" s="32" t="s">
        <v>2311</v>
      </c>
      <c r="B805" s="32" t="s">
        <v>2312</v>
      </c>
      <c r="C805" s="33">
        <v>45758.0</v>
      </c>
      <c r="D805" s="34" t="s">
        <v>39</v>
      </c>
      <c r="E805" s="32" t="s">
        <v>172</v>
      </c>
      <c r="F805" s="34" t="s">
        <v>24</v>
      </c>
      <c r="G805" s="34" t="s">
        <v>712</v>
      </c>
      <c r="H805" s="35" t="s">
        <v>26</v>
      </c>
      <c r="I805" s="35" t="s">
        <v>27</v>
      </c>
      <c r="J805" s="57"/>
      <c r="K805" s="57"/>
      <c r="L805" s="84"/>
    </row>
    <row r="806">
      <c r="A806" s="32" t="s">
        <v>2313</v>
      </c>
      <c r="B806" s="32" t="s">
        <v>2314</v>
      </c>
      <c r="C806" s="33">
        <v>45758.0</v>
      </c>
      <c r="D806" s="34" t="s">
        <v>22</v>
      </c>
      <c r="E806" s="32" t="s">
        <v>73</v>
      </c>
      <c r="F806" s="34" t="s">
        <v>24</v>
      </c>
      <c r="G806" s="34" t="s">
        <v>202</v>
      </c>
      <c r="H806" s="35" t="s">
        <v>26</v>
      </c>
      <c r="I806" s="35" t="s">
        <v>27</v>
      </c>
      <c r="J806" s="57"/>
      <c r="K806" s="57"/>
      <c r="L806" s="84"/>
    </row>
    <row r="807">
      <c r="A807" s="32" t="s">
        <v>2315</v>
      </c>
      <c r="B807" s="32" t="s">
        <v>2316</v>
      </c>
      <c r="C807" s="33">
        <v>45758.0</v>
      </c>
      <c r="D807" s="47" t="s">
        <v>39</v>
      </c>
      <c r="E807" s="32" t="s">
        <v>2317</v>
      </c>
      <c r="F807" s="34" t="s">
        <v>156</v>
      </c>
      <c r="G807" s="34" t="s">
        <v>2318</v>
      </c>
      <c r="H807" s="35" t="s">
        <v>26</v>
      </c>
      <c r="I807" s="35" t="s">
        <v>27</v>
      </c>
      <c r="J807" s="57"/>
      <c r="K807" s="57"/>
      <c r="L807" s="84"/>
    </row>
    <row r="808">
      <c r="A808" s="32" t="s">
        <v>2319</v>
      </c>
      <c r="B808" s="32" t="s">
        <v>2320</v>
      </c>
      <c r="C808" s="33">
        <v>45758.0</v>
      </c>
      <c r="D808" s="34" t="s">
        <v>39</v>
      </c>
      <c r="E808" s="32" t="s">
        <v>2321</v>
      </c>
      <c r="F808" s="34" t="s">
        <v>53</v>
      </c>
      <c r="G808" s="34" t="s">
        <v>2322</v>
      </c>
      <c r="H808" s="35" t="s">
        <v>26</v>
      </c>
      <c r="I808" s="35" t="s">
        <v>27</v>
      </c>
      <c r="J808" s="57"/>
      <c r="K808" s="57"/>
      <c r="L808" s="84"/>
    </row>
    <row r="809">
      <c r="A809" s="32" t="s">
        <v>2323</v>
      </c>
      <c r="B809" s="32" t="s">
        <v>2324</v>
      </c>
      <c r="C809" s="33">
        <v>45758.0</v>
      </c>
      <c r="D809" s="34" t="s">
        <v>22</v>
      </c>
      <c r="E809" s="32" t="s">
        <v>2325</v>
      </c>
      <c r="F809" s="34" t="s">
        <v>53</v>
      </c>
      <c r="G809" s="34" t="s">
        <v>670</v>
      </c>
      <c r="H809" s="35" t="s">
        <v>26</v>
      </c>
      <c r="I809" s="35" t="s">
        <v>27</v>
      </c>
      <c r="J809" s="57"/>
      <c r="K809" s="57"/>
      <c r="L809" s="84"/>
    </row>
    <row r="810">
      <c r="A810" s="32" t="s">
        <v>2326</v>
      </c>
      <c r="B810" s="32" t="s">
        <v>2327</v>
      </c>
      <c r="C810" s="33">
        <v>45758.0</v>
      </c>
      <c r="D810" s="47" t="s">
        <v>39</v>
      </c>
      <c r="E810" s="32" t="s">
        <v>556</v>
      </c>
      <c r="F810" s="34" t="s">
        <v>156</v>
      </c>
      <c r="G810" s="34" t="s">
        <v>62</v>
      </c>
      <c r="H810" s="35" t="s">
        <v>26</v>
      </c>
      <c r="I810" s="35" t="s">
        <v>27</v>
      </c>
      <c r="J810" s="57"/>
      <c r="K810" s="57"/>
      <c r="L810" s="84"/>
    </row>
    <row r="811">
      <c r="A811" s="31" t="s">
        <v>2328</v>
      </c>
      <c r="B811" s="32" t="s">
        <v>2329</v>
      </c>
      <c r="C811" s="33">
        <v>45759.0</v>
      </c>
      <c r="D811" s="34" t="s">
        <v>22</v>
      </c>
      <c r="E811" s="32" t="s">
        <v>69</v>
      </c>
      <c r="F811" s="34" t="s">
        <v>24</v>
      </c>
      <c r="G811" s="34" t="s">
        <v>868</v>
      </c>
      <c r="H811" s="35" t="s">
        <v>26</v>
      </c>
      <c r="I811" s="35" t="s">
        <v>27</v>
      </c>
      <c r="J811" s="57"/>
      <c r="K811" s="57"/>
      <c r="L811" s="84"/>
    </row>
    <row r="812">
      <c r="A812" s="32" t="s">
        <v>2330</v>
      </c>
      <c r="B812" s="32" t="s">
        <v>2331</v>
      </c>
      <c r="C812" s="33">
        <v>45759.0</v>
      </c>
      <c r="D812" s="34" t="s">
        <v>22</v>
      </c>
      <c r="E812" s="32" t="s">
        <v>160</v>
      </c>
      <c r="F812" s="34" t="s">
        <v>24</v>
      </c>
      <c r="G812" s="34" t="s">
        <v>365</v>
      </c>
      <c r="H812" s="35" t="s">
        <v>26</v>
      </c>
      <c r="I812" s="36" t="str">
        <f>HYPERLINK("https://open.spotify.com/album/7lebQghAPAhFxxsTLz5dqM", "S")</f>
        <v>S</v>
      </c>
      <c r="J812" s="57"/>
      <c r="K812" s="57"/>
      <c r="L812" s="84"/>
    </row>
    <row r="813">
      <c r="A813" s="32" t="s">
        <v>2332</v>
      </c>
      <c r="B813" s="32" t="s">
        <v>2333</v>
      </c>
      <c r="C813" s="33">
        <v>45759.0</v>
      </c>
      <c r="D813" s="34" t="s">
        <v>22</v>
      </c>
      <c r="E813" s="32" t="s">
        <v>73</v>
      </c>
      <c r="F813" s="34" t="s">
        <v>24</v>
      </c>
      <c r="G813" s="34" t="s">
        <v>41</v>
      </c>
      <c r="H813" s="35" t="s">
        <v>26</v>
      </c>
      <c r="I813" s="57"/>
      <c r="J813" s="57"/>
      <c r="K813" s="57"/>
      <c r="L813" s="84"/>
    </row>
    <row r="814">
      <c r="A814" s="32" t="s">
        <v>2334</v>
      </c>
      <c r="B814" s="32" t="s">
        <v>2335</v>
      </c>
      <c r="C814" s="33">
        <v>45760.0</v>
      </c>
      <c r="D814" s="34" t="s">
        <v>39</v>
      </c>
      <c r="E814" s="32" t="s">
        <v>1089</v>
      </c>
      <c r="F814" s="34" t="s">
        <v>24</v>
      </c>
      <c r="G814" s="34" t="s">
        <v>257</v>
      </c>
      <c r="H814" s="35" t="s">
        <v>26</v>
      </c>
      <c r="I814" s="36" t="str">
        <f>HYPERLINK("https://open.spotify.com/album/0h2x8o8L6KBSncCk7OjtWq", "S")</f>
        <v>S</v>
      </c>
      <c r="J814" s="57"/>
      <c r="K814" s="57"/>
      <c r="L814" s="84"/>
    </row>
    <row r="815">
      <c r="A815" s="32" t="s">
        <v>2336</v>
      </c>
      <c r="B815" s="32" t="s">
        <v>2337</v>
      </c>
      <c r="C815" s="33">
        <v>45761.0</v>
      </c>
      <c r="D815" s="34" t="s">
        <v>22</v>
      </c>
      <c r="E815" s="32" t="s">
        <v>2338</v>
      </c>
      <c r="F815" s="34" t="s">
        <v>24</v>
      </c>
      <c r="G815" s="34" t="s">
        <v>1560</v>
      </c>
      <c r="H815" s="35" t="s">
        <v>26</v>
      </c>
      <c r="I815" s="36" t="str">
        <f>HYPERLINK("https://open.spotify.com/album/0A0mHDrL1bAbDSQTipFxYA", "S")</f>
        <v>S</v>
      </c>
      <c r="J815" s="57"/>
      <c r="K815" s="57"/>
      <c r="L815" s="84"/>
    </row>
    <row r="816">
      <c r="A816" s="32" t="s">
        <v>2339</v>
      </c>
      <c r="B816" s="32" t="s">
        <v>2340</v>
      </c>
      <c r="C816" s="33">
        <v>45761.0</v>
      </c>
      <c r="D816" s="34" t="s">
        <v>22</v>
      </c>
      <c r="E816" s="32" t="s">
        <v>1031</v>
      </c>
      <c r="F816" s="34" t="s">
        <v>53</v>
      </c>
      <c r="G816" s="34" t="s">
        <v>2341</v>
      </c>
      <c r="H816" s="35" t="s">
        <v>26</v>
      </c>
      <c r="I816" s="35" t="s">
        <v>27</v>
      </c>
      <c r="J816" s="57"/>
      <c r="K816" s="57"/>
      <c r="L816" s="84"/>
    </row>
    <row r="817">
      <c r="A817" s="32" t="s">
        <v>2342</v>
      </c>
      <c r="B817" s="32" t="s">
        <v>2343</v>
      </c>
      <c r="C817" s="33">
        <v>45761.0</v>
      </c>
      <c r="D817" s="47" t="s">
        <v>39</v>
      </c>
      <c r="E817" s="32" t="s">
        <v>2344</v>
      </c>
      <c r="F817" s="34" t="s">
        <v>53</v>
      </c>
      <c r="G817" s="34" t="s">
        <v>2345</v>
      </c>
      <c r="H817" s="35" t="s">
        <v>26</v>
      </c>
      <c r="I817" s="35" t="s">
        <v>27</v>
      </c>
      <c r="J817" s="57"/>
      <c r="K817" s="57"/>
      <c r="L817" s="84"/>
    </row>
    <row r="818">
      <c r="A818" s="31" t="s">
        <v>2346</v>
      </c>
      <c r="B818" s="32" t="s">
        <v>2347</v>
      </c>
      <c r="C818" s="33">
        <v>45762.0</v>
      </c>
      <c r="D818" s="34" t="s">
        <v>22</v>
      </c>
      <c r="E818" s="32" t="s">
        <v>2348</v>
      </c>
      <c r="F818" s="34" t="s">
        <v>24</v>
      </c>
      <c r="G818" s="34" t="s">
        <v>2349</v>
      </c>
      <c r="H818" s="35" t="s">
        <v>26</v>
      </c>
      <c r="I818" s="57"/>
      <c r="J818" s="57"/>
      <c r="K818" s="57"/>
      <c r="L818" s="84"/>
    </row>
    <row r="819">
      <c r="A819" s="31" t="s">
        <v>2350</v>
      </c>
      <c r="B819" s="32" t="s">
        <v>2351</v>
      </c>
      <c r="C819" s="33">
        <v>45763.0</v>
      </c>
      <c r="D819" s="34" t="s">
        <v>22</v>
      </c>
      <c r="E819" s="32" t="s">
        <v>781</v>
      </c>
      <c r="F819" s="34" t="s">
        <v>24</v>
      </c>
      <c r="G819" s="34" t="s">
        <v>2352</v>
      </c>
      <c r="H819" s="35" t="s">
        <v>26</v>
      </c>
      <c r="I819" s="57"/>
      <c r="J819" s="57"/>
      <c r="K819" s="57"/>
      <c r="L819" s="84"/>
    </row>
    <row r="820">
      <c r="A820" s="32" t="s">
        <v>2353</v>
      </c>
      <c r="B820" s="32" t="s">
        <v>2354</v>
      </c>
      <c r="C820" s="33">
        <v>45763.0</v>
      </c>
      <c r="D820" s="34" t="s">
        <v>22</v>
      </c>
      <c r="E820" s="32" t="s">
        <v>1458</v>
      </c>
      <c r="F820" s="34" t="s">
        <v>31</v>
      </c>
      <c r="G820" s="34" t="s">
        <v>96</v>
      </c>
      <c r="H820" s="35" t="s">
        <v>26</v>
      </c>
      <c r="I820" s="35" t="s">
        <v>27</v>
      </c>
      <c r="J820" s="57"/>
      <c r="K820" s="57"/>
      <c r="L820" s="84"/>
    </row>
    <row r="821">
      <c r="A821" s="32" t="s">
        <v>2355</v>
      </c>
      <c r="B821" s="32" t="s">
        <v>2356</v>
      </c>
      <c r="C821" s="33">
        <v>45763.0</v>
      </c>
      <c r="D821" s="34" t="s">
        <v>22</v>
      </c>
      <c r="E821" s="32" t="s">
        <v>1766</v>
      </c>
      <c r="F821" s="34" t="s">
        <v>24</v>
      </c>
      <c r="G821" s="34" t="s">
        <v>96</v>
      </c>
      <c r="H821" s="35" t="s">
        <v>26</v>
      </c>
      <c r="I821" s="35" t="s">
        <v>27</v>
      </c>
      <c r="J821" s="57"/>
      <c r="K821" s="57"/>
      <c r="L821" s="84"/>
    </row>
    <row r="822">
      <c r="A822" s="32" t="s">
        <v>2357</v>
      </c>
      <c r="B822" s="32" t="s">
        <v>2358</v>
      </c>
      <c r="C822" s="33">
        <v>45764.0</v>
      </c>
      <c r="D822" s="34" t="s">
        <v>22</v>
      </c>
      <c r="E822" s="32" t="s">
        <v>61</v>
      </c>
      <c r="F822" s="34" t="s">
        <v>24</v>
      </c>
      <c r="G822" s="34" t="s">
        <v>1404</v>
      </c>
      <c r="H822" s="35" t="s">
        <v>26</v>
      </c>
      <c r="I822" s="36" t="str">
        <f>HYPERLINK("https://open.spotify.com/album/4fhMZhJF2U3CUKBQnFczQs", "S")</f>
        <v>S</v>
      </c>
      <c r="J822" s="57"/>
      <c r="K822" s="57"/>
      <c r="L822" s="84"/>
    </row>
    <row r="823">
      <c r="A823" s="32" t="s">
        <v>2359</v>
      </c>
      <c r="B823" s="32" t="s">
        <v>2360</v>
      </c>
      <c r="C823" s="33">
        <v>45764.0</v>
      </c>
      <c r="D823" s="34" t="s">
        <v>22</v>
      </c>
      <c r="E823" s="32" t="s">
        <v>335</v>
      </c>
      <c r="F823" s="34" t="s">
        <v>53</v>
      </c>
      <c r="G823" s="34" t="s">
        <v>339</v>
      </c>
      <c r="H823" s="35" t="s">
        <v>26</v>
      </c>
      <c r="I823" s="35" t="s">
        <v>27</v>
      </c>
      <c r="J823" s="57"/>
      <c r="K823" s="57"/>
      <c r="L823" s="84"/>
    </row>
    <row r="824">
      <c r="A824" s="32" t="s">
        <v>2361</v>
      </c>
      <c r="B824" s="32" t="s">
        <v>2362</v>
      </c>
      <c r="C824" s="33">
        <v>45764.0</v>
      </c>
      <c r="D824" s="34" t="s">
        <v>22</v>
      </c>
      <c r="E824" s="32" t="s">
        <v>61</v>
      </c>
      <c r="F824" s="34" t="s">
        <v>24</v>
      </c>
      <c r="G824" s="34" t="s">
        <v>2363</v>
      </c>
      <c r="H824" s="35" t="s">
        <v>26</v>
      </c>
      <c r="I824" s="35" t="s">
        <v>27</v>
      </c>
      <c r="J824" s="57"/>
      <c r="K824" s="57"/>
      <c r="L824" s="84"/>
    </row>
    <row r="825">
      <c r="A825" s="32" t="s">
        <v>2364</v>
      </c>
      <c r="B825" s="32" t="s">
        <v>2365</v>
      </c>
      <c r="C825" s="33">
        <v>45764.0</v>
      </c>
      <c r="D825" s="34" t="s">
        <v>22</v>
      </c>
      <c r="E825" s="32" t="s">
        <v>2366</v>
      </c>
      <c r="F825" s="34" t="s">
        <v>53</v>
      </c>
      <c r="G825" s="34" t="s">
        <v>2367</v>
      </c>
      <c r="H825" s="35" t="s">
        <v>26</v>
      </c>
      <c r="I825" s="36" t="str">
        <f>HYPERLINK("https://open.spotify.com/album/08wrHSWwJCM4xE2fcFjZUh", "S")</f>
        <v>S</v>
      </c>
      <c r="J825" s="57"/>
      <c r="K825" s="57"/>
      <c r="L825" s="84"/>
    </row>
    <row r="826">
      <c r="A826" s="32" t="s">
        <v>2368</v>
      </c>
      <c r="B826" s="32" t="s">
        <v>2369</v>
      </c>
      <c r="C826" s="33">
        <v>45764.0</v>
      </c>
      <c r="D826" s="34" t="s">
        <v>39</v>
      </c>
      <c r="E826" s="32" t="s">
        <v>355</v>
      </c>
      <c r="F826" s="34" t="s">
        <v>24</v>
      </c>
      <c r="G826" s="34" t="s">
        <v>299</v>
      </c>
      <c r="H826" s="35" t="s">
        <v>26</v>
      </c>
      <c r="I826" s="36" t="str">
        <f>HYPERLINK("https://open.spotify.com/album/03i3tAvQWxqqq2df13tIR8", "S")</f>
        <v>S</v>
      </c>
      <c r="J826" s="57"/>
      <c r="K826" s="57"/>
      <c r="L826" s="84"/>
    </row>
    <row r="827">
      <c r="A827" s="32" t="s">
        <v>2370</v>
      </c>
      <c r="B827" s="32" t="s">
        <v>2371</v>
      </c>
      <c r="C827" s="33">
        <v>45764.0</v>
      </c>
      <c r="D827" s="47" t="s">
        <v>22</v>
      </c>
      <c r="E827" s="32" t="s">
        <v>2372</v>
      </c>
      <c r="F827" s="34" t="s">
        <v>24</v>
      </c>
      <c r="G827" s="34" t="s">
        <v>712</v>
      </c>
      <c r="H827" s="35" t="s">
        <v>26</v>
      </c>
      <c r="I827" s="66"/>
      <c r="J827" s="57"/>
      <c r="K827" s="57"/>
      <c r="L827" s="84"/>
    </row>
    <row r="828">
      <c r="A828" s="32" t="s">
        <v>2373</v>
      </c>
      <c r="B828" s="32" t="s">
        <v>2374</v>
      </c>
      <c r="C828" s="33">
        <v>45765.0</v>
      </c>
      <c r="D828" s="34" t="s">
        <v>22</v>
      </c>
      <c r="E828" s="32" t="s">
        <v>61</v>
      </c>
      <c r="F828" s="34" t="s">
        <v>24</v>
      </c>
      <c r="G828" s="34" t="s">
        <v>1092</v>
      </c>
      <c r="H828" s="35" t="s">
        <v>26</v>
      </c>
      <c r="I828" s="35" t="s">
        <v>27</v>
      </c>
      <c r="J828" s="57"/>
      <c r="K828" s="57"/>
      <c r="L828" s="84"/>
    </row>
    <row r="829">
      <c r="A829" s="32" t="s">
        <v>2375</v>
      </c>
      <c r="B829" s="32" t="s">
        <v>2376</v>
      </c>
      <c r="C829" s="33">
        <v>45765.0</v>
      </c>
      <c r="D829" s="69" t="s">
        <v>22</v>
      </c>
      <c r="E829" s="32" t="s">
        <v>889</v>
      </c>
      <c r="F829" s="34" t="s">
        <v>156</v>
      </c>
      <c r="G829" s="34" t="s">
        <v>1028</v>
      </c>
      <c r="H829" s="35" t="s">
        <v>26</v>
      </c>
      <c r="I829" s="35" t="s">
        <v>27</v>
      </c>
      <c r="J829" s="57"/>
      <c r="K829" s="57"/>
      <c r="L829" s="84"/>
    </row>
    <row r="830">
      <c r="A830" s="32" t="s">
        <v>2377</v>
      </c>
      <c r="B830" s="32" t="s">
        <v>2378</v>
      </c>
      <c r="C830" s="33">
        <v>45765.0</v>
      </c>
      <c r="D830" s="34" t="s">
        <v>39</v>
      </c>
      <c r="E830" s="32" t="s">
        <v>284</v>
      </c>
      <c r="F830" s="34" t="s">
        <v>156</v>
      </c>
      <c r="G830" s="34" t="s">
        <v>680</v>
      </c>
      <c r="H830" s="35" t="s">
        <v>26</v>
      </c>
      <c r="I830" s="35" t="s">
        <v>27</v>
      </c>
      <c r="J830" s="35" t="s">
        <v>100</v>
      </c>
      <c r="K830" s="57"/>
      <c r="L830" s="84"/>
    </row>
    <row r="831">
      <c r="A831" s="32" t="s">
        <v>2379</v>
      </c>
      <c r="B831" s="32" t="s">
        <v>2380</v>
      </c>
      <c r="C831" s="33">
        <v>45765.0</v>
      </c>
      <c r="D831" s="34" t="s">
        <v>22</v>
      </c>
      <c r="E831" s="32" t="s">
        <v>436</v>
      </c>
      <c r="F831" s="34" t="s">
        <v>24</v>
      </c>
      <c r="G831" s="34" t="s">
        <v>956</v>
      </c>
      <c r="H831" s="35" t="s">
        <v>26</v>
      </c>
      <c r="I831" s="35" t="s">
        <v>27</v>
      </c>
      <c r="J831" s="57"/>
      <c r="K831" s="57"/>
      <c r="L831" s="84"/>
    </row>
    <row r="832">
      <c r="A832" s="32" t="s">
        <v>2381</v>
      </c>
      <c r="B832" s="32" t="s">
        <v>2382</v>
      </c>
      <c r="C832" s="33">
        <v>45765.0</v>
      </c>
      <c r="D832" s="69" t="s">
        <v>22</v>
      </c>
      <c r="E832" s="32" t="s">
        <v>2383</v>
      </c>
      <c r="F832" s="34" t="s">
        <v>53</v>
      </c>
      <c r="G832" s="34" t="s">
        <v>365</v>
      </c>
      <c r="H832" s="35" t="s">
        <v>26</v>
      </c>
      <c r="I832" s="35" t="s">
        <v>27</v>
      </c>
      <c r="J832" s="57"/>
      <c r="K832" s="57"/>
      <c r="L832" s="84"/>
    </row>
    <row r="833">
      <c r="A833" s="32" t="s">
        <v>2384</v>
      </c>
      <c r="B833" s="32" t="s">
        <v>2385</v>
      </c>
      <c r="C833" s="33">
        <v>45765.0</v>
      </c>
      <c r="D833" s="69" t="s">
        <v>22</v>
      </c>
      <c r="E833" s="32" t="s">
        <v>2386</v>
      </c>
      <c r="F833" s="34" t="s">
        <v>53</v>
      </c>
      <c r="G833" s="34" t="s">
        <v>2387</v>
      </c>
      <c r="H833" s="35" t="s">
        <v>26</v>
      </c>
      <c r="I833" s="35" t="s">
        <v>27</v>
      </c>
      <c r="J833" s="35" t="s">
        <v>100</v>
      </c>
      <c r="K833" s="57"/>
      <c r="L833" s="84"/>
    </row>
    <row r="834">
      <c r="A834" s="32" t="s">
        <v>2388</v>
      </c>
      <c r="B834" s="32" t="s">
        <v>2389</v>
      </c>
      <c r="C834" s="33">
        <v>45765.0</v>
      </c>
      <c r="D834" s="34" t="s">
        <v>22</v>
      </c>
      <c r="E834" s="32" t="s">
        <v>122</v>
      </c>
      <c r="F834" s="34" t="s">
        <v>156</v>
      </c>
      <c r="G834" s="34" t="s">
        <v>202</v>
      </c>
      <c r="H834" s="35" t="s">
        <v>26</v>
      </c>
      <c r="I834" s="35" t="s">
        <v>27</v>
      </c>
      <c r="J834" s="35" t="s">
        <v>100</v>
      </c>
      <c r="K834" s="57"/>
      <c r="L834" s="84"/>
    </row>
    <row r="835">
      <c r="A835" s="32" t="s">
        <v>280</v>
      </c>
      <c r="B835" s="32" t="s">
        <v>2390</v>
      </c>
      <c r="C835" s="33">
        <v>45765.0</v>
      </c>
      <c r="D835" s="34" t="s">
        <v>22</v>
      </c>
      <c r="E835" s="32" t="s">
        <v>122</v>
      </c>
      <c r="F835" s="34" t="s">
        <v>156</v>
      </c>
      <c r="G835" s="34" t="s">
        <v>96</v>
      </c>
      <c r="H835" s="35" t="s">
        <v>26</v>
      </c>
      <c r="I835" s="35" t="s">
        <v>27</v>
      </c>
      <c r="J835" s="57"/>
      <c r="K835" s="57"/>
      <c r="L835" s="84"/>
    </row>
    <row r="836">
      <c r="A836" s="32" t="s">
        <v>2391</v>
      </c>
      <c r="B836" s="32" t="s">
        <v>2392</v>
      </c>
      <c r="C836" s="33">
        <v>45765.0</v>
      </c>
      <c r="D836" s="34" t="s">
        <v>22</v>
      </c>
      <c r="E836" s="32" t="s">
        <v>865</v>
      </c>
      <c r="F836" s="34" t="s">
        <v>53</v>
      </c>
      <c r="G836" s="34" t="s">
        <v>1127</v>
      </c>
      <c r="H836" s="35" t="s">
        <v>26</v>
      </c>
      <c r="I836" s="35" t="s">
        <v>27</v>
      </c>
      <c r="J836" s="35" t="s">
        <v>100</v>
      </c>
      <c r="K836" s="57"/>
      <c r="L836" s="84"/>
    </row>
    <row r="837">
      <c r="A837" s="32" t="s">
        <v>2393</v>
      </c>
      <c r="B837" s="32" t="s">
        <v>2394</v>
      </c>
      <c r="C837" s="33">
        <v>45765.0</v>
      </c>
      <c r="D837" s="34" t="s">
        <v>22</v>
      </c>
      <c r="E837" s="32" t="s">
        <v>61</v>
      </c>
      <c r="F837" s="34" t="s">
        <v>24</v>
      </c>
      <c r="G837" s="34" t="s">
        <v>514</v>
      </c>
      <c r="H837" s="35" t="s">
        <v>26</v>
      </c>
      <c r="I837" s="35" t="s">
        <v>27</v>
      </c>
      <c r="J837" s="35" t="s">
        <v>100</v>
      </c>
      <c r="K837" s="57"/>
      <c r="L837" s="84"/>
    </row>
    <row r="838">
      <c r="A838" s="32" t="s">
        <v>2395</v>
      </c>
      <c r="B838" s="32" t="s">
        <v>2396</v>
      </c>
      <c r="C838" s="33">
        <v>45765.0</v>
      </c>
      <c r="D838" s="34" t="s">
        <v>22</v>
      </c>
      <c r="E838" s="32" t="s">
        <v>2397</v>
      </c>
      <c r="F838" s="34" t="s">
        <v>24</v>
      </c>
      <c r="G838" s="34" t="s">
        <v>884</v>
      </c>
      <c r="H838" s="35" t="s">
        <v>26</v>
      </c>
      <c r="I838" s="58" t="str">
        <f>HYPERLINK("https://open.spotify.com/album/65MfVa2vFbKS5Me9Z0yCSw", "S")</f>
        <v>S</v>
      </c>
      <c r="J838" s="57"/>
      <c r="K838" s="57"/>
      <c r="L838" s="84"/>
    </row>
    <row r="839">
      <c r="A839" s="31" t="s">
        <v>2398</v>
      </c>
      <c r="B839" s="32" t="s">
        <v>2399</v>
      </c>
      <c r="C839" s="33">
        <v>45765.0</v>
      </c>
      <c r="D839" s="34" t="s">
        <v>22</v>
      </c>
      <c r="E839" s="32" t="s">
        <v>2400</v>
      </c>
      <c r="F839" s="34" t="s">
        <v>230</v>
      </c>
      <c r="G839" s="34" t="s">
        <v>1092</v>
      </c>
      <c r="H839" s="35" t="s">
        <v>26</v>
      </c>
      <c r="I839" s="35" t="s">
        <v>27</v>
      </c>
      <c r="J839" s="57"/>
      <c r="K839" s="57"/>
      <c r="L839" s="84"/>
    </row>
    <row r="840">
      <c r="A840" s="31" t="s">
        <v>2401</v>
      </c>
      <c r="B840" s="32" t="s">
        <v>2402</v>
      </c>
      <c r="C840" s="33">
        <v>45765.0</v>
      </c>
      <c r="D840" s="34" t="s">
        <v>22</v>
      </c>
      <c r="E840" s="32" t="s">
        <v>61</v>
      </c>
      <c r="F840" s="34" t="s">
        <v>53</v>
      </c>
      <c r="G840" s="34" t="s">
        <v>460</v>
      </c>
      <c r="H840" s="35" t="s">
        <v>26</v>
      </c>
      <c r="I840" s="35" t="s">
        <v>27</v>
      </c>
      <c r="J840" s="35" t="s">
        <v>100</v>
      </c>
      <c r="K840" s="57"/>
      <c r="L840" s="84"/>
    </row>
    <row r="841">
      <c r="A841" s="31" t="s">
        <v>2403</v>
      </c>
      <c r="B841" s="32" t="s">
        <v>2404</v>
      </c>
      <c r="C841" s="33">
        <v>45765.0</v>
      </c>
      <c r="D841" s="34" t="s">
        <v>22</v>
      </c>
      <c r="E841" s="32" t="s">
        <v>2405</v>
      </c>
      <c r="F841" s="34" t="s">
        <v>156</v>
      </c>
      <c r="G841" s="34" t="s">
        <v>1378</v>
      </c>
      <c r="H841" s="35" t="s">
        <v>26</v>
      </c>
      <c r="I841" s="35" t="s">
        <v>27</v>
      </c>
      <c r="J841" s="57"/>
      <c r="K841" s="57"/>
      <c r="L841" s="84"/>
    </row>
    <row r="842">
      <c r="A842" s="31" t="s">
        <v>2406</v>
      </c>
      <c r="B842" s="32" t="s">
        <v>2407</v>
      </c>
      <c r="C842" s="33">
        <v>45765.0</v>
      </c>
      <c r="D842" s="34" t="s">
        <v>22</v>
      </c>
      <c r="E842" s="32" t="s">
        <v>61</v>
      </c>
      <c r="F842" s="34" t="s">
        <v>24</v>
      </c>
      <c r="G842" s="34" t="s">
        <v>2408</v>
      </c>
      <c r="H842" s="35" t="s">
        <v>26</v>
      </c>
      <c r="I842" s="35" t="s">
        <v>27</v>
      </c>
      <c r="J842" s="35" t="s">
        <v>100</v>
      </c>
      <c r="K842" s="57"/>
      <c r="L842" s="84"/>
    </row>
    <row r="843">
      <c r="A843" s="31" t="s">
        <v>2409</v>
      </c>
      <c r="B843" s="32" t="s">
        <v>2410</v>
      </c>
      <c r="C843" s="33">
        <v>45765.0</v>
      </c>
      <c r="D843" s="34" t="s">
        <v>22</v>
      </c>
      <c r="E843" s="32" t="s">
        <v>61</v>
      </c>
      <c r="F843" s="34" t="s">
        <v>24</v>
      </c>
      <c r="G843" s="34" t="s">
        <v>2411</v>
      </c>
      <c r="H843" s="35" t="s">
        <v>26</v>
      </c>
      <c r="I843" s="35" t="s">
        <v>27</v>
      </c>
      <c r="J843" s="35" t="s">
        <v>100</v>
      </c>
      <c r="K843" s="57"/>
      <c r="L843" s="84"/>
    </row>
    <row r="844">
      <c r="A844" s="31" t="s">
        <v>2412</v>
      </c>
      <c r="B844" s="32" t="s">
        <v>2413</v>
      </c>
      <c r="C844" s="33">
        <v>45765.0</v>
      </c>
      <c r="D844" s="34" t="s">
        <v>22</v>
      </c>
      <c r="E844" s="32" t="s">
        <v>2414</v>
      </c>
      <c r="F844" s="34" t="s">
        <v>31</v>
      </c>
      <c r="G844" s="34" t="s">
        <v>96</v>
      </c>
      <c r="H844" s="35" t="s">
        <v>26</v>
      </c>
      <c r="I844" s="35" t="s">
        <v>27</v>
      </c>
      <c r="J844" s="57"/>
      <c r="K844" s="57"/>
      <c r="L844" s="84"/>
    </row>
    <row r="845">
      <c r="A845" s="31" t="s">
        <v>2415</v>
      </c>
      <c r="B845" s="32" t="s">
        <v>2416</v>
      </c>
      <c r="C845" s="33">
        <v>45765.0</v>
      </c>
      <c r="D845" s="34" t="s">
        <v>22</v>
      </c>
      <c r="E845" s="32" t="s">
        <v>2417</v>
      </c>
      <c r="F845" s="34" t="s">
        <v>53</v>
      </c>
      <c r="G845" s="34" t="s">
        <v>177</v>
      </c>
      <c r="H845" s="35" t="s">
        <v>26</v>
      </c>
      <c r="I845" s="35" t="s">
        <v>27</v>
      </c>
      <c r="J845" s="57"/>
      <c r="K845" s="57"/>
      <c r="L845" s="84"/>
    </row>
    <row r="846">
      <c r="A846" s="31" t="s">
        <v>2418</v>
      </c>
      <c r="B846" s="32" t="s">
        <v>2419</v>
      </c>
      <c r="C846" s="33">
        <v>45765.0</v>
      </c>
      <c r="D846" s="69" t="s">
        <v>22</v>
      </c>
      <c r="E846" s="32" t="s">
        <v>2420</v>
      </c>
      <c r="F846" s="34" t="s">
        <v>156</v>
      </c>
      <c r="G846" s="34" t="s">
        <v>792</v>
      </c>
      <c r="H846" s="35" t="s">
        <v>26</v>
      </c>
      <c r="I846" s="35" t="s">
        <v>27</v>
      </c>
      <c r="J846" s="57"/>
      <c r="K846" s="57"/>
      <c r="L846" s="84"/>
    </row>
    <row r="847">
      <c r="A847" s="31" t="s">
        <v>2421</v>
      </c>
      <c r="B847" s="32" t="s">
        <v>2422</v>
      </c>
      <c r="C847" s="33">
        <v>45765.0</v>
      </c>
      <c r="D847" s="34" t="s">
        <v>39</v>
      </c>
      <c r="E847" s="32" t="s">
        <v>632</v>
      </c>
      <c r="F847" s="34" t="s">
        <v>24</v>
      </c>
      <c r="G847" s="34" t="s">
        <v>2423</v>
      </c>
      <c r="H847" s="35" t="s">
        <v>26</v>
      </c>
      <c r="I847" s="35" t="s">
        <v>27</v>
      </c>
      <c r="J847" s="57"/>
      <c r="K847" s="57"/>
      <c r="L847" s="84"/>
    </row>
    <row r="848">
      <c r="A848" s="31" t="s">
        <v>2424</v>
      </c>
      <c r="B848" s="32" t="s">
        <v>2425</v>
      </c>
      <c r="C848" s="33">
        <v>45765.0</v>
      </c>
      <c r="D848" s="34" t="s">
        <v>22</v>
      </c>
      <c r="E848" s="32" t="s">
        <v>1519</v>
      </c>
      <c r="F848" s="34" t="s">
        <v>24</v>
      </c>
      <c r="G848" s="34" t="s">
        <v>2426</v>
      </c>
      <c r="H848" s="35" t="s">
        <v>26</v>
      </c>
      <c r="I848" s="35" t="s">
        <v>27</v>
      </c>
      <c r="J848" s="35" t="s">
        <v>100</v>
      </c>
      <c r="K848" s="57"/>
      <c r="L848" s="84"/>
    </row>
    <row r="849">
      <c r="A849" s="31" t="s">
        <v>2427</v>
      </c>
      <c r="B849" s="32" t="s">
        <v>2428</v>
      </c>
      <c r="C849" s="33">
        <v>45765.0</v>
      </c>
      <c r="D849" s="34" t="s">
        <v>39</v>
      </c>
      <c r="E849" s="32" t="s">
        <v>781</v>
      </c>
      <c r="F849" s="34" t="s">
        <v>24</v>
      </c>
      <c r="G849" s="34" t="s">
        <v>1205</v>
      </c>
      <c r="H849" s="35" t="s">
        <v>26</v>
      </c>
      <c r="I849" s="34"/>
      <c r="J849" s="57"/>
      <c r="K849" s="57"/>
      <c r="L849" s="84"/>
    </row>
    <row r="850">
      <c r="A850" s="31" t="s">
        <v>2429</v>
      </c>
      <c r="B850" s="32" t="s">
        <v>2430</v>
      </c>
      <c r="C850" s="33">
        <v>45765.0</v>
      </c>
      <c r="D850" s="34" t="s">
        <v>22</v>
      </c>
      <c r="E850" s="32" t="s">
        <v>2431</v>
      </c>
      <c r="F850" s="34" t="s">
        <v>24</v>
      </c>
      <c r="G850" s="34" t="s">
        <v>1472</v>
      </c>
      <c r="H850" s="35" t="s">
        <v>26</v>
      </c>
      <c r="I850" s="35" t="s">
        <v>27</v>
      </c>
      <c r="J850" s="35" t="s">
        <v>100</v>
      </c>
      <c r="K850" s="57"/>
      <c r="L850" s="84"/>
    </row>
    <row r="851">
      <c r="A851" s="31" t="s">
        <v>2432</v>
      </c>
      <c r="B851" s="32" t="s">
        <v>2433</v>
      </c>
      <c r="C851" s="33">
        <v>45765.0</v>
      </c>
      <c r="D851" s="47" t="s">
        <v>22</v>
      </c>
      <c r="E851" s="32" t="s">
        <v>2434</v>
      </c>
      <c r="F851" s="34" t="s">
        <v>24</v>
      </c>
      <c r="G851" s="34" t="s">
        <v>257</v>
      </c>
      <c r="H851" s="35" t="s">
        <v>26</v>
      </c>
      <c r="I851" s="35" t="s">
        <v>27</v>
      </c>
      <c r="J851" s="57"/>
      <c r="K851" s="57"/>
      <c r="L851" s="84"/>
    </row>
    <row r="852">
      <c r="A852" s="31" t="s">
        <v>2435</v>
      </c>
      <c r="B852" s="32" t="s">
        <v>2436</v>
      </c>
      <c r="C852" s="33">
        <v>45765.0</v>
      </c>
      <c r="D852" s="34" t="s">
        <v>22</v>
      </c>
      <c r="E852" s="32" t="s">
        <v>129</v>
      </c>
      <c r="F852" s="34" t="s">
        <v>24</v>
      </c>
      <c r="G852" s="34" t="s">
        <v>1127</v>
      </c>
      <c r="H852" s="35" t="s">
        <v>26</v>
      </c>
      <c r="I852" s="35" t="s">
        <v>27</v>
      </c>
      <c r="J852" s="35" t="s">
        <v>100</v>
      </c>
      <c r="K852" s="57"/>
      <c r="L852" s="84"/>
    </row>
    <row r="853">
      <c r="A853" s="31" t="s">
        <v>2437</v>
      </c>
      <c r="B853" s="32" t="s">
        <v>2438</v>
      </c>
      <c r="C853" s="33">
        <v>45765.0</v>
      </c>
      <c r="D853" s="34" t="s">
        <v>22</v>
      </c>
      <c r="E853" s="32" t="s">
        <v>335</v>
      </c>
      <c r="F853" s="34" t="s">
        <v>24</v>
      </c>
      <c r="G853" s="34" t="s">
        <v>2439</v>
      </c>
      <c r="H853" s="35" t="s">
        <v>26</v>
      </c>
      <c r="I853" s="34"/>
      <c r="J853" s="57"/>
      <c r="K853" s="57"/>
      <c r="L853" s="84"/>
    </row>
    <row r="854">
      <c r="A854" s="32" t="s">
        <v>2440</v>
      </c>
      <c r="B854" s="32" t="s">
        <v>2441</v>
      </c>
      <c r="C854" s="33">
        <v>45765.0</v>
      </c>
      <c r="D854" s="69" t="s">
        <v>22</v>
      </c>
      <c r="E854" s="32" t="s">
        <v>2442</v>
      </c>
      <c r="F854" s="34" t="s">
        <v>53</v>
      </c>
      <c r="G854" s="34" t="s">
        <v>177</v>
      </c>
      <c r="H854" s="35" t="s">
        <v>26</v>
      </c>
      <c r="I854" s="34"/>
      <c r="J854" s="57"/>
      <c r="K854" s="57"/>
      <c r="L854" s="84"/>
    </row>
    <row r="855">
      <c r="A855" s="32" t="s">
        <v>2443</v>
      </c>
      <c r="B855" s="32" t="s">
        <v>2444</v>
      </c>
      <c r="C855" s="33">
        <v>45765.0</v>
      </c>
      <c r="D855" s="34" t="s">
        <v>22</v>
      </c>
      <c r="E855" s="32" t="s">
        <v>1260</v>
      </c>
      <c r="F855" s="34" t="s">
        <v>24</v>
      </c>
      <c r="G855" s="34" t="s">
        <v>2445</v>
      </c>
      <c r="H855" s="35" t="s">
        <v>26</v>
      </c>
      <c r="I855" s="58" t="str">
        <f>HYPERLINK("https://open.spotify.com/album/41h31HdxntT8XFsWcCT3CV", "S")</f>
        <v>S</v>
      </c>
      <c r="J855" s="35" t="s">
        <v>100</v>
      </c>
      <c r="K855" s="57"/>
      <c r="L855" s="84"/>
    </row>
    <row r="856">
      <c r="A856" s="31" t="s">
        <v>2446</v>
      </c>
      <c r="B856" s="32" t="s">
        <v>2447</v>
      </c>
      <c r="C856" s="33">
        <v>45765.0</v>
      </c>
      <c r="D856" s="34" t="s">
        <v>39</v>
      </c>
      <c r="E856" s="32" t="s">
        <v>73</v>
      </c>
      <c r="F856" s="34" t="s">
        <v>24</v>
      </c>
      <c r="G856" s="34" t="s">
        <v>41</v>
      </c>
      <c r="H856" s="35" t="s">
        <v>26</v>
      </c>
      <c r="I856" s="35" t="s">
        <v>27</v>
      </c>
      <c r="J856" s="35" t="s">
        <v>100</v>
      </c>
      <c r="K856" s="57"/>
      <c r="L856" s="84"/>
    </row>
    <row r="857">
      <c r="A857" s="32" t="s">
        <v>2448</v>
      </c>
      <c r="B857" s="32" t="s">
        <v>2449</v>
      </c>
      <c r="C857" s="33">
        <v>45765.0</v>
      </c>
      <c r="D857" s="34" t="s">
        <v>22</v>
      </c>
      <c r="E857" s="32" t="s">
        <v>2450</v>
      </c>
      <c r="F857" s="34" t="s">
        <v>24</v>
      </c>
      <c r="G857" s="34" t="s">
        <v>2451</v>
      </c>
      <c r="H857" s="35" t="s">
        <v>26</v>
      </c>
      <c r="I857" s="35" t="s">
        <v>27</v>
      </c>
      <c r="J857" s="57"/>
      <c r="K857" s="57"/>
      <c r="L857" s="84"/>
    </row>
    <row r="858">
      <c r="A858" s="32" t="s">
        <v>2452</v>
      </c>
      <c r="B858" s="32" t="s">
        <v>2453</v>
      </c>
      <c r="C858" s="33">
        <v>45765.0</v>
      </c>
      <c r="D858" s="47" t="s">
        <v>22</v>
      </c>
      <c r="E858" s="32" t="s">
        <v>73</v>
      </c>
      <c r="F858" s="34" t="s">
        <v>24</v>
      </c>
      <c r="G858" s="34" t="s">
        <v>2454</v>
      </c>
      <c r="H858" s="35" t="s">
        <v>26</v>
      </c>
      <c r="I858" s="35" t="s">
        <v>27</v>
      </c>
      <c r="J858" s="35" t="s">
        <v>100</v>
      </c>
      <c r="K858" s="57"/>
      <c r="L858" s="84"/>
    </row>
    <row r="859">
      <c r="A859" s="32" t="s">
        <v>2455</v>
      </c>
      <c r="B859" s="32" t="s">
        <v>2456</v>
      </c>
      <c r="C859" s="33">
        <v>45765.0</v>
      </c>
      <c r="D859" s="34" t="s">
        <v>39</v>
      </c>
      <c r="E859" s="32" t="s">
        <v>122</v>
      </c>
      <c r="F859" s="34" t="s">
        <v>1248</v>
      </c>
      <c r="G859" s="34" t="s">
        <v>2457</v>
      </c>
      <c r="H859" s="35" t="s">
        <v>26</v>
      </c>
      <c r="I859" s="35" t="s">
        <v>27</v>
      </c>
      <c r="J859" s="57"/>
      <c r="K859" s="57"/>
      <c r="L859" s="84"/>
    </row>
    <row r="860">
      <c r="A860" s="31" t="s">
        <v>2458</v>
      </c>
      <c r="B860" s="32" t="s">
        <v>2458</v>
      </c>
      <c r="C860" s="33">
        <v>45766.0</v>
      </c>
      <c r="D860" s="34" t="s">
        <v>22</v>
      </c>
      <c r="E860" s="32" t="s">
        <v>69</v>
      </c>
      <c r="F860" s="34" t="s">
        <v>24</v>
      </c>
      <c r="G860" s="34" t="s">
        <v>2459</v>
      </c>
      <c r="H860" s="35" t="s">
        <v>26</v>
      </c>
      <c r="I860" s="57"/>
      <c r="J860" s="57"/>
      <c r="K860" s="57"/>
      <c r="L860" s="84"/>
    </row>
    <row r="861">
      <c r="A861" s="31" t="s">
        <v>2460</v>
      </c>
      <c r="B861" s="32" t="s">
        <v>2461</v>
      </c>
      <c r="C861" s="33">
        <v>45766.0</v>
      </c>
      <c r="D861" s="34" t="s">
        <v>22</v>
      </c>
      <c r="E861" s="32" t="s">
        <v>69</v>
      </c>
      <c r="F861" s="34" t="s">
        <v>24</v>
      </c>
      <c r="G861" s="34" t="s">
        <v>119</v>
      </c>
      <c r="H861" s="35" t="s">
        <v>26</v>
      </c>
      <c r="I861" s="35" t="s">
        <v>27</v>
      </c>
      <c r="J861" s="57"/>
      <c r="K861" s="57"/>
      <c r="L861" s="84"/>
    </row>
    <row r="862">
      <c r="A862" s="32" t="s">
        <v>2462</v>
      </c>
      <c r="B862" s="32" t="s">
        <v>2463</v>
      </c>
      <c r="C862" s="33">
        <v>45766.0</v>
      </c>
      <c r="D862" s="47" t="s">
        <v>22</v>
      </c>
      <c r="E862" s="32" t="s">
        <v>73</v>
      </c>
      <c r="F862" s="34" t="s">
        <v>24</v>
      </c>
      <c r="G862" s="34" t="s">
        <v>199</v>
      </c>
      <c r="H862" s="35" t="s">
        <v>26</v>
      </c>
      <c r="I862" s="57"/>
      <c r="J862" s="57"/>
      <c r="K862" s="57"/>
      <c r="L862" s="84"/>
    </row>
    <row r="863">
      <c r="A863" s="32" t="s">
        <v>2464</v>
      </c>
      <c r="B863" s="32" t="s">
        <v>2465</v>
      </c>
      <c r="C863" s="33">
        <v>45766.0</v>
      </c>
      <c r="D863" s="34" t="s">
        <v>22</v>
      </c>
      <c r="E863" s="32" t="s">
        <v>77</v>
      </c>
      <c r="F863" s="34" t="s">
        <v>53</v>
      </c>
      <c r="G863" s="34" t="s">
        <v>2466</v>
      </c>
      <c r="H863" s="35" t="s">
        <v>26</v>
      </c>
      <c r="I863" s="35" t="s">
        <v>27</v>
      </c>
      <c r="J863" s="57"/>
      <c r="K863" s="57"/>
      <c r="L863" s="84"/>
    </row>
    <row r="864">
      <c r="A864" s="32" t="s">
        <v>2467</v>
      </c>
      <c r="B864" s="32" t="s">
        <v>2468</v>
      </c>
      <c r="C864" s="33">
        <v>45766.0</v>
      </c>
      <c r="D864" s="34" t="s">
        <v>39</v>
      </c>
      <c r="E864" s="32" t="s">
        <v>473</v>
      </c>
      <c r="F864" s="34" t="s">
        <v>24</v>
      </c>
      <c r="G864" s="34" t="s">
        <v>725</v>
      </c>
      <c r="H864" s="35" t="s">
        <v>26</v>
      </c>
      <c r="I864" s="35" t="s">
        <v>27</v>
      </c>
      <c r="J864" s="57"/>
      <c r="K864" s="57"/>
      <c r="L864" s="84"/>
    </row>
    <row r="865">
      <c r="A865" s="31" t="s">
        <v>2469</v>
      </c>
      <c r="B865" s="32" t="s">
        <v>2470</v>
      </c>
      <c r="C865" s="33">
        <v>45767.0</v>
      </c>
      <c r="D865" s="34" t="s">
        <v>22</v>
      </c>
      <c r="E865" s="32" t="s">
        <v>2471</v>
      </c>
      <c r="F865" s="34" t="s">
        <v>24</v>
      </c>
      <c r="G865" s="34" t="s">
        <v>2472</v>
      </c>
      <c r="H865" s="35" t="s">
        <v>26</v>
      </c>
      <c r="I865" s="36" t="str">
        <f>HYPERLINK("https://open.spotify.com/album/0dCZs8NcJ6XT9hNZohgQSE", "S")</f>
        <v>S</v>
      </c>
      <c r="J865" s="57"/>
      <c r="K865" s="57"/>
      <c r="L865" s="84"/>
    </row>
    <row r="866">
      <c r="A866" s="32" t="s">
        <v>2473</v>
      </c>
      <c r="B866" s="67" t="s">
        <v>2474</v>
      </c>
      <c r="C866" s="33">
        <v>45767.0</v>
      </c>
      <c r="D866" s="34" t="s">
        <v>39</v>
      </c>
      <c r="E866" s="32" t="s">
        <v>1525</v>
      </c>
      <c r="F866" s="34" t="s">
        <v>24</v>
      </c>
      <c r="G866" s="34" t="s">
        <v>2475</v>
      </c>
      <c r="H866" s="35" t="s">
        <v>26</v>
      </c>
      <c r="I866" s="35" t="s">
        <v>27</v>
      </c>
      <c r="J866" s="57"/>
      <c r="K866" s="57"/>
      <c r="L866" s="84"/>
    </row>
    <row r="867">
      <c r="A867" s="32" t="s">
        <v>2476</v>
      </c>
      <c r="B867" s="32" t="s">
        <v>2476</v>
      </c>
      <c r="C867" s="33">
        <v>45767.0</v>
      </c>
      <c r="D867" s="34" t="s">
        <v>22</v>
      </c>
      <c r="E867" s="32" t="s">
        <v>176</v>
      </c>
      <c r="F867" s="34" t="s">
        <v>156</v>
      </c>
      <c r="G867" s="34" t="s">
        <v>185</v>
      </c>
      <c r="H867" s="35" t="s">
        <v>26</v>
      </c>
      <c r="I867" s="36" t="str">
        <f>HYPERLINK("https://open.spotify.com/album/65RRhUyZUpuMMLakMcHLFn", "S")</f>
        <v>S</v>
      </c>
      <c r="J867" s="57"/>
      <c r="K867" s="57"/>
      <c r="L867" s="84"/>
    </row>
    <row r="868">
      <c r="A868" s="32" t="s">
        <v>2477</v>
      </c>
      <c r="B868" s="32" t="s">
        <v>2478</v>
      </c>
      <c r="C868" s="33">
        <v>45767.0</v>
      </c>
      <c r="D868" s="34" t="s">
        <v>22</v>
      </c>
      <c r="E868" s="32" t="s">
        <v>126</v>
      </c>
      <c r="F868" s="34" t="s">
        <v>24</v>
      </c>
      <c r="G868" s="34" t="s">
        <v>2479</v>
      </c>
      <c r="H868" s="35" t="s">
        <v>26</v>
      </c>
      <c r="I868" s="35" t="s">
        <v>27</v>
      </c>
      <c r="J868" s="57"/>
      <c r="K868" s="57"/>
      <c r="L868" s="84"/>
    </row>
    <row r="869">
      <c r="A869" s="32" t="s">
        <v>2480</v>
      </c>
      <c r="B869" s="32" t="s">
        <v>1950</v>
      </c>
      <c r="C869" s="33">
        <v>45767.0</v>
      </c>
      <c r="D869" s="34" t="s">
        <v>22</v>
      </c>
      <c r="E869" s="32" t="s">
        <v>61</v>
      </c>
      <c r="F869" s="34" t="s">
        <v>24</v>
      </c>
      <c r="G869" s="34" t="s">
        <v>1845</v>
      </c>
      <c r="H869" s="35" t="s">
        <v>26</v>
      </c>
      <c r="I869" s="35" t="s">
        <v>27</v>
      </c>
      <c r="J869" s="57"/>
      <c r="K869" s="57"/>
      <c r="L869" s="84"/>
    </row>
    <row r="870">
      <c r="A870" s="32" t="s">
        <v>2481</v>
      </c>
      <c r="B870" s="32" t="s">
        <v>2481</v>
      </c>
      <c r="C870" s="33">
        <v>45767.0</v>
      </c>
      <c r="D870" s="47" t="s">
        <v>22</v>
      </c>
      <c r="E870" s="32" t="s">
        <v>184</v>
      </c>
      <c r="F870" s="34" t="s">
        <v>24</v>
      </c>
      <c r="G870" s="34" t="s">
        <v>670</v>
      </c>
      <c r="H870" s="35" t="s">
        <v>26</v>
      </c>
      <c r="I870" s="35" t="s">
        <v>27</v>
      </c>
      <c r="J870" s="57"/>
      <c r="K870" s="57"/>
      <c r="L870" s="84"/>
    </row>
    <row r="871">
      <c r="A871" s="32" t="s">
        <v>2482</v>
      </c>
      <c r="B871" s="32" t="s">
        <v>2483</v>
      </c>
      <c r="C871" s="33">
        <v>45767.0</v>
      </c>
      <c r="D871" s="47" t="s">
        <v>22</v>
      </c>
      <c r="E871" s="32" t="s">
        <v>73</v>
      </c>
      <c r="F871" s="34" t="s">
        <v>24</v>
      </c>
      <c r="G871" s="34" t="s">
        <v>2484</v>
      </c>
      <c r="H871" s="35" t="s">
        <v>26</v>
      </c>
      <c r="I871" s="36" t="str">
        <f>HYPERLINK("https://open.spotify.com/album/12MksfQlwU8Go2PAZBXrHe", "S")</f>
        <v>S</v>
      </c>
      <c r="J871" s="57"/>
      <c r="K871" s="57"/>
      <c r="L871" s="84"/>
    </row>
    <row r="872">
      <c r="A872" s="32" t="s">
        <v>2485</v>
      </c>
      <c r="B872" s="32" t="s">
        <v>2486</v>
      </c>
      <c r="C872" s="33">
        <v>45767.0</v>
      </c>
      <c r="D872" s="34" t="s">
        <v>22</v>
      </c>
      <c r="E872" s="32" t="s">
        <v>122</v>
      </c>
      <c r="F872" s="34" t="s">
        <v>31</v>
      </c>
      <c r="G872" s="34" t="s">
        <v>2487</v>
      </c>
      <c r="H872" s="35" t="s">
        <v>26</v>
      </c>
      <c r="I872" s="36" t="str">
        <f>HYPERLINK("https://open.spotify.com/album/0HiwJZ4BZRJnKDp2jdaftV", "S")</f>
        <v>S</v>
      </c>
      <c r="J872" s="57"/>
      <c r="K872" s="57"/>
      <c r="L872" s="84"/>
    </row>
    <row r="873">
      <c r="A873" s="31" t="s">
        <v>2488</v>
      </c>
      <c r="B873" s="32" t="s">
        <v>2489</v>
      </c>
      <c r="C873" s="33">
        <v>45768.0</v>
      </c>
      <c r="D873" s="34" t="s">
        <v>22</v>
      </c>
      <c r="E873" s="32" t="s">
        <v>61</v>
      </c>
      <c r="F873" s="34" t="s">
        <v>24</v>
      </c>
      <c r="G873" s="34" t="s">
        <v>2490</v>
      </c>
      <c r="H873" s="35" t="s">
        <v>26</v>
      </c>
      <c r="I873" s="35" t="s">
        <v>27</v>
      </c>
      <c r="J873" s="57"/>
      <c r="K873" s="57"/>
      <c r="L873" s="84"/>
    </row>
    <row r="874">
      <c r="A874" s="32" t="s">
        <v>2491</v>
      </c>
      <c r="B874" s="32" t="s">
        <v>2492</v>
      </c>
      <c r="C874" s="33">
        <v>45768.0</v>
      </c>
      <c r="D874" s="34" t="s">
        <v>22</v>
      </c>
      <c r="E874" s="32" t="s">
        <v>61</v>
      </c>
      <c r="F874" s="34" t="s">
        <v>24</v>
      </c>
      <c r="G874" s="34" t="s">
        <v>225</v>
      </c>
      <c r="H874" s="35" t="s">
        <v>26</v>
      </c>
      <c r="I874" s="36" t="str">
        <f>HYPERLINK("https://open.spotify.com/album/3dIjahont5U2Hd35R4PqtY", "S")</f>
        <v>S</v>
      </c>
      <c r="J874" s="57"/>
      <c r="K874" s="57"/>
      <c r="L874" s="84"/>
    </row>
    <row r="875">
      <c r="A875" s="32" t="s">
        <v>2493</v>
      </c>
      <c r="B875" s="32" t="s">
        <v>2494</v>
      </c>
      <c r="C875" s="33">
        <v>45768.0</v>
      </c>
      <c r="D875" s="69" t="s">
        <v>22</v>
      </c>
      <c r="E875" s="32" t="s">
        <v>1458</v>
      </c>
      <c r="F875" s="34" t="s">
        <v>53</v>
      </c>
      <c r="G875" s="34" t="s">
        <v>2495</v>
      </c>
      <c r="H875" s="35" t="s">
        <v>26</v>
      </c>
      <c r="I875" s="35" t="s">
        <v>27</v>
      </c>
      <c r="J875" s="57"/>
      <c r="K875" s="57"/>
      <c r="L875" s="84"/>
    </row>
    <row r="876">
      <c r="A876" s="32" t="s">
        <v>2496</v>
      </c>
      <c r="B876" s="32" t="s">
        <v>2497</v>
      </c>
      <c r="C876" s="33">
        <v>45770.0</v>
      </c>
      <c r="D876" s="34" t="s">
        <v>22</v>
      </c>
      <c r="E876" s="32" t="s">
        <v>2498</v>
      </c>
      <c r="F876" s="34" t="s">
        <v>24</v>
      </c>
      <c r="G876" s="34" t="s">
        <v>890</v>
      </c>
      <c r="H876" s="35" t="s">
        <v>26</v>
      </c>
      <c r="I876" s="36" t="str">
        <f>HYPERLINK("https://open.spotify.com/album/1rVIsOX1mUaYl6xXSTDwdn", "S")</f>
        <v>S</v>
      </c>
      <c r="J876" s="57"/>
      <c r="K876" s="57"/>
      <c r="L876" s="84"/>
    </row>
    <row r="877">
      <c r="A877" s="32" t="s">
        <v>2499</v>
      </c>
      <c r="B877" s="32" t="s">
        <v>2500</v>
      </c>
      <c r="C877" s="33">
        <v>45770.0</v>
      </c>
      <c r="D877" s="34" t="s">
        <v>22</v>
      </c>
      <c r="E877" s="32" t="s">
        <v>122</v>
      </c>
      <c r="F877" s="34" t="s">
        <v>53</v>
      </c>
      <c r="G877" s="34" t="s">
        <v>2501</v>
      </c>
      <c r="H877" s="35" t="s">
        <v>26</v>
      </c>
      <c r="I877" s="36" t="str">
        <f>HYPERLINK("https://open.spotify.com/album/3wHCWo5cgWt2GsbTml7Kok", "S")</f>
        <v>S</v>
      </c>
      <c r="J877" s="57"/>
      <c r="K877" s="57"/>
      <c r="L877" s="84"/>
    </row>
    <row r="878">
      <c r="A878" s="32" t="s">
        <v>2502</v>
      </c>
      <c r="B878" s="32" t="s">
        <v>2503</v>
      </c>
      <c r="C878" s="33">
        <v>45770.0</v>
      </c>
      <c r="D878" s="34" t="s">
        <v>22</v>
      </c>
      <c r="E878" s="32" t="s">
        <v>1458</v>
      </c>
      <c r="F878" s="34" t="s">
        <v>156</v>
      </c>
      <c r="G878" s="34" t="s">
        <v>874</v>
      </c>
      <c r="H878" s="35" t="s">
        <v>26</v>
      </c>
      <c r="I878" s="35" t="s">
        <v>27</v>
      </c>
      <c r="J878" s="57"/>
      <c r="K878" s="57"/>
      <c r="L878" s="84"/>
    </row>
    <row r="879">
      <c r="A879" s="32" t="s">
        <v>2504</v>
      </c>
      <c r="B879" s="32" t="s">
        <v>2505</v>
      </c>
      <c r="C879" s="33">
        <v>45771.0</v>
      </c>
      <c r="D879" s="34" t="s">
        <v>22</v>
      </c>
      <c r="E879" s="32" t="s">
        <v>1264</v>
      </c>
      <c r="F879" s="34" t="s">
        <v>156</v>
      </c>
      <c r="G879" s="34" t="s">
        <v>2506</v>
      </c>
      <c r="H879" s="35" t="s">
        <v>26</v>
      </c>
      <c r="I879" s="35" t="s">
        <v>27</v>
      </c>
      <c r="J879" s="57"/>
      <c r="K879" s="57"/>
      <c r="L879" s="84"/>
    </row>
    <row r="880">
      <c r="A880" s="32" t="s">
        <v>2507</v>
      </c>
      <c r="B880" s="32" t="s">
        <v>2508</v>
      </c>
      <c r="C880" s="33">
        <v>45771.0</v>
      </c>
      <c r="D880" s="34" t="s">
        <v>39</v>
      </c>
      <c r="E880" s="32" t="s">
        <v>1370</v>
      </c>
      <c r="F880" s="34" t="s">
        <v>24</v>
      </c>
      <c r="G880" s="34" t="s">
        <v>202</v>
      </c>
      <c r="H880" s="35" t="s">
        <v>26</v>
      </c>
      <c r="I880" s="35" t="s">
        <v>27</v>
      </c>
      <c r="J880" s="57"/>
      <c r="K880" s="57"/>
      <c r="L880" s="84"/>
    </row>
    <row r="881">
      <c r="A881" s="32" t="s">
        <v>2207</v>
      </c>
      <c r="B881" s="32" t="s">
        <v>2509</v>
      </c>
      <c r="C881" s="33">
        <v>45771.0</v>
      </c>
      <c r="D881" s="34" t="s">
        <v>22</v>
      </c>
      <c r="E881" s="32" t="s">
        <v>2510</v>
      </c>
      <c r="F881" s="34" t="s">
        <v>53</v>
      </c>
      <c r="G881" s="34" t="s">
        <v>933</v>
      </c>
      <c r="H881" s="35" t="s">
        <v>26</v>
      </c>
      <c r="I881" s="36" t="str">
        <f>HYPERLINK("https://open.spotify.com/album/57CTpa4oomNPHtLlYonyD5", "S")</f>
        <v>S</v>
      </c>
      <c r="J881" s="57"/>
      <c r="K881" s="57"/>
      <c r="L881" s="84"/>
    </row>
    <row r="882">
      <c r="A882" s="32" t="s">
        <v>2511</v>
      </c>
      <c r="B882" s="32" t="s">
        <v>2512</v>
      </c>
      <c r="C882" s="33">
        <v>45772.0</v>
      </c>
      <c r="D882" s="34" t="s">
        <v>22</v>
      </c>
      <c r="E882" s="32" t="s">
        <v>291</v>
      </c>
      <c r="F882" s="34" t="s">
        <v>31</v>
      </c>
      <c r="G882" s="34" t="s">
        <v>2513</v>
      </c>
      <c r="H882" s="66"/>
      <c r="I882" s="35" t="s">
        <v>27</v>
      </c>
      <c r="J882" s="57"/>
      <c r="K882" s="57"/>
      <c r="L882" s="84"/>
    </row>
    <row r="883">
      <c r="A883" s="32" t="s">
        <v>2514</v>
      </c>
      <c r="B883" s="32" t="s">
        <v>2515</v>
      </c>
      <c r="C883" s="33">
        <v>45772.0</v>
      </c>
      <c r="D883" s="47" t="s">
        <v>22</v>
      </c>
      <c r="E883" s="32" t="s">
        <v>416</v>
      </c>
      <c r="F883" s="34" t="s">
        <v>24</v>
      </c>
      <c r="G883" s="34" t="s">
        <v>2516</v>
      </c>
      <c r="H883" s="35" t="s">
        <v>26</v>
      </c>
      <c r="I883" s="35" t="s">
        <v>27</v>
      </c>
      <c r="J883" s="35" t="s">
        <v>100</v>
      </c>
      <c r="K883" s="57"/>
      <c r="L883" s="84"/>
    </row>
    <row r="884">
      <c r="A884" s="32" t="s">
        <v>2517</v>
      </c>
      <c r="B884" s="32" t="s">
        <v>2518</v>
      </c>
      <c r="C884" s="33">
        <v>45772.0</v>
      </c>
      <c r="D884" s="34" t="s">
        <v>22</v>
      </c>
      <c r="E884" s="32" t="s">
        <v>160</v>
      </c>
      <c r="F884" s="34" t="s">
        <v>53</v>
      </c>
      <c r="G884" s="34" t="s">
        <v>2519</v>
      </c>
      <c r="H884" s="35" t="s">
        <v>26</v>
      </c>
      <c r="I884" s="35" t="s">
        <v>27</v>
      </c>
      <c r="J884" s="57"/>
      <c r="K884" s="57"/>
      <c r="L884" s="84"/>
    </row>
    <row r="885">
      <c r="A885" s="32" t="s">
        <v>2520</v>
      </c>
      <c r="B885" s="32" t="s">
        <v>2521</v>
      </c>
      <c r="C885" s="33">
        <v>45772.0</v>
      </c>
      <c r="D885" s="69" t="s">
        <v>22</v>
      </c>
      <c r="E885" s="32" t="s">
        <v>2522</v>
      </c>
      <c r="F885" s="34" t="s">
        <v>156</v>
      </c>
      <c r="G885" s="34" t="s">
        <v>1537</v>
      </c>
      <c r="H885" s="35" t="s">
        <v>26</v>
      </c>
      <c r="I885" s="35" t="s">
        <v>27</v>
      </c>
      <c r="J885" s="57"/>
      <c r="K885" s="57"/>
      <c r="L885" s="84"/>
    </row>
    <row r="886">
      <c r="A886" s="32" t="s">
        <v>2523</v>
      </c>
      <c r="B886" s="32" t="s">
        <v>2524</v>
      </c>
      <c r="C886" s="33">
        <v>45772.0</v>
      </c>
      <c r="D886" s="34" t="s">
        <v>39</v>
      </c>
      <c r="E886" s="32" t="s">
        <v>355</v>
      </c>
      <c r="F886" s="34" t="s">
        <v>24</v>
      </c>
      <c r="G886" s="34" t="s">
        <v>2525</v>
      </c>
      <c r="H886" s="35" t="s">
        <v>26</v>
      </c>
      <c r="I886" s="34"/>
      <c r="J886" s="57"/>
      <c r="K886" s="57"/>
      <c r="L886" s="84"/>
    </row>
    <row r="887">
      <c r="A887" s="32" t="s">
        <v>2526</v>
      </c>
      <c r="B887" s="32" t="s">
        <v>2527</v>
      </c>
      <c r="C887" s="33">
        <v>45772.0</v>
      </c>
      <c r="D887" s="34" t="s">
        <v>22</v>
      </c>
      <c r="E887" s="32" t="s">
        <v>436</v>
      </c>
      <c r="F887" s="34" t="s">
        <v>31</v>
      </c>
      <c r="G887" s="34" t="s">
        <v>1104</v>
      </c>
      <c r="H887" s="35" t="s">
        <v>26</v>
      </c>
      <c r="I887" s="35" t="s">
        <v>27</v>
      </c>
      <c r="J887" s="57"/>
      <c r="K887" s="57"/>
      <c r="L887" s="84"/>
    </row>
    <row r="888">
      <c r="A888" s="32" t="s">
        <v>2528</v>
      </c>
      <c r="B888" s="32" t="s">
        <v>2529</v>
      </c>
      <c r="C888" s="33">
        <v>45772.0</v>
      </c>
      <c r="D888" s="34" t="s">
        <v>22</v>
      </c>
      <c r="E888" s="32" t="s">
        <v>2530</v>
      </c>
      <c r="F888" s="34" t="s">
        <v>24</v>
      </c>
      <c r="G888" s="34" t="s">
        <v>510</v>
      </c>
      <c r="H888" s="35" t="s">
        <v>26</v>
      </c>
      <c r="I888" s="35" t="s">
        <v>27</v>
      </c>
      <c r="J888" s="35" t="s">
        <v>100</v>
      </c>
      <c r="K888" s="57"/>
      <c r="L888" s="84"/>
    </row>
    <row r="889">
      <c r="A889" s="31" t="s">
        <v>2531</v>
      </c>
      <c r="B889" s="32" t="s">
        <v>2532</v>
      </c>
      <c r="C889" s="33">
        <v>45772.0</v>
      </c>
      <c r="D889" s="34" t="s">
        <v>22</v>
      </c>
      <c r="E889" s="32" t="s">
        <v>2533</v>
      </c>
      <c r="F889" s="34" t="s">
        <v>24</v>
      </c>
      <c r="G889" s="34" t="s">
        <v>2534</v>
      </c>
      <c r="H889" s="35" t="s">
        <v>26</v>
      </c>
      <c r="I889" s="35" t="s">
        <v>27</v>
      </c>
      <c r="J889" s="57"/>
      <c r="K889" s="57"/>
      <c r="L889" s="84"/>
    </row>
    <row r="890">
      <c r="A890" s="31" t="s">
        <v>2535</v>
      </c>
      <c r="B890" s="32" t="s">
        <v>2536</v>
      </c>
      <c r="C890" s="33">
        <v>45772.0</v>
      </c>
      <c r="D890" s="34" t="s">
        <v>22</v>
      </c>
      <c r="E890" s="32" t="s">
        <v>69</v>
      </c>
      <c r="F890" s="34" t="s">
        <v>24</v>
      </c>
      <c r="G890" s="34" t="s">
        <v>2537</v>
      </c>
      <c r="H890" s="35" t="s">
        <v>26</v>
      </c>
      <c r="I890" s="35" t="s">
        <v>27</v>
      </c>
      <c r="J890" s="57"/>
      <c r="K890" s="57"/>
      <c r="L890" s="84"/>
    </row>
    <row r="891">
      <c r="A891" s="32" t="s">
        <v>2538</v>
      </c>
      <c r="B891" s="32" t="s">
        <v>2539</v>
      </c>
      <c r="C891" s="33">
        <v>45772.0</v>
      </c>
      <c r="D891" s="47" t="s">
        <v>22</v>
      </c>
      <c r="E891" s="32" t="s">
        <v>69</v>
      </c>
      <c r="F891" s="34" t="s">
        <v>24</v>
      </c>
      <c r="G891" s="34" t="s">
        <v>199</v>
      </c>
      <c r="H891" s="35" t="s">
        <v>26</v>
      </c>
      <c r="I891" s="35" t="s">
        <v>27</v>
      </c>
      <c r="J891" s="35" t="s">
        <v>100</v>
      </c>
      <c r="K891" s="57"/>
      <c r="L891" s="84"/>
    </row>
    <row r="892">
      <c r="A892" s="31" t="s">
        <v>2540</v>
      </c>
      <c r="B892" s="32" t="s">
        <v>2541</v>
      </c>
      <c r="C892" s="33">
        <v>45772.0</v>
      </c>
      <c r="D892" s="34" t="s">
        <v>22</v>
      </c>
      <c r="E892" s="32" t="s">
        <v>61</v>
      </c>
      <c r="F892" s="34" t="s">
        <v>24</v>
      </c>
      <c r="G892" s="34" t="s">
        <v>442</v>
      </c>
      <c r="H892" s="35" t="s">
        <v>26</v>
      </c>
      <c r="I892" s="35" t="s">
        <v>27</v>
      </c>
      <c r="J892" s="57"/>
      <c r="K892" s="57"/>
      <c r="L892" s="84"/>
    </row>
    <row r="893">
      <c r="A893" s="31" t="s">
        <v>2542</v>
      </c>
      <c r="B893" s="32" t="s">
        <v>2543</v>
      </c>
      <c r="C893" s="33">
        <v>45772.0</v>
      </c>
      <c r="D893" s="34" t="s">
        <v>22</v>
      </c>
      <c r="E893" s="32" t="s">
        <v>122</v>
      </c>
      <c r="F893" s="34" t="s">
        <v>156</v>
      </c>
      <c r="G893" s="34" t="s">
        <v>2544</v>
      </c>
      <c r="H893" s="35" t="s">
        <v>26</v>
      </c>
      <c r="I893" s="35" t="s">
        <v>27</v>
      </c>
      <c r="J893" s="57"/>
      <c r="K893" s="57"/>
      <c r="L893" s="84"/>
    </row>
    <row r="894">
      <c r="A894" s="31" t="s">
        <v>2545</v>
      </c>
      <c r="B894" s="32" t="s">
        <v>2546</v>
      </c>
      <c r="C894" s="33">
        <v>45772.0</v>
      </c>
      <c r="D894" s="34" t="s">
        <v>22</v>
      </c>
      <c r="E894" s="32" t="s">
        <v>2547</v>
      </c>
      <c r="F894" s="34" t="s">
        <v>24</v>
      </c>
      <c r="G894" s="34" t="s">
        <v>725</v>
      </c>
      <c r="H894" s="35" t="s">
        <v>26</v>
      </c>
      <c r="I894" s="35" t="s">
        <v>27</v>
      </c>
      <c r="J894" s="35" t="s">
        <v>100</v>
      </c>
      <c r="K894" s="57"/>
      <c r="L894" s="84"/>
    </row>
    <row r="895">
      <c r="A895" s="31" t="s">
        <v>2548</v>
      </c>
      <c r="B895" s="32" t="s">
        <v>2549</v>
      </c>
      <c r="C895" s="33">
        <v>45772.0</v>
      </c>
      <c r="D895" s="34" t="s">
        <v>22</v>
      </c>
      <c r="E895" s="32" t="s">
        <v>1931</v>
      </c>
      <c r="F895" s="34" t="s">
        <v>53</v>
      </c>
      <c r="G895" s="34" t="s">
        <v>1340</v>
      </c>
      <c r="H895" s="66"/>
      <c r="I895" s="35" t="s">
        <v>27</v>
      </c>
      <c r="J895" s="57"/>
      <c r="K895" s="57"/>
      <c r="L895" s="84"/>
    </row>
    <row r="896">
      <c r="A896" s="31" t="s">
        <v>2550</v>
      </c>
      <c r="B896" s="32" t="s">
        <v>2551</v>
      </c>
      <c r="C896" s="33">
        <v>45772.0</v>
      </c>
      <c r="D896" s="34" t="s">
        <v>22</v>
      </c>
      <c r="E896" s="32" t="s">
        <v>2552</v>
      </c>
      <c r="F896" s="34" t="s">
        <v>31</v>
      </c>
      <c r="G896" s="34" t="s">
        <v>1098</v>
      </c>
      <c r="H896" s="35" t="s">
        <v>26</v>
      </c>
      <c r="I896" s="35" t="s">
        <v>27</v>
      </c>
      <c r="J896" s="57"/>
      <c r="K896" s="57"/>
      <c r="L896" s="84"/>
    </row>
    <row r="897">
      <c r="A897" s="31" t="s">
        <v>2553</v>
      </c>
      <c r="B897" s="32" t="s">
        <v>2554</v>
      </c>
      <c r="C897" s="33">
        <v>45772.0</v>
      </c>
      <c r="D897" s="34" t="s">
        <v>22</v>
      </c>
      <c r="E897" s="32" t="s">
        <v>2555</v>
      </c>
      <c r="F897" s="34" t="s">
        <v>53</v>
      </c>
      <c r="G897" s="34" t="s">
        <v>2556</v>
      </c>
      <c r="H897" s="35" t="s">
        <v>26</v>
      </c>
      <c r="I897" s="35" t="s">
        <v>27</v>
      </c>
      <c r="J897" s="57"/>
      <c r="K897" s="57"/>
      <c r="L897" s="84"/>
    </row>
    <row r="898">
      <c r="A898" s="31" t="s">
        <v>2557</v>
      </c>
      <c r="B898" s="32" t="s">
        <v>2557</v>
      </c>
      <c r="C898" s="33">
        <v>45772.0</v>
      </c>
      <c r="D898" s="34" t="s">
        <v>22</v>
      </c>
      <c r="E898" s="32" t="s">
        <v>263</v>
      </c>
      <c r="F898" s="34" t="s">
        <v>53</v>
      </c>
      <c r="G898" s="34" t="s">
        <v>437</v>
      </c>
      <c r="H898" s="35" t="s">
        <v>26</v>
      </c>
      <c r="I898" s="35" t="s">
        <v>27</v>
      </c>
      <c r="J898" s="35" t="s">
        <v>100</v>
      </c>
      <c r="K898" s="57"/>
      <c r="L898" s="84"/>
    </row>
    <row r="899">
      <c r="A899" s="31" t="s">
        <v>2558</v>
      </c>
      <c r="B899" s="32" t="s">
        <v>2559</v>
      </c>
      <c r="C899" s="33">
        <v>45772.0</v>
      </c>
      <c r="D899" s="34" t="s">
        <v>22</v>
      </c>
      <c r="E899" s="32" t="s">
        <v>2560</v>
      </c>
      <c r="F899" s="34" t="s">
        <v>53</v>
      </c>
      <c r="G899" s="34" t="s">
        <v>2561</v>
      </c>
      <c r="H899" s="35" t="s">
        <v>26</v>
      </c>
      <c r="I899" s="35" t="s">
        <v>27</v>
      </c>
      <c r="J899" s="35" t="s">
        <v>100</v>
      </c>
      <c r="K899" s="57"/>
      <c r="L899" s="84"/>
    </row>
    <row r="900">
      <c r="A900" s="31" t="s">
        <v>2562</v>
      </c>
      <c r="B900" s="32" t="s">
        <v>2563</v>
      </c>
      <c r="C900" s="33">
        <v>45772.0</v>
      </c>
      <c r="D900" s="34" t="s">
        <v>39</v>
      </c>
      <c r="E900" s="32" t="s">
        <v>44</v>
      </c>
      <c r="F900" s="34" t="s">
        <v>24</v>
      </c>
      <c r="G900" s="34" t="s">
        <v>365</v>
      </c>
      <c r="H900" s="66"/>
      <c r="I900" s="35" t="s">
        <v>27</v>
      </c>
      <c r="J900" s="57"/>
      <c r="K900" s="57"/>
      <c r="L900" s="84"/>
    </row>
    <row r="901">
      <c r="A901" s="31" t="s">
        <v>2564</v>
      </c>
      <c r="B901" s="32" t="s">
        <v>2565</v>
      </c>
      <c r="C901" s="33">
        <v>45772.0</v>
      </c>
      <c r="D901" s="34" t="s">
        <v>22</v>
      </c>
      <c r="E901" s="32" t="s">
        <v>2566</v>
      </c>
      <c r="F901" s="34" t="s">
        <v>53</v>
      </c>
      <c r="G901" s="34" t="s">
        <v>526</v>
      </c>
      <c r="H901" s="35" t="s">
        <v>26</v>
      </c>
      <c r="I901" s="35" t="s">
        <v>27</v>
      </c>
      <c r="J901" s="35" t="s">
        <v>100</v>
      </c>
      <c r="K901" s="57"/>
      <c r="L901" s="84"/>
    </row>
    <row r="902">
      <c r="A902" s="31" t="s">
        <v>2567</v>
      </c>
      <c r="B902" s="32" t="s">
        <v>2568</v>
      </c>
      <c r="C902" s="33">
        <v>45772.0</v>
      </c>
      <c r="D902" s="34" t="s">
        <v>22</v>
      </c>
      <c r="E902" s="32" t="s">
        <v>84</v>
      </c>
      <c r="F902" s="34" t="s">
        <v>53</v>
      </c>
      <c r="G902" s="34" t="s">
        <v>2569</v>
      </c>
      <c r="H902" s="35" t="s">
        <v>26</v>
      </c>
      <c r="I902" s="35" t="s">
        <v>27</v>
      </c>
      <c r="J902" s="57"/>
      <c r="K902" s="57"/>
      <c r="L902" s="84"/>
    </row>
    <row r="903">
      <c r="A903" s="31" t="s">
        <v>2570</v>
      </c>
      <c r="B903" s="32" t="s">
        <v>2571</v>
      </c>
      <c r="C903" s="33">
        <v>45772.0</v>
      </c>
      <c r="D903" s="34" t="s">
        <v>22</v>
      </c>
      <c r="E903" s="32" t="s">
        <v>1519</v>
      </c>
      <c r="F903" s="34" t="s">
        <v>24</v>
      </c>
      <c r="G903" s="34" t="s">
        <v>2426</v>
      </c>
      <c r="H903" s="35" t="s">
        <v>26</v>
      </c>
      <c r="I903" s="35" t="s">
        <v>27</v>
      </c>
      <c r="J903" s="35" t="s">
        <v>100</v>
      </c>
      <c r="K903" s="57"/>
      <c r="L903" s="84"/>
    </row>
    <row r="904">
      <c r="A904" s="31" t="s">
        <v>2572</v>
      </c>
      <c r="B904" s="32" t="s">
        <v>2573</v>
      </c>
      <c r="C904" s="33">
        <v>45772.0</v>
      </c>
      <c r="D904" s="34" t="s">
        <v>22</v>
      </c>
      <c r="E904" s="32" t="s">
        <v>2574</v>
      </c>
      <c r="F904" s="34" t="s">
        <v>53</v>
      </c>
      <c r="G904" s="34" t="s">
        <v>41</v>
      </c>
      <c r="H904" s="35" t="s">
        <v>26</v>
      </c>
      <c r="I904" s="35" t="s">
        <v>27</v>
      </c>
      <c r="J904" s="57"/>
      <c r="K904" s="57"/>
      <c r="L904" s="84"/>
    </row>
    <row r="905">
      <c r="A905" s="32" t="s">
        <v>2575</v>
      </c>
      <c r="B905" s="32" t="s">
        <v>2576</v>
      </c>
      <c r="C905" s="45">
        <v>45772.0</v>
      </c>
      <c r="D905" s="68" t="s">
        <v>22</v>
      </c>
      <c r="E905" s="32" t="s">
        <v>2577</v>
      </c>
      <c r="F905" s="34" t="s">
        <v>53</v>
      </c>
      <c r="G905" s="34" t="s">
        <v>2578</v>
      </c>
      <c r="H905" s="35" t="s">
        <v>26</v>
      </c>
      <c r="I905" s="35" t="s">
        <v>27</v>
      </c>
      <c r="J905" s="35" t="s">
        <v>100</v>
      </c>
      <c r="K905" s="57"/>
      <c r="L905" s="84"/>
    </row>
    <row r="906">
      <c r="A906" s="32" t="s">
        <v>2579</v>
      </c>
      <c r="B906" s="32" t="s">
        <v>2580</v>
      </c>
      <c r="C906" s="59">
        <v>45772.0</v>
      </c>
      <c r="D906" s="68" t="s">
        <v>22</v>
      </c>
      <c r="E906" s="32" t="s">
        <v>2581</v>
      </c>
      <c r="F906" s="34" t="s">
        <v>53</v>
      </c>
      <c r="G906" s="34" t="s">
        <v>2582</v>
      </c>
      <c r="H906" s="35" t="s">
        <v>26</v>
      </c>
      <c r="I906" s="35" t="s">
        <v>27</v>
      </c>
      <c r="J906" s="35" t="s">
        <v>100</v>
      </c>
      <c r="K906" s="57"/>
      <c r="L906" s="84"/>
    </row>
    <row r="907">
      <c r="A907" s="31" t="s">
        <v>2583</v>
      </c>
      <c r="B907" s="32" t="s">
        <v>2584</v>
      </c>
      <c r="C907" s="33">
        <v>45772.0</v>
      </c>
      <c r="D907" s="47" t="s">
        <v>22</v>
      </c>
      <c r="E907" s="32" t="s">
        <v>865</v>
      </c>
      <c r="F907" s="34" t="s">
        <v>53</v>
      </c>
      <c r="G907" s="34" t="s">
        <v>442</v>
      </c>
      <c r="H907" s="35" t="s">
        <v>26</v>
      </c>
      <c r="I907" s="35" t="s">
        <v>27</v>
      </c>
      <c r="J907" s="35" t="s">
        <v>100</v>
      </c>
      <c r="K907" s="57"/>
      <c r="L907" s="84"/>
    </row>
    <row r="908">
      <c r="A908" s="31" t="s">
        <v>2585</v>
      </c>
      <c r="B908" s="32" t="s">
        <v>2586</v>
      </c>
      <c r="C908" s="33">
        <v>45772.0</v>
      </c>
      <c r="D908" s="34" t="s">
        <v>22</v>
      </c>
      <c r="E908" s="32" t="s">
        <v>2587</v>
      </c>
      <c r="F908" s="34" t="s">
        <v>53</v>
      </c>
      <c r="G908" s="34" t="s">
        <v>1436</v>
      </c>
      <c r="H908" s="66"/>
      <c r="I908" s="35" t="s">
        <v>27</v>
      </c>
      <c r="J908" s="35" t="s">
        <v>100</v>
      </c>
      <c r="K908" s="57"/>
      <c r="L908" s="84"/>
    </row>
    <row r="909">
      <c r="A909" s="31" t="s">
        <v>2588</v>
      </c>
      <c r="B909" s="32" t="s">
        <v>2589</v>
      </c>
      <c r="C909" s="33">
        <v>45772.0</v>
      </c>
      <c r="D909" s="34" t="s">
        <v>22</v>
      </c>
      <c r="E909" s="32" t="s">
        <v>1471</v>
      </c>
      <c r="F909" s="34" t="s">
        <v>156</v>
      </c>
      <c r="G909" s="34" t="s">
        <v>2590</v>
      </c>
      <c r="H909" s="35" t="s">
        <v>26</v>
      </c>
      <c r="I909" s="35" t="s">
        <v>27</v>
      </c>
      <c r="J909" s="57"/>
      <c r="K909" s="57"/>
      <c r="L909" s="84"/>
    </row>
    <row r="910">
      <c r="A910" s="31" t="s">
        <v>2591</v>
      </c>
      <c r="B910" s="32" t="s">
        <v>2592</v>
      </c>
      <c r="C910" s="33">
        <v>45772.0</v>
      </c>
      <c r="D910" s="34" t="s">
        <v>22</v>
      </c>
      <c r="E910" s="32" t="s">
        <v>84</v>
      </c>
      <c r="F910" s="34" t="s">
        <v>53</v>
      </c>
      <c r="G910" s="34" t="s">
        <v>2593</v>
      </c>
      <c r="H910" s="35" t="s">
        <v>26</v>
      </c>
      <c r="I910" s="35" t="s">
        <v>27</v>
      </c>
      <c r="J910" s="57"/>
      <c r="K910" s="57"/>
      <c r="L910" s="84"/>
    </row>
    <row r="911">
      <c r="A911" s="31" t="s">
        <v>2594</v>
      </c>
      <c r="B911" s="32" t="s">
        <v>2594</v>
      </c>
      <c r="C911" s="33">
        <v>45772.0</v>
      </c>
      <c r="D911" s="47" t="s">
        <v>22</v>
      </c>
      <c r="E911" s="32" t="s">
        <v>2595</v>
      </c>
      <c r="F911" s="34" t="s">
        <v>53</v>
      </c>
      <c r="G911" s="34" t="s">
        <v>2596</v>
      </c>
      <c r="H911" s="35" t="s">
        <v>26</v>
      </c>
      <c r="I911" s="35" t="s">
        <v>27</v>
      </c>
      <c r="J911" s="35" t="s">
        <v>100</v>
      </c>
      <c r="K911" s="57"/>
      <c r="L911" s="84"/>
    </row>
    <row r="912">
      <c r="A912" s="31" t="s">
        <v>2597</v>
      </c>
      <c r="B912" s="32" t="s">
        <v>2598</v>
      </c>
      <c r="C912" s="33">
        <v>45772.0</v>
      </c>
      <c r="D912" s="47" t="s">
        <v>22</v>
      </c>
      <c r="E912" s="32" t="s">
        <v>2192</v>
      </c>
      <c r="F912" s="34" t="s">
        <v>156</v>
      </c>
      <c r="G912" s="34" t="s">
        <v>599</v>
      </c>
      <c r="H912" s="35" t="s">
        <v>26</v>
      </c>
      <c r="I912" s="35" t="s">
        <v>27</v>
      </c>
      <c r="J912" s="35" t="s">
        <v>100</v>
      </c>
      <c r="K912" s="57"/>
      <c r="L912" s="84"/>
    </row>
    <row r="913">
      <c r="A913" s="31" t="s">
        <v>357</v>
      </c>
      <c r="B913" s="32" t="s">
        <v>2599</v>
      </c>
      <c r="C913" s="33">
        <v>45772.0</v>
      </c>
      <c r="D913" s="34" t="s">
        <v>22</v>
      </c>
      <c r="E913" s="32" t="s">
        <v>98</v>
      </c>
      <c r="F913" s="34" t="s">
        <v>24</v>
      </c>
      <c r="G913" s="34" t="s">
        <v>2459</v>
      </c>
      <c r="H913" s="35" t="s">
        <v>26</v>
      </c>
      <c r="I913" s="35" t="s">
        <v>27</v>
      </c>
      <c r="J913" s="57"/>
      <c r="K913" s="57"/>
      <c r="L913" s="84"/>
    </row>
    <row r="914">
      <c r="A914" s="31" t="s">
        <v>2600</v>
      </c>
      <c r="B914" s="32" t="s">
        <v>2601</v>
      </c>
      <c r="C914" s="33">
        <v>45772.0</v>
      </c>
      <c r="D914" s="34" t="s">
        <v>22</v>
      </c>
      <c r="E914" s="32" t="s">
        <v>160</v>
      </c>
      <c r="F914" s="34" t="s">
        <v>24</v>
      </c>
      <c r="G914" s="34" t="s">
        <v>2602</v>
      </c>
      <c r="H914" s="35" t="s">
        <v>26</v>
      </c>
      <c r="I914" s="35" t="s">
        <v>27</v>
      </c>
      <c r="J914" s="57"/>
      <c r="K914" s="57"/>
      <c r="L914" s="84"/>
    </row>
    <row r="915">
      <c r="A915" s="31" t="s">
        <v>2603</v>
      </c>
      <c r="B915" s="32" t="s">
        <v>2604</v>
      </c>
      <c r="C915" s="33">
        <v>45772.0</v>
      </c>
      <c r="D915" s="34" t="s">
        <v>22</v>
      </c>
      <c r="E915" s="32" t="s">
        <v>2605</v>
      </c>
      <c r="F915" s="34" t="s">
        <v>24</v>
      </c>
      <c r="G915" s="34" t="s">
        <v>62</v>
      </c>
      <c r="H915" s="35" t="s">
        <v>26</v>
      </c>
      <c r="I915" s="35" t="s">
        <v>27</v>
      </c>
      <c r="J915" s="57"/>
      <c r="K915" s="57"/>
      <c r="L915" s="84"/>
    </row>
    <row r="916">
      <c r="A916" s="31" t="s">
        <v>2606</v>
      </c>
      <c r="B916" s="32" t="s">
        <v>2607</v>
      </c>
      <c r="C916" s="33">
        <v>45772.0</v>
      </c>
      <c r="D916" s="34" t="s">
        <v>22</v>
      </c>
      <c r="E916" s="32" t="s">
        <v>1031</v>
      </c>
      <c r="F916" s="34" t="s">
        <v>156</v>
      </c>
      <c r="G916" s="34" t="s">
        <v>2608</v>
      </c>
      <c r="H916" s="66"/>
      <c r="I916" s="35" t="s">
        <v>27</v>
      </c>
      <c r="J916" s="57"/>
      <c r="K916" s="57"/>
      <c r="L916" s="84"/>
    </row>
    <row r="917">
      <c r="A917" s="31" t="s">
        <v>2609</v>
      </c>
      <c r="B917" s="32" t="s">
        <v>2610</v>
      </c>
      <c r="C917" s="33">
        <v>45772.0</v>
      </c>
      <c r="D917" s="34" t="s">
        <v>22</v>
      </c>
      <c r="E917" s="32" t="s">
        <v>2611</v>
      </c>
      <c r="F917" s="34" t="s">
        <v>53</v>
      </c>
      <c r="G917" s="34" t="s">
        <v>654</v>
      </c>
      <c r="H917" s="35" t="s">
        <v>26</v>
      </c>
      <c r="I917" s="34"/>
      <c r="J917" s="57"/>
      <c r="K917" s="57"/>
      <c r="L917" s="84"/>
    </row>
    <row r="918">
      <c r="A918" s="31" t="s">
        <v>2612</v>
      </c>
      <c r="B918" s="32" t="s">
        <v>2613</v>
      </c>
      <c r="C918" s="33">
        <v>45772.0</v>
      </c>
      <c r="D918" s="34" t="s">
        <v>22</v>
      </c>
      <c r="E918" s="32" t="s">
        <v>552</v>
      </c>
      <c r="F918" s="34" t="s">
        <v>156</v>
      </c>
      <c r="G918" s="34" t="s">
        <v>62</v>
      </c>
      <c r="H918" s="35" t="s">
        <v>26</v>
      </c>
      <c r="I918" s="35" t="s">
        <v>27</v>
      </c>
      <c r="J918" s="57"/>
      <c r="K918" s="57"/>
      <c r="L918" s="84"/>
    </row>
    <row r="919">
      <c r="A919" s="31" t="s">
        <v>2614</v>
      </c>
      <c r="B919" s="32" t="s">
        <v>2615</v>
      </c>
      <c r="C919" s="33">
        <v>45772.0</v>
      </c>
      <c r="D919" s="34" t="s">
        <v>22</v>
      </c>
      <c r="E919" s="32" t="s">
        <v>513</v>
      </c>
      <c r="F919" s="34" t="s">
        <v>156</v>
      </c>
      <c r="G919" s="34" t="s">
        <v>2616</v>
      </c>
      <c r="H919" s="35" t="s">
        <v>26</v>
      </c>
      <c r="I919" s="35" t="s">
        <v>27</v>
      </c>
      <c r="J919" s="57"/>
      <c r="K919" s="57"/>
      <c r="L919" s="84"/>
    </row>
    <row r="920">
      <c r="A920" s="31" t="s">
        <v>2617</v>
      </c>
      <c r="B920" s="32" t="s">
        <v>2618</v>
      </c>
      <c r="C920" s="33">
        <v>45772.0</v>
      </c>
      <c r="D920" s="34" t="s">
        <v>22</v>
      </c>
      <c r="E920" s="32" t="s">
        <v>2619</v>
      </c>
      <c r="F920" s="34" t="s">
        <v>24</v>
      </c>
      <c r="G920" s="34" t="s">
        <v>2620</v>
      </c>
      <c r="H920" s="35" t="s">
        <v>26</v>
      </c>
      <c r="I920" s="35" t="s">
        <v>27</v>
      </c>
      <c r="J920" s="57"/>
      <c r="K920" s="57"/>
      <c r="L920" s="84"/>
    </row>
    <row r="921">
      <c r="A921" s="31" t="s">
        <v>2621</v>
      </c>
      <c r="B921" s="32" t="s">
        <v>2622</v>
      </c>
      <c r="C921" s="33">
        <v>45772.0</v>
      </c>
      <c r="D921" s="34" t="s">
        <v>22</v>
      </c>
      <c r="E921" s="32" t="s">
        <v>513</v>
      </c>
      <c r="F921" s="34" t="s">
        <v>156</v>
      </c>
      <c r="G921" s="34" t="s">
        <v>2623</v>
      </c>
      <c r="H921" s="35" t="s">
        <v>26</v>
      </c>
      <c r="I921" s="35" t="s">
        <v>27</v>
      </c>
      <c r="J921" s="57"/>
      <c r="K921" s="57"/>
      <c r="L921" s="84"/>
    </row>
    <row r="922">
      <c r="A922" s="31" t="s">
        <v>2624</v>
      </c>
      <c r="B922" s="32" t="s">
        <v>2625</v>
      </c>
      <c r="C922" s="33">
        <v>45772.0</v>
      </c>
      <c r="D922" s="34" t="s">
        <v>22</v>
      </c>
      <c r="E922" s="32" t="s">
        <v>325</v>
      </c>
      <c r="F922" s="34" t="s">
        <v>156</v>
      </c>
      <c r="G922" s="34" t="s">
        <v>257</v>
      </c>
      <c r="H922" s="35" t="s">
        <v>26</v>
      </c>
      <c r="I922" s="35" t="s">
        <v>27</v>
      </c>
      <c r="J922" s="57"/>
      <c r="K922" s="57"/>
      <c r="L922" s="84"/>
    </row>
    <row r="923">
      <c r="A923" s="31" t="s">
        <v>2626</v>
      </c>
      <c r="B923" s="32" t="s">
        <v>2627</v>
      </c>
      <c r="C923" s="33">
        <v>45772.0</v>
      </c>
      <c r="D923" s="34" t="s">
        <v>22</v>
      </c>
      <c r="E923" s="32" t="s">
        <v>613</v>
      </c>
      <c r="F923" s="34" t="s">
        <v>24</v>
      </c>
      <c r="G923" s="34" t="s">
        <v>437</v>
      </c>
      <c r="H923" s="35" t="s">
        <v>26</v>
      </c>
      <c r="I923" s="35" t="s">
        <v>27</v>
      </c>
      <c r="J923" s="35" t="s">
        <v>100</v>
      </c>
      <c r="K923" s="57"/>
      <c r="L923" s="84"/>
    </row>
    <row r="924">
      <c r="A924" s="31" t="s">
        <v>2628</v>
      </c>
      <c r="B924" s="32" t="s">
        <v>2629</v>
      </c>
      <c r="C924" s="33">
        <v>45772.0</v>
      </c>
      <c r="D924" s="34" t="s">
        <v>22</v>
      </c>
      <c r="E924" s="32" t="s">
        <v>2498</v>
      </c>
      <c r="F924" s="34" t="s">
        <v>24</v>
      </c>
      <c r="G924" s="34" t="s">
        <v>494</v>
      </c>
      <c r="H924" s="35" t="s">
        <v>26</v>
      </c>
      <c r="I924" s="35" t="s">
        <v>27</v>
      </c>
      <c r="J924" s="35" t="s">
        <v>100</v>
      </c>
      <c r="K924" s="57"/>
      <c r="L924" s="84"/>
    </row>
    <row r="925">
      <c r="A925" s="31" t="s">
        <v>2630</v>
      </c>
      <c r="B925" s="32" t="s">
        <v>2631</v>
      </c>
      <c r="C925" s="33">
        <v>45772.0</v>
      </c>
      <c r="D925" s="34" t="s">
        <v>22</v>
      </c>
      <c r="E925" s="32" t="s">
        <v>2632</v>
      </c>
      <c r="F925" s="34" t="s">
        <v>156</v>
      </c>
      <c r="G925" s="34" t="s">
        <v>2633</v>
      </c>
      <c r="H925" s="35" t="s">
        <v>26</v>
      </c>
      <c r="I925" s="35" t="s">
        <v>27</v>
      </c>
      <c r="J925" s="57"/>
      <c r="K925" s="57"/>
      <c r="L925" s="84"/>
    </row>
    <row r="926">
      <c r="A926" s="31" t="s">
        <v>2634</v>
      </c>
      <c r="B926" s="32" t="s">
        <v>2635</v>
      </c>
      <c r="C926" s="33">
        <v>45772.0</v>
      </c>
      <c r="D926" s="34" t="s">
        <v>22</v>
      </c>
      <c r="E926" s="32" t="s">
        <v>513</v>
      </c>
      <c r="F926" s="34" t="s">
        <v>156</v>
      </c>
      <c r="G926" s="34" t="s">
        <v>2636</v>
      </c>
      <c r="H926" s="35" t="s">
        <v>26</v>
      </c>
      <c r="I926" s="35" t="s">
        <v>27</v>
      </c>
      <c r="J926" s="35" t="s">
        <v>100</v>
      </c>
      <c r="K926" s="57"/>
      <c r="L926" s="84"/>
    </row>
    <row r="927">
      <c r="A927" s="31" t="s">
        <v>2637</v>
      </c>
      <c r="B927" s="32" t="s">
        <v>2638</v>
      </c>
      <c r="C927" s="33">
        <v>45772.0</v>
      </c>
      <c r="D927" s="47" t="s">
        <v>22</v>
      </c>
      <c r="E927" s="32" t="s">
        <v>1138</v>
      </c>
      <c r="F927" s="34" t="s">
        <v>24</v>
      </c>
      <c r="G927" s="34" t="s">
        <v>257</v>
      </c>
      <c r="H927" s="35" t="s">
        <v>26</v>
      </c>
      <c r="I927" s="35" t="s">
        <v>27</v>
      </c>
      <c r="J927" s="35" t="s">
        <v>100</v>
      </c>
      <c r="K927" s="57"/>
      <c r="L927" s="84"/>
    </row>
    <row r="928">
      <c r="A928" s="32" t="s">
        <v>2639</v>
      </c>
      <c r="B928" s="32" t="s">
        <v>2640</v>
      </c>
      <c r="C928" s="33">
        <v>45772.0</v>
      </c>
      <c r="D928" s="34" t="s">
        <v>22</v>
      </c>
      <c r="E928" s="32" t="s">
        <v>61</v>
      </c>
      <c r="F928" s="34" t="s">
        <v>24</v>
      </c>
      <c r="G928" s="34" t="s">
        <v>2641</v>
      </c>
      <c r="H928" s="35" t="s">
        <v>26</v>
      </c>
      <c r="I928" s="35" t="s">
        <v>27</v>
      </c>
      <c r="J928" s="35" t="s">
        <v>100</v>
      </c>
      <c r="K928" s="57"/>
      <c r="L928" s="84"/>
    </row>
    <row r="929">
      <c r="A929" s="32" t="s">
        <v>2642</v>
      </c>
      <c r="B929" s="32" t="s">
        <v>2643</v>
      </c>
      <c r="C929" s="33">
        <v>45772.0</v>
      </c>
      <c r="D929" s="34" t="s">
        <v>22</v>
      </c>
      <c r="E929" s="32" t="s">
        <v>61</v>
      </c>
      <c r="F929" s="34" t="s">
        <v>24</v>
      </c>
      <c r="G929" s="34" t="s">
        <v>2644</v>
      </c>
      <c r="H929" s="35" t="s">
        <v>26</v>
      </c>
      <c r="I929" s="35" t="s">
        <v>27</v>
      </c>
      <c r="J929" s="57"/>
      <c r="K929" s="57"/>
      <c r="L929" s="84"/>
    </row>
    <row r="930">
      <c r="A930" s="32" t="s">
        <v>2645</v>
      </c>
      <c r="B930" s="32" t="s">
        <v>2646</v>
      </c>
      <c r="C930" s="33">
        <v>45772.0</v>
      </c>
      <c r="D930" s="34" t="s">
        <v>22</v>
      </c>
      <c r="E930" s="32" t="s">
        <v>707</v>
      </c>
      <c r="F930" s="34" t="s">
        <v>53</v>
      </c>
      <c r="G930" s="34" t="s">
        <v>2647</v>
      </c>
      <c r="H930" s="35" t="s">
        <v>26</v>
      </c>
      <c r="I930" s="35" t="s">
        <v>27</v>
      </c>
      <c r="J930" s="35" t="s">
        <v>100</v>
      </c>
      <c r="K930" s="57"/>
      <c r="L930" s="84"/>
    </row>
    <row r="931">
      <c r="A931" s="32" t="s">
        <v>2648</v>
      </c>
      <c r="B931" s="32" t="s">
        <v>2649</v>
      </c>
      <c r="C931" s="33">
        <v>45772.0</v>
      </c>
      <c r="D931" s="69" t="s">
        <v>22</v>
      </c>
      <c r="E931" s="32" t="s">
        <v>1807</v>
      </c>
      <c r="F931" s="34" t="s">
        <v>24</v>
      </c>
      <c r="G931" s="34" t="s">
        <v>2650</v>
      </c>
      <c r="H931" s="35" t="s">
        <v>26</v>
      </c>
      <c r="I931" s="35" t="s">
        <v>27</v>
      </c>
      <c r="J931" s="57"/>
      <c r="K931" s="57"/>
      <c r="L931" s="84"/>
    </row>
    <row r="932">
      <c r="A932" s="32" t="s">
        <v>2651</v>
      </c>
      <c r="B932" s="32" t="s">
        <v>2652</v>
      </c>
      <c r="C932" s="33">
        <v>45772.0</v>
      </c>
      <c r="D932" s="34" t="s">
        <v>39</v>
      </c>
      <c r="E932" s="32" t="s">
        <v>2653</v>
      </c>
      <c r="F932" s="34" t="s">
        <v>24</v>
      </c>
      <c r="G932" s="34" t="s">
        <v>1245</v>
      </c>
      <c r="H932" s="35" t="s">
        <v>26</v>
      </c>
      <c r="I932" s="35" t="s">
        <v>27</v>
      </c>
      <c r="J932" s="57"/>
      <c r="K932" s="57"/>
      <c r="L932" s="84"/>
    </row>
    <row r="933">
      <c r="A933" s="32" t="s">
        <v>2654</v>
      </c>
      <c r="B933" s="32" t="s">
        <v>2655</v>
      </c>
      <c r="C933" s="33">
        <v>45772.0</v>
      </c>
      <c r="D933" s="34" t="s">
        <v>22</v>
      </c>
      <c r="E933" s="32" t="s">
        <v>1150</v>
      </c>
      <c r="F933" s="34" t="s">
        <v>24</v>
      </c>
      <c r="G933" s="34" t="s">
        <v>221</v>
      </c>
      <c r="H933" s="35" t="s">
        <v>26</v>
      </c>
      <c r="I933" s="35" t="s">
        <v>27</v>
      </c>
      <c r="J933" s="35" t="s">
        <v>100</v>
      </c>
      <c r="K933" s="57"/>
      <c r="L933" s="84"/>
    </row>
    <row r="934">
      <c r="A934" s="32" t="s">
        <v>2656</v>
      </c>
      <c r="B934" s="32" t="s">
        <v>2657</v>
      </c>
      <c r="C934" s="33">
        <v>45772.0</v>
      </c>
      <c r="D934" s="34" t="s">
        <v>22</v>
      </c>
      <c r="E934" s="32" t="s">
        <v>2658</v>
      </c>
      <c r="F934" s="34" t="s">
        <v>156</v>
      </c>
      <c r="G934" s="34" t="s">
        <v>257</v>
      </c>
      <c r="H934" s="35" t="s">
        <v>26</v>
      </c>
      <c r="I934" s="35" t="s">
        <v>27</v>
      </c>
      <c r="J934" s="57"/>
      <c r="K934" s="57"/>
      <c r="L934" s="84"/>
    </row>
    <row r="935">
      <c r="A935" s="32" t="s">
        <v>2659</v>
      </c>
      <c r="B935" s="32" t="s">
        <v>2660</v>
      </c>
      <c r="C935" s="33">
        <v>45772.0</v>
      </c>
      <c r="D935" s="34" t="s">
        <v>22</v>
      </c>
      <c r="E935" s="32" t="s">
        <v>2661</v>
      </c>
      <c r="F935" s="34" t="s">
        <v>24</v>
      </c>
      <c r="G935" s="34" t="s">
        <v>599</v>
      </c>
      <c r="H935" s="35" t="s">
        <v>26</v>
      </c>
      <c r="I935" s="35" t="s">
        <v>27</v>
      </c>
      <c r="J935" s="57"/>
      <c r="K935" s="57"/>
      <c r="L935" s="84"/>
    </row>
    <row r="936">
      <c r="A936" s="32" t="s">
        <v>2662</v>
      </c>
      <c r="B936" s="32" t="s">
        <v>2663</v>
      </c>
      <c r="C936" s="33">
        <v>45772.0</v>
      </c>
      <c r="D936" s="34" t="s">
        <v>22</v>
      </c>
      <c r="E936" s="32" t="s">
        <v>2664</v>
      </c>
      <c r="F936" s="34" t="s">
        <v>24</v>
      </c>
      <c r="G936" s="34" t="s">
        <v>792</v>
      </c>
      <c r="H936" s="35" t="s">
        <v>26</v>
      </c>
      <c r="I936" s="35" t="s">
        <v>27</v>
      </c>
      <c r="J936" s="35" t="s">
        <v>100</v>
      </c>
      <c r="K936" s="57"/>
      <c r="L936" s="84"/>
    </row>
    <row r="937">
      <c r="A937" s="32" t="s">
        <v>2665</v>
      </c>
      <c r="B937" s="32" t="s">
        <v>1376</v>
      </c>
      <c r="C937" s="33">
        <v>45772.0</v>
      </c>
      <c r="D937" s="47" t="s">
        <v>22</v>
      </c>
      <c r="E937" s="32" t="s">
        <v>284</v>
      </c>
      <c r="F937" s="34" t="s">
        <v>24</v>
      </c>
      <c r="G937" s="34" t="s">
        <v>225</v>
      </c>
      <c r="H937" s="35" t="s">
        <v>26</v>
      </c>
      <c r="I937" s="35" t="s">
        <v>27</v>
      </c>
      <c r="J937" s="57"/>
      <c r="K937" s="57"/>
      <c r="L937" s="84"/>
    </row>
    <row r="938">
      <c r="A938" s="32" t="s">
        <v>2666</v>
      </c>
      <c r="B938" s="32" t="s">
        <v>2667</v>
      </c>
      <c r="C938" s="33">
        <v>45772.0</v>
      </c>
      <c r="D938" s="47" t="s">
        <v>39</v>
      </c>
      <c r="E938" s="32" t="s">
        <v>632</v>
      </c>
      <c r="F938" s="34" t="s">
        <v>24</v>
      </c>
      <c r="G938" s="34" t="s">
        <v>1340</v>
      </c>
      <c r="H938" s="35" t="s">
        <v>26</v>
      </c>
      <c r="I938" s="35" t="s">
        <v>27</v>
      </c>
      <c r="J938" s="35" t="s">
        <v>100</v>
      </c>
      <c r="K938" s="57"/>
      <c r="L938" s="84"/>
    </row>
    <row r="939">
      <c r="A939" s="32" t="s">
        <v>2668</v>
      </c>
      <c r="B939" s="32" t="s">
        <v>2669</v>
      </c>
      <c r="C939" s="33">
        <v>45772.0</v>
      </c>
      <c r="D939" s="47" t="s">
        <v>22</v>
      </c>
      <c r="E939" s="32" t="s">
        <v>61</v>
      </c>
      <c r="F939" s="34" t="s">
        <v>24</v>
      </c>
      <c r="G939" s="34" t="s">
        <v>2670</v>
      </c>
      <c r="H939" s="35" t="s">
        <v>26</v>
      </c>
      <c r="I939" s="35" t="s">
        <v>27</v>
      </c>
      <c r="J939" s="35" t="s">
        <v>100</v>
      </c>
      <c r="K939" s="57"/>
      <c r="L939" s="84"/>
    </row>
    <row r="940">
      <c r="A940" s="32" t="s">
        <v>2671</v>
      </c>
      <c r="B940" s="32" t="s">
        <v>2672</v>
      </c>
      <c r="C940" s="33">
        <v>45772.0</v>
      </c>
      <c r="D940" s="34" t="s">
        <v>22</v>
      </c>
      <c r="E940" s="32" t="s">
        <v>2673</v>
      </c>
      <c r="F940" s="34" t="s">
        <v>53</v>
      </c>
      <c r="G940" s="34" t="s">
        <v>193</v>
      </c>
      <c r="H940" s="35" t="s">
        <v>26</v>
      </c>
      <c r="I940" s="35" t="s">
        <v>27</v>
      </c>
      <c r="J940" s="35" t="s">
        <v>100</v>
      </c>
      <c r="K940" s="57"/>
      <c r="L940" s="84"/>
    </row>
    <row r="941">
      <c r="A941" s="32" t="s">
        <v>2674</v>
      </c>
      <c r="B941" s="32" t="s">
        <v>2675</v>
      </c>
      <c r="C941" s="33">
        <v>45772.0</v>
      </c>
      <c r="D941" s="34" t="s">
        <v>22</v>
      </c>
      <c r="E941" s="32" t="s">
        <v>1758</v>
      </c>
      <c r="F941" s="34" t="s">
        <v>24</v>
      </c>
      <c r="G941" s="34" t="s">
        <v>2676</v>
      </c>
      <c r="H941" s="35" t="s">
        <v>26</v>
      </c>
      <c r="I941" s="35" t="s">
        <v>27</v>
      </c>
      <c r="J941" s="35" t="s">
        <v>100</v>
      </c>
      <c r="K941" s="57"/>
      <c r="L941" s="84"/>
    </row>
    <row r="942">
      <c r="A942" s="32" t="s">
        <v>2677</v>
      </c>
      <c r="B942" s="32" t="s">
        <v>2678</v>
      </c>
      <c r="C942" s="33">
        <v>45772.0</v>
      </c>
      <c r="D942" s="34" t="s">
        <v>39</v>
      </c>
      <c r="E942" s="32" t="s">
        <v>2679</v>
      </c>
      <c r="F942" s="34" t="s">
        <v>24</v>
      </c>
      <c r="G942" s="34" t="s">
        <v>62</v>
      </c>
      <c r="H942" s="35" t="s">
        <v>26</v>
      </c>
      <c r="I942" s="35" t="s">
        <v>27</v>
      </c>
      <c r="J942" s="57"/>
      <c r="K942" s="57"/>
      <c r="L942" s="84"/>
    </row>
    <row r="943">
      <c r="A943" s="32" t="s">
        <v>2680</v>
      </c>
      <c r="B943" s="32" t="s">
        <v>2681</v>
      </c>
      <c r="C943" s="33">
        <v>45772.0</v>
      </c>
      <c r="D943" s="34" t="s">
        <v>22</v>
      </c>
      <c r="E943" s="32" t="s">
        <v>535</v>
      </c>
      <c r="F943" s="34" t="s">
        <v>24</v>
      </c>
      <c r="G943" s="34" t="s">
        <v>249</v>
      </c>
      <c r="H943" s="35" t="s">
        <v>26</v>
      </c>
      <c r="I943" s="58" t="str">
        <f>HYPERLINK("https://open.spotify.com/album/75PkPBNlqfi9fASZvP3xMx", "S")</f>
        <v>S</v>
      </c>
      <c r="J943" s="57"/>
      <c r="K943" s="57"/>
      <c r="L943" s="84"/>
    </row>
    <row r="944">
      <c r="A944" s="32" t="s">
        <v>2682</v>
      </c>
      <c r="B944" s="32" t="s">
        <v>2683</v>
      </c>
      <c r="C944" s="33">
        <v>45772.0</v>
      </c>
      <c r="D944" s="47" t="s">
        <v>22</v>
      </c>
      <c r="E944" s="32" t="s">
        <v>2684</v>
      </c>
      <c r="F944" s="34" t="s">
        <v>53</v>
      </c>
      <c r="G944" s="34" t="s">
        <v>1261</v>
      </c>
      <c r="H944" s="35" t="s">
        <v>26</v>
      </c>
      <c r="I944" s="35" t="s">
        <v>27</v>
      </c>
      <c r="J944" s="57"/>
      <c r="K944" s="57"/>
      <c r="L944" s="84"/>
    </row>
    <row r="945">
      <c r="A945" s="31" t="s">
        <v>2685</v>
      </c>
      <c r="B945" s="32" t="s">
        <v>2686</v>
      </c>
      <c r="C945" s="33">
        <v>45772.0</v>
      </c>
      <c r="D945" s="47" t="s">
        <v>22</v>
      </c>
      <c r="E945" s="32" t="s">
        <v>1540</v>
      </c>
      <c r="F945" s="34" t="s">
        <v>53</v>
      </c>
      <c r="G945" s="34" t="s">
        <v>199</v>
      </c>
      <c r="H945" s="35" t="s">
        <v>26</v>
      </c>
      <c r="I945" s="58" t="str">
        <f>HYPERLINK("https://open.spotify.com/album/4q1SbgaSulcWhZ3rFnl5DU", "S")</f>
        <v>S</v>
      </c>
      <c r="J945" s="57"/>
      <c r="K945" s="57"/>
      <c r="L945" s="84"/>
    </row>
    <row r="946">
      <c r="A946" s="32" t="s">
        <v>2687</v>
      </c>
      <c r="B946" s="32" t="s">
        <v>2688</v>
      </c>
      <c r="C946" s="33">
        <v>45772.0</v>
      </c>
      <c r="D946" s="34" t="s">
        <v>22</v>
      </c>
      <c r="E946" s="32" t="s">
        <v>2689</v>
      </c>
      <c r="F946" s="34" t="s">
        <v>53</v>
      </c>
      <c r="G946" s="34" t="s">
        <v>292</v>
      </c>
      <c r="H946" s="35" t="s">
        <v>26</v>
      </c>
      <c r="I946" s="35" t="s">
        <v>27</v>
      </c>
      <c r="J946" s="57"/>
      <c r="K946" s="57"/>
      <c r="L946" s="84"/>
    </row>
    <row r="947">
      <c r="A947" s="32" t="s">
        <v>2690</v>
      </c>
      <c r="B947" s="32" t="s">
        <v>2691</v>
      </c>
      <c r="C947" s="33">
        <v>45772.0</v>
      </c>
      <c r="D947" s="34" t="s">
        <v>22</v>
      </c>
      <c r="E947" s="32" t="s">
        <v>2692</v>
      </c>
      <c r="F947" s="34" t="s">
        <v>156</v>
      </c>
      <c r="G947" s="34" t="s">
        <v>302</v>
      </c>
      <c r="H947" s="35" t="s">
        <v>26</v>
      </c>
      <c r="I947" s="35" t="s">
        <v>27</v>
      </c>
      <c r="J947" s="57"/>
      <c r="K947" s="57"/>
      <c r="L947" s="84"/>
    </row>
    <row r="948">
      <c r="A948" s="32" t="s">
        <v>2693</v>
      </c>
      <c r="B948" s="32" t="s">
        <v>2693</v>
      </c>
      <c r="C948" s="33">
        <v>45772.0</v>
      </c>
      <c r="D948" s="47" t="s">
        <v>39</v>
      </c>
      <c r="E948" s="32" t="s">
        <v>263</v>
      </c>
      <c r="F948" s="34" t="s">
        <v>31</v>
      </c>
      <c r="G948" s="34" t="s">
        <v>2694</v>
      </c>
      <c r="H948" s="35" t="s">
        <v>26</v>
      </c>
      <c r="I948" s="35" t="s">
        <v>27</v>
      </c>
      <c r="J948" s="57"/>
      <c r="K948" s="57"/>
      <c r="L948" s="84"/>
    </row>
    <row r="949">
      <c r="A949" s="32" t="s">
        <v>2695</v>
      </c>
      <c r="B949" s="32" t="s">
        <v>2696</v>
      </c>
      <c r="C949" s="33">
        <v>45774.0</v>
      </c>
      <c r="D949" s="34" t="s">
        <v>22</v>
      </c>
      <c r="E949" s="32" t="s">
        <v>122</v>
      </c>
      <c r="F949" s="34" t="s">
        <v>53</v>
      </c>
      <c r="G949" s="34" t="s">
        <v>2697</v>
      </c>
      <c r="H949" s="35" t="s">
        <v>26</v>
      </c>
      <c r="I949" s="35" t="s">
        <v>27</v>
      </c>
      <c r="J949" s="57"/>
      <c r="K949" s="57"/>
      <c r="L949" s="84"/>
    </row>
    <row r="950">
      <c r="A950" s="32" t="s">
        <v>2698</v>
      </c>
      <c r="B950" s="32" t="s">
        <v>2699</v>
      </c>
      <c r="C950" s="33">
        <v>45775.0</v>
      </c>
      <c r="D950" s="34" t="s">
        <v>22</v>
      </c>
      <c r="E950" s="32" t="s">
        <v>2700</v>
      </c>
      <c r="F950" s="34" t="s">
        <v>24</v>
      </c>
      <c r="G950" s="34" t="s">
        <v>1127</v>
      </c>
      <c r="H950" s="35" t="s">
        <v>26</v>
      </c>
      <c r="I950" s="36" t="str">
        <f>HYPERLINK("https://open.spotify.com/album/2JrkMGOXXbSgQzaWkHJMMo", "S")</f>
        <v>S</v>
      </c>
      <c r="J950" s="57"/>
      <c r="K950" s="57"/>
      <c r="L950" s="84"/>
    </row>
    <row r="951">
      <c r="A951" s="32" t="s">
        <v>2701</v>
      </c>
      <c r="B951" s="32" t="s">
        <v>2702</v>
      </c>
      <c r="C951" s="33">
        <v>45776.0</v>
      </c>
      <c r="D951" s="34" t="s">
        <v>22</v>
      </c>
      <c r="E951" s="32" t="s">
        <v>406</v>
      </c>
      <c r="F951" s="34" t="s">
        <v>24</v>
      </c>
      <c r="G951" s="34" t="s">
        <v>2703</v>
      </c>
      <c r="H951" s="35" t="s">
        <v>26</v>
      </c>
      <c r="I951" s="36" t="str">
        <f>HYPERLINK("https://open.spotify.com/album/5jUXnfWUbtNrKnih4IOF6H", "S")</f>
        <v>S</v>
      </c>
      <c r="J951" s="57"/>
      <c r="K951" s="57"/>
      <c r="L951" s="84"/>
    </row>
    <row r="952">
      <c r="A952" s="32" t="s">
        <v>2704</v>
      </c>
      <c r="B952" s="32" t="s">
        <v>2705</v>
      </c>
      <c r="C952" s="33">
        <v>45776.0</v>
      </c>
      <c r="D952" s="34" t="s">
        <v>22</v>
      </c>
      <c r="E952" s="32" t="s">
        <v>2706</v>
      </c>
      <c r="F952" s="34" t="s">
        <v>31</v>
      </c>
      <c r="G952" s="34" t="s">
        <v>2707</v>
      </c>
      <c r="H952" s="35" t="s">
        <v>26</v>
      </c>
      <c r="I952" s="35" t="s">
        <v>27</v>
      </c>
      <c r="J952" s="57"/>
      <c r="K952" s="57"/>
      <c r="L952" s="84"/>
    </row>
    <row r="953">
      <c r="A953" s="31" t="s">
        <v>2708</v>
      </c>
      <c r="B953" s="32" t="s">
        <v>2709</v>
      </c>
      <c r="C953" s="33">
        <v>45777.0</v>
      </c>
      <c r="D953" s="34" t="s">
        <v>22</v>
      </c>
      <c r="E953" s="32" t="s">
        <v>2710</v>
      </c>
      <c r="F953" s="34" t="s">
        <v>24</v>
      </c>
      <c r="G953" s="34" t="s">
        <v>2711</v>
      </c>
      <c r="H953" s="35" t="s">
        <v>26</v>
      </c>
      <c r="I953" s="36" t="str">
        <f>HYPERLINK("https://open.spotify.com/album/3Z1LmKBBLn5buhelAXVdmm", "S")</f>
        <v>S</v>
      </c>
      <c r="J953" s="57"/>
      <c r="K953" s="57"/>
      <c r="L953" s="84"/>
    </row>
    <row r="954">
      <c r="A954" s="31" t="s">
        <v>2712</v>
      </c>
      <c r="B954" s="32" t="s">
        <v>2713</v>
      </c>
      <c r="C954" s="33">
        <v>45777.0</v>
      </c>
      <c r="D954" s="47" t="s">
        <v>22</v>
      </c>
      <c r="E954" s="32" t="s">
        <v>160</v>
      </c>
      <c r="F954" s="34" t="s">
        <v>53</v>
      </c>
      <c r="G954" s="34" t="s">
        <v>257</v>
      </c>
      <c r="H954" s="35" t="s">
        <v>26</v>
      </c>
      <c r="I954" s="36" t="str">
        <f>HYPERLINK("https://open.spotify.com/album/7oY1J5sA4UMB4jWmDk4ZXY", "S")</f>
        <v>S</v>
      </c>
      <c r="J954" s="57"/>
      <c r="K954" s="57"/>
      <c r="L954" s="84"/>
    </row>
    <row r="955">
      <c r="A955" s="32" t="s">
        <v>2714</v>
      </c>
      <c r="B955" s="32" t="s">
        <v>2715</v>
      </c>
      <c r="C955" s="33">
        <v>45777.0</v>
      </c>
      <c r="D955" s="34" t="s">
        <v>22</v>
      </c>
      <c r="E955" s="32" t="s">
        <v>1701</v>
      </c>
      <c r="F955" s="34" t="s">
        <v>24</v>
      </c>
      <c r="G955" s="34" t="s">
        <v>2716</v>
      </c>
      <c r="H955" s="35" t="s">
        <v>26</v>
      </c>
      <c r="I955" s="36" t="str">
        <f>HYPERLINK("https://open.spotify.com/album/1mTUkc73Kse0qI6C6hbVvh", "S")</f>
        <v>S</v>
      </c>
      <c r="J955" s="57"/>
      <c r="K955" s="57"/>
      <c r="L955" s="84"/>
    </row>
    <row r="956">
      <c r="A956" s="32" t="s">
        <v>2717</v>
      </c>
      <c r="B956" s="32" t="s">
        <v>2718</v>
      </c>
      <c r="C956" s="33">
        <v>45777.0</v>
      </c>
      <c r="D956" s="47" t="s">
        <v>22</v>
      </c>
      <c r="E956" s="32" t="s">
        <v>160</v>
      </c>
      <c r="F956" s="34" t="s">
        <v>24</v>
      </c>
      <c r="G956" s="34" t="s">
        <v>2719</v>
      </c>
      <c r="H956" s="35" t="s">
        <v>26</v>
      </c>
      <c r="I956" s="57"/>
      <c r="J956" s="57"/>
      <c r="K956" s="57"/>
      <c r="L956" s="84"/>
    </row>
    <row r="957">
      <c r="A957" s="31" t="s">
        <v>2720</v>
      </c>
      <c r="B957" s="32" t="s">
        <v>2721</v>
      </c>
      <c r="C957" s="33">
        <v>45778.0</v>
      </c>
      <c r="D957" s="34" t="s">
        <v>22</v>
      </c>
      <c r="E957" s="32" t="s">
        <v>2722</v>
      </c>
      <c r="F957" s="34" t="s">
        <v>53</v>
      </c>
      <c r="G957" s="34" t="s">
        <v>442</v>
      </c>
      <c r="H957" s="35" t="s">
        <v>26</v>
      </c>
      <c r="I957" s="35" t="s">
        <v>27</v>
      </c>
      <c r="J957" s="57"/>
      <c r="K957" s="57"/>
      <c r="L957" s="84"/>
    </row>
    <row r="958">
      <c r="A958" s="32" t="s">
        <v>2723</v>
      </c>
      <c r="B958" s="32" t="s">
        <v>2724</v>
      </c>
      <c r="C958" s="33">
        <v>45778.0</v>
      </c>
      <c r="D958" s="47" t="s">
        <v>22</v>
      </c>
      <c r="E958" s="32" t="s">
        <v>406</v>
      </c>
      <c r="F958" s="34" t="s">
        <v>53</v>
      </c>
      <c r="G958" s="34" t="s">
        <v>2725</v>
      </c>
      <c r="H958" s="35" t="s">
        <v>26</v>
      </c>
      <c r="I958" s="35" t="s">
        <v>27</v>
      </c>
      <c r="J958" s="57"/>
      <c r="K958" s="57"/>
      <c r="L958" s="84"/>
    </row>
    <row r="959">
      <c r="A959" s="32" t="s">
        <v>2726</v>
      </c>
      <c r="B959" s="32" t="s">
        <v>2727</v>
      </c>
      <c r="C959" s="33">
        <v>45778.0</v>
      </c>
      <c r="D959" s="34" t="s">
        <v>22</v>
      </c>
      <c r="E959" s="32" t="s">
        <v>61</v>
      </c>
      <c r="F959" s="34" t="s">
        <v>24</v>
      </c>
      <c r="G959" s="34" t="s">
        <v>336</v>
      </c>
      <c r="H959" s="35" t="s">
        <v>26</v>
      </c>
      <c r="I959" s="57"/>
      <c r="J959" s="57"/>
      <c r="K959" s="57"/>
      <c r="L959" s="84"/>
    </row>
    <row r="960">
      <c r="A960" s="32" t="s">
        <v>2728</v>
      </c>
      <c r="B960" s="32" t="s">
        <v>2729</v>
      </c>
      <c r="C960" s="33">
        <v>45778.0</v>
      </c>
      <c r="D960" s="47" t="s">
        <v>22</v>
      </c>
      <c r="E960" s="32" t="s">
        <v>2730</v>
      </c>
      <c r="F960" s="34" t="s">
        <v>53</v>
      </c>
      <c r="G960" s="34" t="s">
        <v>2731</v>
      </c>
      <c r="H960" s="35" t="s">
        <v>26</v>
      </c>
      <c r="I960" s="36" t="str">
        <f>HYPERLINK("https://open.spotify.com/album/12laeKM9VQFEWrHSwJCbf6", "S")</f>
        <v>S</v>
      </c>
      <c r="J960" s="57"/>
      <c r="K960" s="57"/>
      <c r="L960" s="84"/>
    </row>
    <row r="961">
      <c r="A961" s="32" t="s">
        <v>2732</v>
      </c>
      <c r="B961" s="32" t="s">
        <v>2733</v>
      </c>
      <c r="C961" s="33">
        <v>45779.0</v>
      </c>
      <c r="D961" s="47" t="s">
        <v>39</v>
      </c>
      <c r="E961" s="32" t="s">
        <v>2734</v>
      </c>
      <c r="F961" s="34" t="s">
        <v>24</v>
      </c>
      <c r="G961" s="34" t="s">
        <v>884</v>
      </c>
      <c r="H961" s="35" t="s">
        <v>26</v>
      </c>
      <c r="I961" s="57"/>
      <c r="J961" s="57"/>
      <c r="K961" s="57"/>
      <c r="L961" s="84"/>
    </row>
    <row r="962">
      <c r="A962" s="32" t="s">
        <v>2735</v>
      </c>
      <c r="B962" s="32" t="s">
        <v>2736</v>
      </c>
      <c r="C962" s="33">
        <v>45779.0</v>
      </c>
      <c r="D962" s="69" t="s">
        <v>22</v>
      </c>
      <c r="E962" s="32" t="s">
        <v>176</v>
      </c>
      <c r="F962" s="34" t="s">
        <v>156</v>
      </c>
      <c r="G962" s="34" t="s">
        <v>767</v>
      </c>
      <c r="H962" s="35" t="s">
        <v>26</v>
      </c>
      <c r="I962" s="66"/>
      <c r="J962" s="57"/>
      <c r="K962" s="57"/>
      <c r="L962" s="84"/>
    </row>
    <row r="963">
      <c r="A963" s="32" t="s">
        <v>2737</v>
      </c>
      <c r="B963" s="32" t="s">
        <v>2738</v>
      </c>
      <c r="C963" s="33">
        <v>45779.0</v>
      </c>
      <c r="D963" s="69" t="s">
        <v>22</v>
      </c>
      <c r="E963" s="32" t="s">
        <v>1458</v>
      </c>
      <c r="F963" s="34" t="s">
        <v>53</v>
      </c>
      <c r="G963" s="34" t="s">
        <v>646</v>
      </c>
      <c r="H963" s="35" t="s">
        <v>26</v>
      </c>
      <c r="I963" s="35" t="s">
        <v>27</v>
      </c>
      <c r="J963" s="57"/>
      <c r="K963" s="57"/>
      <c r="L963" s="84"/>
    </row>
    <row r="964">
      <c r="A964" s="32" t="s">
        <v>2739</v>
      </c>
      <c r="B964" s="32" t="s">
        <v>2740</v>
      </c>
      <c r="C964" s="33">
        <v>45779.0</v>
      </c>
      <c r="D964" s="34" t="s">
        <v>22</v>
      </c>
      <c r="E964" s="32" t="s">
        <v>2741</v>
      </c>
      <c r="F964" s="34" t="s">
        <v>53</v>
      </c>
      <c r="G964" s="34" t="s">
        <v>2742</v>
      </c>
      <c r="H964" s="35" t="s">
        <v>26</v>
      </c>
      <c r="I964" s="35" t="s">
        <v>27</v>
      </c>
      <c r="J964" s="57"/>
      <c r="K964" s="57"/>
      <c r="L964" s="84"/>
    </row>
    <row r="965">
      <c r="A965" s="32" t="s">
        <v>2743</v>
      </c>
      <c r="B965" s="32" t="s">
        <v>2743</v>
      </c>
      <c r="C965" s="33">
        <v>45779.0</v>
      </c>
      <c r="D965" s="47" t="s">
        <v>22</v>
      </c>
      <c r="E965" s="32" t="s">
        <v>122</v>
      </c>
      <c r="F965" s="34" t="s">
        <v>53</v>
      </c>
      <c r="G965" s="34" t="s">
        <v>1808</v>
      </c>
      <c r="H965" s="35" t="s">
        <v>26</v>
      </c>
      <c r="I965" s="35" t="s">
        <v>27</v>
      </c>
      <c r="J965" s="57"/>
      <c r="K965" s="57"/>
      <c r="L965" s="84"/>
    </row>
    <row r="966">
      <c r="A966" s="31" t="s">
        <v>2744</v>
      </c>
      <c r="B966" s="32" t="s">
        <v>2745</v>
      </c>
      <c r="C966" s="33">
        <v>45779.0</v>
      </c>
      <c r="D966" s="34" t="s">
        <v>22</v>
      </c>
      <c r="E966" s="32" t="s">
        <v>61</v>
      </c>
      <c r="F966" s="34" t="s">
        <v>24</v>
      </c>
      <c r="G966" s="34" t="s">
        <v>199</v>
      </c>
      <c r="H966" s="35" t="s">
        <v>26</v>
      </c>
      <c r="I966" s="35" t="s">
        <v>27</v>
      </c>
      <c r="J966" s="35" t="s">
        <v>100</v>
      </c>
      <c r="K966" s="57"/>
      <c r="L966" s="84"/>
    </row>
    <row r="967">
      <c r="A967" s="32" t="s">
        <v>2746</v>
      </c>
      <c r="B967" s="32" t="s">
        <v>2747</v>
      </c>
      <c r="C967" s="33">
        <v>45779.0</v>
      </c>
      <c r="D967" s="34" t="s">
        <v>22</v>
      </c>
      <c r="E967" s="32" t="s">
        <v>416</v>
      </c>
      <c r="F967" s="34" t="s">
        <v>53</v>
      </c>
      <c r="G967" s="34" t="s">
        <v>70</v>
      </c>
      <c r="H967" s="35" t="s">
        <v>26</v>
      </c>
      <c r="I967" s="35" t="s">
        <v>27</v>
      </c>
      <c r="J967" s="57"/>
      <c r="K967" s="57"/>
      <c r="L967" s="84"/>
    </row>
    <row r="968">
      <c r="A968" s="32" t="s">
        <v>2748</v>
      </c>
      <c r="B968" s="32" t="s">
        <v>2749</v>
      </c>
      <c r="C968" s="33">
        <v>45779.0</v>
      </c>
      <c r="D968" s="34" t="s">
        <v>22</v>
      </c>
      <c r="E968" s="32" t="s">
        <v>479</v>
      </c>
      <c r="F968" s="34" t="s">
        <v>24</v>
      </c>
      <c r="G968" s="34" t="s">
        <v>2644</v>
      </c>
      <c r="H968" s="35" t="s">
        <v>26</v>
      </c>
      <c r="I968" s="35" t="s">
        <v>27</v>
      </c>
      <c r="J968" s="35" t="s">
        <v>100</v>
      </c>
      <c r="K968" s="57"/>
      <c r="L968" s="84"/>
    </row>
    <row r="969">
      <c r="A969" s="70" t="s">
        <v>2750</v>
      </c>
      <c r="B969" s="71" t="s">
        <v>2751</v>
      </c>
      <c r="C969" s="72">
        <v>45779.0</v>
      </c>
      <c r="D969" s="75" t="s">
        <v>22</v>
      </c>
      <c r="E969" s="71" t="s">
        <v>2752</v>
      </c>
      <c r="F969" s="102" t="s">
        <v>53</v>
      </c>
      <c r="G969" s="62" t="s">
        <v>518</v>
      </c>
      <c r="H969" s="54" t="s">
        <v>26</v>
      </c>
      <c r="I969" s="35" t="s">
        <v>27</v>
      </c>
      <c r="J969" s="57"/>
      <c r="K969" s="57"/>
      <c r="L969" s="84"/>
    </row>
    <row r="970">
      <c r="A970" s="32" t="s">
        <v>2753</v>
      </c>
      <c r="B970" s="32" t="s">
        <v>2754</v>
      </c>
      <c r="C970" s="33">
        <v>45779.0</v>
      </c>
      <c r="D970" s="34" t="s">
        <v>22</v>
      </c>
      <c r="E970" s="32" t="s">
        <v>69</v>
      </c>
      <c r="F970" s="34" t="s">
        <v>24</v>
      </c>
      <c r="G970" s="34" t="s">
        <v>104</v>
      </c>
      <c r="H970" s="35" t="s">
        <v>26</v>
      </c>
      <c r="I970" s="35" t="s">
        <v>27</v>
      </c>
      <c r="J970" s="57"/>
      <c r="K970" s="57"/>
      <c r="L970" s="84"/>
    </row>
    <row r="971">
      <c r="A971" s="32" t="s">
        <v>2755</v>
      </c>
      <c r="B971" s="32" t="s">
        <v>2756</v>
      </c>
      <c r="C971" s="33">
        <v>45779.0</v>
      </c>
      <c r="D971" s="34" t="s">
        <v>22</v>
      </c>
      <c r="E971" s="32" t="s">
        <v>192</v>
      </c>
      <c r="F971" s="34" t="s">
        <v>156</v>
      </c>
      <c r="G971" s="34" t="s">
        <v>2757</v>
      </c>
      <c r="H971" s="66"/>
      <c r="I971" s="35" t="s">
        <v>27</v>
      </c>
      <c r="J971" s="57"/>
      <c r="K971" s="57"/>
      <c r="L971" s="84"/>
    </row>
    <row r="972">
      <c r="A972" s="32" t="s">
        <v>2758</v>
      </c>
      <c r="B972" s="32" t="s">
        <v>2759</v>
      </c>
      <c r="C972" s="33">
        <v>45779.0</v>
      </c>
      <c r="D972" s="34" t="s">
        <v>22</v>
      </c>
      <c r="E972" s="32" t="s">
        <v>256</v>
      </c>
      <c r="F972" s="34" t="s">
        <v>156</v>
      </c>
      <c r="G972" s="34" t="s">
        <v>32</v>
      </c>
      <c r="H972" s="35" t="s">
        <v>26</v>
      </c>
      <c r="I972" s="35" t="s">
        <v>27</v>
      </c>
      <c r="J972" s="57"/>
      <c r="K972" s="57"/>
      <c r="L972" s="84"/>
    </row>
    <row r="973">
      <c r="A973" s="32" t="s">
        <v>2760</v>
      </c>
      <c r="B973" s="32" t="s">
        <v>2761</v>
      </c>
      <c r="C973" s="33">
        <v>45779.0</v>
      </c>
      <c r="D973" s="34" t="s">
        <v>22</v>
      </c>
      <c r="E973" s="32" t="s">
        <v>2762</v>
      </c>
      <c r="F973" s="34" t="s">
        <v>53</v>
      </c>
      <c r="G973" s="34" t="s">
        <v>2763</v>
      </c>
      <c r="H973" s="35" t="s">
        <v>26</v>
      </c>
      <c r="I973" s="35" t="s">
        <v>27</v>
      </c>
      <c r="J973" s="57"/>
      <c r="K973" s="57"/>
      <c r="L973" s="84"/>
    </row>
    <row r="974">
      <c r="A974" s="32" t="s">
        <v>2764</v>
      </c>
      <c r="B974" s="32" t="s">
        <v>2764</v>
      </c>
      <c r="C974" s="33">
        <v>45779.0</v>
      </c>
      <c r="D974" s="34" t="s">
        <v>22</v>
      </c>
      <c r="E974" s="32" t="s">
        <v>2765</v>
      </c>
      <c r="F974" s="34" t="s">
        <v>53</v>
      </c>
      <c r="G974" s="34" t="s">
        <v>49</v>
      </c>
      <c r="H974" s="35" t="s">
        <v>26</v>
      </c>
      <c r="I974" s="35" t="s">
        <v>27</v>
      </c>
      <c r="J974" s="35" t="s">
        <v>100</v>
      </c>
      <c r="K974" s="57"/>
      <c r="L974" s="84"/>
    </row>
    <row r="975">
      <c r="A975" s="32" t="s">
        <v>2766</v>
      </c>
      <c r="B975" s="32" t="s">
        <v>2767</v>
      </c>
      <c r="C975" s="33">
        <v>45779.0</v>
      </c>
      <c r="D975" s="34" t="s">
        <v>22</v>
      </c>
      <c r="E975" s="32" t="s">
        <v>505</v>
      </c>
      <c r="F975" s="34" t="s">
        <v>156</v>
      </c>
      <c r="G975" s="34" t="s">
        <v>2768</v>
      </c>
      <c r="H975" s="35" t="s">
        <v>26</v>
      </c>
      <c r="I975" s="35" t="s">
        <v>27</v>
      </c>
      <c r="J975" s="57"/>
      <c r="K975" s="57"/>
      <c r="L975" s="84"/>
    </row>
    <row r="976">
      <c r="A976" s="31" t="s">
        <v>2769</v>
      </c>
      <c r="B976" s="32" t="s">
        <v>2770</v>
      </c>
      <c r="C976" s="33">
        <v>45779.0</v>
      </c>
      <c r="D976" s="34" t="s">
        <v>39</v>
      </c>
      <c r="E976" s="32" t="s">
        <v>1516</v>
      </c>
      <c r="F976" s="34" t="s">
        <v>53</v>
      </c>
      <c r="G976" s="34" t="s">
        <v>2771</v>
      </c>
      <c r="H976" s="65"/>
      <c r="I976" s="35" t="s">
        <v>27</v>
      </c>
      <c r="J976" s="57"/>
      <c r="K976" s="57"/>
      <c r="L976" s="84"/>
    </row>
    <row r="977">
      <c r="A977" s="31" t="s">
        <v>2772</v>
      </c>
      <c r="B977" s="32" t="s">
        <v>2773</v>
      </c>
      <c r="C977" s="33">
        <v>45779.0</v>
      </c>
      <c r="D977" s="34" t="s">
        <v>22</v>
      </c>
      <c r="E977" s="32" t="s">
        <v>2774</v>
      </c>
      <c r="F977" s="34" t="s">
        <v>156</v>
      </c>
      <c r="G977" s="34" t="s">
        <v>1621</v>
      </c>
      <c r="H977" s="35" t="s">
        <v>26</v>
      </c>
      <c r="I977" s="35" t="s">
        <v>27</v>
      </c>
      <c r="J977" s="35" t="s">
        <v>100</v>
      </c>
      <c r="K977" s="57"/>
      <c r="L977" s="84"/>
    </row>
    <row r="978">
      <c r="A978" s="31" t="s">
        <v>2775</v>
      </c>
      <c r="B978" s="32" t="s">
        <v>2776</v>
      </c>
      <c r="C978" s="33">
        <v>45779.0</v>
      </c>
      <c r="D978" s="47" t="s">
        <v>22</v>
      </c>
      <c r="E978" s="32" t="s">
        <v>2777</v>
      </c>
      <c r="F978" s="34" t="s">
        <v>53</v>
      </c>
      <c r="G978" s="34" t="s">
        <v>693</v>
      </c>
      <c r="H978" s="35" t="s">
        <v>26</v>
      </c>
      <c r="I978" s="35" t="s">
        <v>27</v>
      </c>
      <c r="J978" s="57"/>
      <c r="K978" s="57"/>
      <c r="L978" s="84"/>
    </row>
    <row r="979">
      <c r="A979" s="31" t="s">
        <v>2778</v>
      </c>
      <c r="B979" s="32" t="s">
        <v>2779</v>
      </c>
      <c r="C979" s="33">
        <v>45779.0</v>
      </c>
      <c r="D979" s="34" t="s">
        <v>22</v>
      </c>
      <c r="E979" s="32" t="s">
        <v>84</v>
      </c>
      <c r="F979" s="34" t="s">
        <v>24</v>
      </c>
      <c r="G979" s="34" t="s">
        <v>2780</v>
      </c>
      <c r="H979" s="35" t="s">
        <v>26</v>
      </c>
      <c r="I979" s="35" t="s">
        <v>27</v>
      </c>
      <c r="J979" s="57"/>
      <c r="K979" s="57"/>
      <c r="L979" s="84"/>
    </row>
    <row r="980">
      <c r="A980" s="31" t="s">
        <v>2781</v>
      </c>
      <c r="B980" s="32" t="s">
        <v>2782</v>
      </c>
      <c r="C980" s="33">
        <v>45779.0</v>
      </c>
      <c r="D980" s="34" t="s">
        <v>22</v>
      </c>
      <c r="E980" s="32" t="s">
        <v>160</v>
      </c>
      <c r="F980" s="34" t="s">
        <v>53</v>
      </c>
      <c r="G980" s="34" t="s">
        <v>693</v>
      </c>
      <c r="H980" s="35" t="s">
        <v>26</v>
      </c>
      <c r="I980" s="35" t="s">
        <v>27</v>
      </c>
      <c r="J980" s="35" t="s">
        <v>100</v>
      </c>
      <c r="K980" s="57"/>
      <c r="L980" s="84"/>
    </row>
    <row r="981">
      <c r="A981" s="31" t="s">
        <v>2783</v>
      </c>
      <c r="B981" s="32" t="s">
        <v>2784</v>
      </c>
      <c r="C981" s="33">
        <v>45779.0</v>
      </c>
      <c r="D981" s="47" t="s">
        <v>22</v>
      </c>
      <c r="E981" s="32" t="s">
        <v>463</v>
      </c>
      <c r="F981" s="34" t="s">
        <v>156</v>
      </c>
      <c r="G981" s="34" t="s">
        <v>199</v>
      </c>
      <c r="H981" s="35" t="s">
        <v>26</v>
      </c>
      <c r="I981" s="35" t="s">
        <v>27</v>
      </c>
      <c r="J981" s="57"/>
      <c r="K981" s="57"/>
      <c r="L981" s="84"/>
    </row>
    <row r="982">
      <c r="A982" s="31" t="s">
        <v>2785</v>
      </c>
      <c r="B982" s="32" t="s">
        <v>2786</v>
      </c>
      <c r="C982" s="33">
        <v>45779.0</v>
      </c>
      <c r="D982" s="47" t="s">
        <v>22</v>
      </c>
      <c r="E982" s="32" t="s">
        <v>745</v>
      </c>
      <c r="F982" s="34" t="s">
        <v>53</v>
      </c>
      <c r="G982" s="34" t="s">
        <v>2787</v>
      </c>
      <c r="H982" s="35" t="s">
        <v>26</v>
      </c>
      <c r="I982" s="34"/>
      <c r="J982" s="57"/>
      <c r="K982" s="57"/>
      <c r="L982" s="84"/>
    </row>
    <row r="983">
      <c r="A983" s="32" t="s">
        <v>2788</v>
      </c>
      <c r="B983" s="32" t="s">
        <v>2789</v>
      </c>
      <c r="C983" s="33">
        <v>45779.0</v>
      </c>
      <c r="D983" s="47" t="s">
        <v>39</v>
      </c>
      <c r="E983" s="32" t="s">
        <v>1081</v>
      </c>
      <c r="F983" s="34" t="s">
        <v>156</v>
      </c>
      <c r="G983" s="34" t="s">
        <v>487</v>
      </c>
      <c r="H983" s="35" t="s">
        <v>26</v>
      </c>
      <c r="I983" s="35" t="s">
        <v>27</v>
      </c>
      <c r="J983" s="57"/>
      <c r="K983" s="57"/>
      <c r="L983" s="84"/>
    </row>
    <row r="984">
      <c r="A984" s="32" t="s">
        <v>2790</v>
      </c>
      <c r="B984" s="32" t="s">
        <v>2791</v>
      </c>
      <c r="C984" s="33">
        <v>45779.0</v>
      </c>
      <c r="D984" s="34" t="s">
        <v>22</v>
      </c>
      <c r="E984" s="32" t="s">
        <v>2792</v>
      </c>
      <c r="F984" s="34" t="s">
        <v>24</v>
      </c>
      <c r="G984" s="34" t="s">
        <v>130</v>
      </c>
      <c r="H984" s="35" t="s">
        <v>26</v>
      </c>
      <c r="I984" s="35" t="s">
        <v>27</v>
      </c>
      <c r="J984" s="57"/>
      <c r="K984" s="57"/>
      <c r="L984" s="84"/>
    </row>
    <row r="985">
      <c r="A985" s="32" t="s">
        <v>2793</v>
      </c>
      <c r="B985" s="32" t="s">
        <v>2794</v>
      </c>
      <c r="C985" s="33">
        <v>45779.0</v>
      </c>
      <c r="D985" s="47" t="s">
        <v>39</v>
      </c>
      <c r="E985" s="32" t="s">
        <v>73</v>
      </c>
      <c r="F985" s="34" t="s">
        <v>24</v>
      </c>
      <c r="G985" s="34" t="s">
        <v>2795</v>
      </c>
      <c r="H985" s="35" t="s">
        <v>26</v>
      </c>
      <c r="I985" s="35" t="s">
        <v>27</v>
      </c>
      <c r="J985" s="57"/>
      <c r="K985" s="57"/>
      <c r="L985" s="84"/>
    </row>
    <row r="986">
      <c r="A986" s="32" t="s">
        <v>2796</v>
      </c>
      <c r="B986" s="32" t="s">
        <v>2797</v>
      </c>
      <c r="C986" s="33">
        <v>45779.0</v>
      </c>
      <c r="D986" s="34" t="s">
        <v>22</v>
      </c>
      <c r="E986" s="32" t="s">
        <v>355</v>
      </c>
      <c r="F986" s="34" t="s">
        <v>24</v>
      </c>
      <c r="G986" s="34" t="s">
        <v>70</v>
      </c>
      <c r="H986" s="35" t="s">
        <v>26</v>
      </c>
      <c r="I986" s="35" t="s">
        <v>27</v>
      </c>
      <c r="J986" s="57"/>
      <c r="K986" s="57"/>
      <c r="L986" s="84"/>
    </row>
    <row r="987">
      <c r="A987" s="32" t="s">
        <v>2798</v>
      </c>
      <c r="B987" s="32" t="s">
        <v>2799</v>
      </c>
      <c r="C987" s="33">
        <v>45779.0</v>
      </c>
      <c r="D987" s="34" t="s">
        <v>22</v>
      </c>
      <c r="E987" s="32" t="s">
        <v>284</v>
      </c>
      <c r="F987" s="34" t="s">
        <v>24</v>
      </c>
      <c r="G987" s="34" t="s">
        <v>202</v>
      </c>
      <c r="H987" s="35" t="s">
        <v>26</v>
      </c>
      <c r="I987" s="35" t="s">
        <v>27</v>
      </c>
      <c r="J987" s="57"/>
      <c r="K987" s="57"/>
      <c r="L987" s="84"/>
    </row>
    <row r="988">
      <c r="A988" s="32" t="s">
        <v>2800</v>
      </c>
      <c r="B988" s="32" t="s">
        <v>2801</v>
      </c>
      <c r="C988" s="33">
        <v>45779.0</v>
      </c>
      <c r="D988" s="34" t="s">
        <v>22</v>
      </c>
      <c r="E988" s="32" t="s">
        <v>2802</v>
      </c>
      <c r="F988" s="34" t="s">
        <v>24</v>
      </c>
      <c r="G988" s="34" t="s">
        <v>514</v>
      </c>
      <c r="H988" s="35" t="s">
        <v>26</v>
      </c>
      <c r="I988" s="35" t="s">
        <v>27</v>
      </c>
      <c r="J988" s="57"/>
      <c r="K988" s="57"/>
      <c r="L988" s="84"/>
    </row>
    <row r="989">
      <c r="A989" s="32" t="s">
        <v>2803</v>
      </c>
      <c r="B989" s="32" t="s">
        <v>2804</v>
      </c>
      <c r="C989" s="33">
        <v>45779.0</v>
      </c>
      <c r="D989" s="34" t="s">
        <v>39</v>
      </c>
      <c r="E989" s="32" t="s">
        <v>2805</v>
      </c>
      <c r="F989" s="34" t="s">
        <v>24</v>
      </c>
      <c r="G989" s="34" t="s">
        <v>96</v>
      </c>
      <c r="H989" s="35" t="s">
        <v>26</v>
      </c>
      <c r="I989" s="35" t="s">
        <v>27</v>
      </c>
      <c r="J989" s="57"/>
      <c r="K989" s="57"/>
      <c r="L989" s="84"/>
    </row>
    <row r="990">
      <c r="A990" s="32" t="s">
        <v>2806</v>
      </c>
      <c r="B990" s="32" t="s">
        <v>2807</v>
      </c>
      <c r="C990" s="33">
        <v>45779.0</v>
      </c>
      <c r="D990" s="47" t="s">
        <v>22</v>
      </c>
      <c r="E990" s="32" t="s">
        <v>513</v>
      </c>
      <c r="F990" s="34" t="s">
        <v>156</v>
      </c>
      <c r="G990" s="34" t="s">
        <v>62</v>
      </c>
      <c r="H990" s="35" t="s">
        <v>26</v>
      </c>
      <c r="I990" s="58" t="str">
        <f>HYPERLINK("https://open.spotify.com/album/1sXQuxccAIsdvliCf0W34a", "S")</f>
        <v>S</v>
      </c>
      <c r="J990" s="57"/>
      <c r="K990" s="57"/>
      <c r="L990" s="84"/>
    </row>
    <row r="991">
      <c r="A991" s="32" t="s">
        <v>2808</v>
      </c>
      <c r="B991" s="32" t="s">
        <v>2809</v>
      </c>
      <c r="C991" s="33">
        <v>45779.0</v>
      </c>
      <c r="D991" s="34" t="s">
        <v>22</v>
      </c>
      <c r="E991" s="32" t="s">
        <v>2810</v>
      </c>
      <c r="F991" s="34" t="s">
        <v>53</v>
      </c>
      <c r="G991" s="34" t="s">
        <v>130</v>
      </c>
      <c r="H991" s="35" t="s">
        <v>26</v>
      </c>
      <c r="I991" s="35" t="s">
        <v>27</v>
      </c>
      <c r="J991" s="35" t="s">
        <v>100</v>
      </c>
      <c r="K991" s="57"/>
      <c r="L991" s="84"/>
    </row>
    <row r="992">
      <c r="A992" s="32" t="s">
        <v>2811</v>
      </c>
      <c r="B992" s="32" t="s">
        <v>2812</v>
      </c>
      <c r="C992" s="33">
        <v>45779.0</v>
      </c>
      <c r="D992" s="34" t="s">
        <v>22</v>
      </c>
      <c r="E992" s="32" t="s">
        <v>1138</v>
      </c>
      <c r="F992" s="34" t="s">
        <v>24</v>
      </c>
      <c r="G992" s="34" t="s">
        <v>629</v>
      </c>
      <c r="H992" s="35" t="s">
        <v>26</v>
      </c>
      <c r="I992" s="35" t="s">
        <v>27</v>
      </c>
      <c r="J992" s="57"/>
      <c r="K992" s="57"/>
      <c r="L992" s="84"/>
    </row>
    <row r="993">
      <c r="A993" s="32" t="s">
        <v>2813</v>
      </c>
      <c r="B993" s="32" t="s">
        <v>2814</v>
      </c>
      <c r="C993" s="33">
        <v>45779.0</v>
      </c>
      <c r="D993" s="34" t="s">
        <v>22</v>
      </c>
      <c r="E993" s="32" t="s">
        <v>2815</v>
      </c>
      <c r="F993" s="34" t="s">
        <v>24</v>
      </c>
      <c r="G993" s="34" t="s">
        <v>2200</v>
      </c>
      <c r="H993" s="35" t="s">
        <v>26</v>
      </c>
      <c r="I993" s="35" t="s">
        <v>27</v>
      </c>
      <c r="J993" s="57"/>
      <c r="K993" s="57"/>
      <c r="L993" s="84"/>
    </row>
    <row r="994">
      <c r="A994" s="32" t="s">
        <v>2816</v>
      </c>
      <c r="B994" s="32" t="s">
        <v>2816</v>
      </c>
      <c r="C994" s="33">
        <v>45779.0</v>
      </c>
      <c r="D994" s="34" t="s">
        <v>22</v>
      </c>
      <c r="E994" s="32" t="s">
        <v>73</v>
      </c>
      <c r="F994" s="34" t="s">
        <v>24</v>
      </c>
      <c r="G994" s="34" t="s">
        <v>32</v>
      </c>
      <c r="H994" s="35" t="s">
        <v>26</v>
      </c>
      <c r="I994" s="35" t="s">
        <v>27</v>
      </c>
      <c r="J994" s="35" t="s">
        <v>100</v>
      </c>
      <c r="K994" s="57"/>
      <c r="L994" s="84"/>
    </row>
    <row r="995">
      <c r="A995" s="32" t="s">
        <v>2817</v>
      </c>
      <c r="B995" s="32" t="s">
        <v>2818</v>
      </c>
      <c r="C995" s="33">
        <v>45779.0</v>
      </c>
      <c r="D995" s="34" t="s">
        <v>22</v>
      </c>
      <c r="E995" s="32" t="s">
        <v>2819</v>
      </c>
      <c r="F995" s="34" t="s">
        <v>24</v>
      </c>
      <c r="G995" s="34" t="s">
        <v>2820</v>
      </c>
      <c r="H995" s="35" t="s">
        <v>26</v>
      </c>
      <c r="I995" s="35" t="s">
        <v>27</v>
      </c>
      <c r="J995" s="35" t="s">
        <v>100</v>
      </c>
      <c r="K995" s="57"/>
      <c r="L995" s="84"/>
    </row>
    <row r="996">
      <c r="A996" s="32" t="s">
        <v>2821</v>
      </c>
      <c r="B996" s="32" t="s">
        <v>2822</v>
      </c>
      <c r="C996" s="33">
        <v>45779.0</v>
      </c>
      <c r="D996" s="47" t="s">
        <v>22</v>
      </c>
      <c r="E996" s="32" t="s">
        <v>632</v>
      </c>
      <c r="F996" s="34" t="s">
        <v>24</v>
      </c>
      <c r="G996" s="34" t="s">
        <v>221</v>
      </c>
      <c r="H996" s="35" t="s">
        <v>26</v>
      </c>
      <c r="I996" s="58" t="str">
        <f>HYPERLINK("https://open.spotify.com/album/018iEEARs8oR1jPRytKzuU", "S")</f>
        <v>S</v>
      </c>
      <c r="J996" s="35" t="s">
        <v>100</v>
      </c>
      <c r="K996" s="57"/>
      <c r="L996" s="84"/>
    </row>
    <row r="997">
      <c r="A997" s="32" t="s">
        <v>2823</v>
      </c>
      <c r="B997" s="32" t="s">
        <v>2824</v>
      </c>
      <c r="C997" s="33">
        <v>45779.0</v>
      </c>
      <c r="D997" s="34" t="s">
        <v>22</v>
      </c>
      <c r="E997" s="32" t="s">
        <v>263</v>
      </c>
      <c r="F997" s="34" t="s">
        <v>24</v>
      </c>
      <c r="G997" s="34" t="s">
        <v>2825</v>
      </c>
      <c r="H997" s="35" t="s">
        <v>26</v>
      </c>
      <c r="I997" s="35" t="s">
        <v>27</v>
      </c>
      <c r="J997" s="57"/>
      <c r="K997" s="57"/>
      <c r="L997" s="84"/>
    </row>
    <row r="998">
      <c r="A998" s="32" t="s">
        <v>2826</v>
      </c>
      <c r="B998" s="32" t="s">
        <v>2827</v>
      </c>
      <c r="C998" s="33">
        <v>45779.0</v>
      </c>
      <c r="D998" s="34" t="s">
        <v>22</v>
      </c>
      <c r="E998" s="32" t="s">
        <v>73</v>
      </c>
      <c r="F998" s="34" t="s">
        <v>24</v>
      </c>
      <c r="G998" s="34" t="s">
        <v>442</v>
      </c>
      <c r="H998" s="35" t="s">
        <v>26</v>
      </c>
      <c r="I998" s="36" t="str">
        <f>HYPERLINK("https://open.spotify.com/album/13jayCvjxpyfA3z9OahPJI", "S")</f>
        <v>S</v>
      </c>
      <c r="J998" s="57"/>
      <c r="K998" s="57"/>
      <c r="L998" s="84"/>
    </row>
    <row r="999">
      <c r="A999" s="32" t="s">
        <v>2828</v>
      </c>
      <c r="B999" s="32" t="s">
        <v>2829</v>
      </c>
      <c r="C999" s="33">
        <v>45779.0</v>
      </c>
      <c r="D999" s="34" t="s">
        <v>39</v>
      </c>
      <c r="E999" s="32" t="s">
        <v>77</v>
      </c>
      <c r="F999" s="34" t="s">
        <v>53</v>
      </c>
      <c r="G999" s="34" t="s">
        <v>2830</v>
      </c>
      <c r="H999" s="35" t="s">
        <v>26</v>
      </c>
      <c r="I999" s="35" t="s">
        <v>27</v>
      </c>
      <c r="J999" s="57"/>
      <c r="K999" s="57"/>
      <c r="L999" s="84"/>
    </row>
    <row r="1000">
      <c r="A1000" s="32" t="s">
        <v>2831</v>
      </c>
      <c r="B1000" s="32" t="s">
        <v>2832</v>
      </c>
      <c r="C1000" s="33">
        <v>45782.0</v>
      </c>
      <c r="D1000" s="34" t="s">
        <v>22</v>
      </c>
      <c r="E1000" s="32" t="s">
        <v>168</v>
      </c>
      <c r="F1000" s="34" t="s">
        <v>24</v>
      </c>
      <c r="G1000" s="34" t="s">
        <v>2833</v>
      </c>
      <c r="H1000" s="35" t="s">
        <v>26</v>
      </c>
      <c r="I1000" s="36" t="str">
        <f>HYPERLINK("https://open.spotify.com/album/1bxs3mnv4IX3xDxBFpgife", "S")</f>
        <v>S</v>
      </c>
      <c r="J1000" s="57"/>
      <c r="K1000" s="57"/>
      <c r="L1000" s="84"/>
    </row>
    <row r="1001">
      <c r="A1001" s="32" t="s">
        <v>2834</v>
      </c>
      <c r="B1001" s="32" t="s">
        <v>2835</v>
      </c>
      <c r="C1001" s="33">
        <v>45782.0</v>
      </c>
      <c r="D1001" s="34" t="s">
        <v>22</v>
      </c>
      <c r="E1001" s="32" t="s">
        <v>2836</v>
      </c>
      <c r="F1001" s="34" t="s">
        <v>53</v>
      </c>
      <c r="G1001" s="34" t="s">
        <v>868</v>
      </c>
      <c r="H1001" s="35" t="s">
        <v>26</v>
      </c>
      <c r="I1001" s="57"/>
      <c r="J1001" s="57"/>
      <c r="K1001" s="57"/>
      <c r="L1001" s="84"/>
    </row>
    <row r="1002">
      <c r="A1002" s="31" t="s">
        <v>2837</v>
      </c>
      <c r="B1002" s="32" t="s">
        <v>2838</v>
      </c>
      <c r="C1002" s="33">
        <v>45783.0</v>
      </c>
      <c r="D1002" s="47" t="s">
        <v>39</v>
      </c>
      <c r="E1002" s="32" t="s">
        <v>2839</v>
      </c>
      <c r="F1002" s="34" t="s">
        <v>235</v>
      </c>
      <c r="G1002" s="34" t="s">
        <v>177</v>
      </c>
      <c r="H1002" s="35" t="s">
        <v>26</v>
      </c>
      <c r="I1002" s="35" t="s">
        <v>27</v>
      </c>
      <c r="J1002" s="57"/>
      <c r="K1002" s="57"/>
      <c r="L1002" s="84"/>
    </row>
    <row r="1003">
      <c r="A1003" s="32" t="s">
        <v>2840</v>
      </c>
      <c r="B1003" s="32" t="s">
        <v>2841</v>
      </c>
      <c r="C1003" s="33">
        <v>45783.0</v>
      </c>
      <c r="D1003" s="34" t="s">
        <v>22</v>
      </c>
      <c r="E1003" s="32" t="s">
        <v>2842</v>
      </c>
      <c r="F1003" s="34" t="s">
        <v>24</v>
      </c>
      <c r="G1003" s="34" t="s">
        <v>336</v>
      </c>
      <c r="H1003" s="35" t="s">
        <v>26</v>
      </c>
      <c r="I1003" s="35" t="s">
        <v>27</v>
      </c>
      <c r="J1003" s="57"/>
      <c r="K1003" s="57"/>
      <c r="L1003" s="84"/>
    </row>
    <row r="1004">
      <c r="A1004" s="32" t="s">
        <v>2843</v>
      </c>
      <c r="B1004" s="32" t="s">
        <v>2844</v>
      </c>
      <c r="C1004" s="33">
        <v>45785.0</v>
      </c>
      <c r="D1004" s="34" t="s">
        <v>22</v>
      </c>
      <c r="E1004" s="32" t="s">
        <v>335</v>
      </c>
      <c r="F1004" s="34" t="s">
        <v>53</v>
      </c>
      <c r="G1004" s="34" t="s">
        <v>2845</v>
      </c>
      <c r="H1004" s="35" t="s">
        <v>26</v>
      </c>
      <c r="I1004" s="36" t="str">
        <f>HYPERLINK("https://open.spotify.com/album/3q8aIBMETr2koH4wR6KbhL", "S")</f>
        <v>S</v>
      </c>
      <c r="J1004" s="57"/>
      <c r="K1004" s="57"/>
      <c r="L1004" s="84"/>
    </row>
    <row r="1005">
      <c r="A1005" s="32" t="s">
        <v>2846</v>
      </c>
      <c r="B1005" s="32" t="s">
        <v>2847</v>
      </c>
      <c r="C1005" s="33">
        <v>45786.0</v>
      </c>
      <c r="D1005" s="34" t="s">
        <v>22</v>
      </c>
      <c r="E1005" s="32" t="s">
        <v>69</v>
      </c>
      <c r="F1005" s="34" t="s">
        <v>53</v>
      </c>
      <c r="G1005" s="34" t="s">
        <v>2848</v>
      </c>
      <c r="H1005" s="35" t="s">
        <v>26</v>
      </c>
      <c r="I1005" s="36" t="str">
        <f>HYPERLINK("https://open.spotify.com/album/0A5loXqFpjmH7ZMbHjT2R1", "S")</f>
        <v>S</v>
      </c>
      <c r="J1005" s="57"/>
      <c r="K1005" s="57"/>
      <c r="L1005" s="84"/>
    </row>
    <row r="1006">
      <c r="A1006" s="32" t="s">
        <v>2849</v>
      </c>
      <c r="B1006" s="32" t="s">
        <v>2850</v>
      </c>
      <c r="C1006" s="33">
        <v>45786.0</v>
      </c>
      <c r="D1006" s="34" t="s">
        <v>39</v>
      </c>
      <c r="E1006" s="32" t="s">
        <v>2851</v>
      </c>
      <c r="F1006" s="34" t="s">
        <v>24</v>
      </c>
      <c r="G1006" s="34" t="s">
        <v>725</v>
      </c>
      <c r="H1006" s="35" t="s">
        <v>26</v>
      </c>
      <c r="I1006" s="35" t="s">
        <v>27</v>
      </c>
      <c r="J1006" s="57"/>
      <c r="K1006" s="57"/>
      <c r="L1006" s="84"/>
    </row>
    <row r="1007">
      <c r="A1007" s="32" t="s">
        <v>2852</v>
      </c>
      <c r="B1007" s="32" t="s">
        <v>2853</v>
      </c>
      <c r="C1007" s="33">
        <v>45786.0</v>
      </c>
      <c r="D1007" s="34" t="s">
        <v>22</v>
      </c>
      <c r="E1007" s="32" t="s">
        <v>2854</v>
      </c>
      <c r="F1007" s="34" t="s">
        <v>24</v>
      </c>
      <c r="G1007" s="34" t="s">
        <v>2855</v>
      </c>
      <c r="H1007" s="35" t="s">
        <v>26</v>
      </c>
      <c r="I1007" s="35" t="s">
        <v>27</v>
      </c>
      <c r="K1007" s="57"/>
      <c r="L1007" s="84"/>
    </row>
    <row r="1008">
      <c r="A1008" s="32" t="s">
        <v>2856</v>
      </c>
      <c r="B1008" s="32" t="s">
        <v>2857</v>
      </c>
      <c r="C1008" s="33">
        <v>45786.0</v>
      </c>
      <c r="D1008" s="34" t="s">
        <v>22</v>
      </c>
      <c r="E1008" s="32" t="s">
        <v>73</v>
      </c>
      <c r="F1008" s="34" t="s">
        <v>24</v>
      </c>
      <c r="G1008" s="34" t="s">
        <v>2858</v>
      </c>
      <c r="H1008" s="35" t="s">
        <v>26</v>
      </c>
      <c r="I1008" s="58" t="str">
        <f>HYPERLINK("https://open.spotify.com/album/1oqcuO8NOcBV0EPeKZewjX", "S")</f>
        <v>S</v>
      </c>
      <c r="J1008" s="57"/>
      <c r="K1008" s="57"/>
      <c r="L1008" s="84"/>
    </row>
    <row r="1009">
      <c r="A1009" s="32" t="s">
        <v>2859</v>
      </c>
      <c r="B1009" s="32" t="s">
        <v>2860</v>
      </c>
      <c r="C1009" s="33">
        <v>45786.0</v>
      </c>
      <c r="D1009" s="34" t="s">
        <v>22</v>
      </c>
      <c r="E1009" s="32" t="s">
        <v>2861</v>
      </c>
      <c r="F1009" s="34" t="s">
        <v>53</v>
      </c>
      <c r="G1009" s="34" t="s">
        <v>2862</v>
      </c>
      <c r="H1009" s="35" t="s">
        <v>26</v>
      </c>
      <c r="I1009" s="35" t="s">
        <v>27</v>
      </c>
      <c r="J1009" s="35" t="s">
        <v>100</v>
      </c>
      <c r="K1009" s="57"/>
      <c r="L1009" s="84"/>
    </row>
    <row r="1010">
      <c r="A1010" s="32" t="s">
        <v>2863</v>
      </c>
      <c r="B1010" s="32" t="s">
        <v>2864</v>
      </c>
      <c r="C1010" s="33">
        <v>45786.0</v>
      </c>
      <c r="D1010" s="69" t="s">
        <v>22</v>
      </c>
      <c r="E1010" s="32" t="s">
        <v>1042</v>
      </c>
      <c r="F1010" s="34" t="s">
        <v>53</v>
      </c>
      <c r="G1010" s="34" t="s">
        <v>177</v>
      </c>
      <c r="H1010" s="35" t="s">
        <v>26</v>
      </c>
      <c r="I1010" s="35" t="s">
        <v>27</v>
      </c>
      <c r="J1010" s="57"/>
      <c r="K1010" s="57"/>
      <c r="L1010" s="84"/>
    </row>
    <row r="1011">
      <c r="A1011" s="32" t="s">
        <v>2865</v>
      </c>
      <c r="B1011" s="32" t="s">
        <v>2866</v>
      </c>
      <c r="C1011" s="33">
        <v>45786.0</v>
      </c>
      <c r="D1011" s="47" t="s">
        <v>22</v>
      </c>
      <c r="E1011" s="32" t="s">
        <v>643</v>
      </c>
      <c r="F1011" s="34" t="s">
        <v>24</v>
      </c>
      <c r="G1011" s="34" t="s">
        <v>868</v>
      </c>
      <c r="H1011" s="35" t="s">
        <v>26</v>
      </c>
      <c r="I1011" s="35" t="s">
        <v>27</v>
      </c>
      <c r="J1011" s="35" t="s">
        <v>100</v>
      </c>
      <c r="K1011" s="57"/>
      <c r="L1011" s="84"/>
    </row>
    <row r="1012">
      <c r="A1012" s="32" t="s">
        <v>2867</v>
      </c>
      <c r="B1012" s="32" t="s">
        <v>2868</v>
      </c>
      <c r="C1012" s="33">
        <v>45786.0</v>
      </c>
      <c r="D1012" s="34" t="s">
        <v>22</v>
      </c>
      <c r="E1012" s="32" t="s">
        <v>122</v>
      </c>
      <c r="F1012" s="34" t="s">
        <v>31</v>
      </c>
      <c r="G1012" s="34" t="s">
        <v>2869</v>
      </c>
      <c r="H1012" s="35" t="s">
        <v>26</v>
      </c>
      <c r="I1012" s="35" t="s">
        <v>27</v>
      </c>
      <c r="J1012" s="57"/>
      <c r="K1012" s="57"/>
      <c r="L1012" s="84"/>
    </row>
    <row r="1013">
      <c r="A1013" s="32" t="s">
        <v>2870</v>
      </c>
      <c r="B1013" s="32" t="s">
        <v>1006</v>
      </c>
      <c r="C1013" s="33">
        <v>45786.0</v>
      </c>
      <c r="D1013" s="34" t="s">
        <v>39</v>
      </c>
      <c r="E1013" s="32" t="s">
        <v>2871</v>
      </c>
      <c r="F1013" s="34" t="s">
        <v>156</v>
      </c>
      <c r="G1013" s="34" t="s">
        <v>514</v>
      </c>
      <c r="H1013" s="35" t="s">
        <v>26</v>
      </c>
      <c r="I1013" s="35" t="s">
        <v>27</v>
      </c>
      <c r="J1013" s="57"/>
      <c r="K1013" s="57"/>
      <c r="L1013" s="84"/>
    </row>
    <row r="1014">
      <c r="A1014" s="32" t="s">
        <v>2872</v>
      </c>
      <c r="B1014" s="32" t="s">
        <v>2873</v>
      </c>
      <c r="C1014" s="33">
        <v>45786.0</v>
      </c>
      <c r="D1014" s="34" t="s">
        <v>22</v>
      </c>
      <c r="E1014" s="32" t="s">
        <v>61</v>
      </c>
      <c r="F1014" s="34" t="s">
        <v>24</v>
      </c>
      <c r="G1014" s="34" t="s">
        <v>1261</v>
      </c>
      <c r="H1014" s="35" t="s">
        <v>26</v>
      </c>
      <c r="I1014" s="35" t="s">
        <v>27</v>
      </c>
      <c r="J1014" s="35" t="s">
        <v>100</v>
      </c>
      <c r="K1014" s="57"/>
      <c r="L1014" s="84"/>
    </row>
    <row r="1015">
      <c r="A1015" s="32" t="s">
        <v>2874</v>
      </c>
      <c r="B1015" s="32" t="s">
        <v>2875</v>
      </c>
      <c r="C1015" s="33">
        <v>45786.0</v>
      </c>
      <c r="D1015" s="34" t="s">
        <v>22</v>
      </c>
      <c r="E1015" s="32" t="s">
        <v>176</v>
      </c>
      <c r="F1015" s="34" t="s">
        <v>156</v>
      </c>
      <c r="G1015" s="34" t="s">
        <v>1028</v>
      </c>
      <c r="H1015" s="35" t="s">
        <v>26</v>
      </c>
      <c r="I1015" s="35" t="s">
        <v>27</v>
      </c>
      <c r="J1015" s="57"/>
      <c r="K1015" s="57"/>
      <c r="L1015" s="84"/>
    </row>
    <row r="1016">
      <c r="A1016" s="31" t="s">
        <v>2876</v>
      </c>
      <c r="B1016" s="32" t="s">
        <v>2877</v>
      </c>
      <c r="C1016" s="33">
        <v>45786.0</v>
      </c>
      <c r="D1016" s="34" t="s">
        <v>22</v>
      </c>
      <c r="E1016" s="32" t="s">
        <v>129</v>
      </c>
      <c r="F1016" s="34" t="s">
        <v>24</v>
      </c>
      <c r="G1016" s="34" t="s">
        <v>454</v>
      </c>
      <c r="H1016" s="35" t="s">
        <v>26</v>
      </c>
      <c r="I1016" s="35" t="s">
        <v>27</v>
      </c>
      <c r="J1016" s="35" t="s">
        <v>100</v>
      </c>
      <c r="K1016" s="57"/>
      <c r="L1016" s="84"/>
    </row>
    <row r="1017">
      <c r="A1017" s="32" t="s">
        <v>2878</v>
      </c>
      <c r="B1017" s="32" t="s">
        <v>2879</v>
      </c>
      <c r="C1017" s="33">
        <v>45786.0</v>
      </c>
      <c r="D1017" s="69" t="s">
        <v>22</v>
      </c>
      <c r="E1017" s="32" t="s">
        <v>122</v>
      </c>
      <c r="F1017" s="34" t="s">
        <v>156</v>
      </c>
      <c r="G1017" s="34" t="s">
        <v>62</v>
      </c>
      <c r="H1017" s="35" t="s">
        <v>26</v>
      </c>
      <c r="I1017" s="35" t="s">
        <v>27</v>
      </c>
      <c r="J1017" s="57"/>
      <c r="K1017" s="57"/>
      <c r="L1017" s="84"/>
    </row>
    <row r="1018">
      <c r="A1018" s="31" t="s">
        <v>2880</v>
      </c>
      <c r="B1018" s="32" t="s">
        <v>2881</v>
      </c>
      <c r="C1018" s="33">
        <v>45786.0</v>
      </c>
      <c r="D1018" s="34" t="s">
        <v>22</v>
      </c>
      <c r="E1018" s="32" t="s">
        <v>2882</v>
      </c>
      <c r="F1018" s="34" t="s">
        <v>24</v>
      </c>
      <c r="G1018" s="34" t="s">
        <v>41</v>
      </c>
      <c r="H1018" s="35" t="s">
        <v>26</v>
      </c>
      <c r="I1018" s="35" t="s">
        <v>27</v>
      </c>
      <c r="J1018" s="57"/>
      <c r="K1018" s="57"/>
      <c r="L1018" s="84"/>
    </row>
    <row r="1019">
      <c r="A1019" s="31" t="s">
        <v>2883</v>
      </c>
      <c r="B1019" s="32" t="s">
        <v>2884</v>
      </c>
      <c r="C1019" s="33">
        <v>45786.0</v>
      </c>
      <c r="D1019" s="34" t="s">
        <v>22</v>
      </c>
      <c r="E1019" s="32" t="s">
        <v>2885</v>
      </c>
      <c r="F1019" s="34" t="s">
        <v>53</v>
      </c>
      <c r="G1019" s="34" t="s">
        <v>225</v>
      </c>
      <c r="H1019" s="35" t="s">
        <v>26</v>
      </c>
      <c r="I1019" s="35" t="s">
        <v>27</v>
      </c>
      <c r="J1019" s="57"/>
      <c r="K1019" s="57"/>
      <c r="L1019" s="84"/>
    </row>
    <row r="1020">
      <c r="A1020" s="31" t="s">
        <v>2886</v>
      </c>
      <c r="B1020" s="32" t="s">
        <v>2887</v>
      </c>
      <c r="C1020" s="33">
        <v>45786.0</v>
      </c>
      <c r="D1020" s="34" t="s">
        <v>39</v>
      </c>
      <c r="E1020" s="32" t="s">
        <v>2888</v>
      </c>
      <c r="F1020" s="34" t="s">
        <v>53</v>
      </c>
      <c r="G1020" s="34" t="s">
        <v>2889</v>
      </c>
      <c r="H1020" s="35" t="s">
        <v>26</v>
      </c>
      <c r="I1020" s="35" t="s">
        <v>27</v>
      </c>
      <c r="J1020" s="57"/>
      <c r="K1020" s="57"/>
      <c r="L1020" s="84"/>
    </row>
    <row r="1021">
      <c r="A1021" s="31" t="s">
        <v>2890</v>
      </c>
      <c r="B1021" s="32" t="s">
        <v>2891</v>
      </c>
      <c r="C1021" s="33">
        <v>45786.0</v>
      </c>
      <c r="D1021" s="34" t="s">
        <v>22</v>
      </c>
      <c r="E1021" s="32" t="s">
        <v>355</v>
      </c>
      <c r="F1021" s="34" t="s">
        <v>53</v>
      </c>
      <c r="G1021" s="34" t="s">
        <v>181</v>
      </c>
      <c r="H1021" s="35" t="s">
        <v>26</v>
      </c>
      <c r="I1021" s="35" t="s">
        <v>27</v>
      </c>
      <c r="J1021" s="57"/>
      <c r="K1021" s="57"/>
      <c r="L1021" s="84"/>
    </row>
    <row r="1022">
      <c r="A1022" s="31" t="s">
        <v>2892</v>
      </c>
      <c r="B1022" s="32" t="s">
        <v>2893</v>
      </c>
      <c r="C1022" s="33">
        <v>45786.0</v>
      </c>
      <c r="D1022" s="34" t="s">
        <v>22</v>
      </c>
      <c r="E1022" s="32" t="s">
        <v>632</v>
      </c>
      <c r="F1022" s="34" t="s">
        <v>24</v>
      </c>
      <c r="G1022" s="34" t="s">
        <v>196</v>
      </c>
      <c r="H1022" s="35" t="s">
        <v>26</v>
      </c>
      <c r="I1022" s="35" t="s">
        <v>27</v>
      </c>
      <c r="J1022" s="35" t="s">
        <v>100</v>
      </c>
      <c r="K1022" s="57"/>
      <c r="L1022" s="84"/>
    </row>
    <row r="1023">
      <c r="A1023" s="31" t="s">
        <v>2894</v>
      </c>
      <c r="B1023" s="32" t="s">
        <v>2895</v>
      </c>
      <c r="C1023" s="33">
        <v>45786.0</v>
      </c>
      <c r="D1023" s="34" t="s">
        <v>22</v>
      </c>
      <c r="E1023" s="32" t="s">
        <v>355</v>
      </c>
      <c r="F1023" s="34" t="s">
        <v>24</v>
      </c>
      <c r="G1023" s="34" t="s">
        <v>181</v>
      </c>
      <c r="H1023" s="35" t="s">
        <v>26</v>
      </c>
      <c r="I1023" s="35" t="s">
        <v>27</v>
      </c>
      <c r="J1023" s="35" t="s">
        <v>100</v>
      </c>
      <c r="K1023" s="57"/>
      <c r="L1023" s="84"/>
    </row>
    <row r="1024">
      <c r="A1024" s="31" t="s">
        <v>2896</v>
      </c>
      <c r="B1024" s="32" t="s">
        <v>2897</v>
      </c>
      <c r="C1024" s="33">
        <v>45786.0</v>
      </c>
      <c r="D1024" s="47" t="s">
        <v>22</v>
      </c>
      <c r="E1024" s="32" t="s">
        <v>335</v>
      </c>
      <c r="F1024" s="34" t="s">
        <v>53</v>
      </c>
      <c r="G1024" s="34" t="s">
        <v>1808</v>
      </c>
      <c r="H1024" s="35" t="s">
        <v>26</v>
      </c>
      <c r="I1024" s="35" t="s">
        <v>27</v>
      </c>
      <c r="J1024" s="35" t="s">
        <v>100</v>
      </c>
      <c r="K1024" s="57"/>
      <c r="L1024" s="84"/>
    </row>
    <row r="1025">
      <c r="A1025" s="32" t="s">
        <v>2898</v>
      </c>
      <c r="B1025" s="32" t="s">
        <v>2899</v>
      </c>
      <c r="C1025" s="33">
        <v>45786.0</v>
      </c>
      <c r="D1025" s="34" t="s">
        <v>22</v>
      </c>
      <c r="E1025" s="32" t="s">
        <v>707</v>
      </c>
      <c r="F1025" s="34" t="s">
        <v>24</v>
      </c>
      <c r="G1025" s="34" t="s">
        <v>25</v>
      </c>
      <c r="H1025" s="35" t="s">
        <v>26</v>
      </c>
      <c r="I1025" s="35" t="s">
        <v>27</v>
      </c>
      <c r="J1025" s="57"/>
      <c r="K1025" s="57"/>
      <c r="L1025" s="84"/>
    </row>
    <row r="1026">
      <c r="A1026" s="32" t="s">
        <v>2900</v>
      </c>
      <c r="B1026" s="32" t="s">
        <v>2901</v>
      </c>
      <c r="C1026" s="33">
        <v>45786.0</v>
      </c>
      <c r="D1026" s="34" t="s">
        <v>22</v>
      </c>
      <c r="E1026" s="32" t="s">
        <v>98</v>
      </c>
      <c r="F1026" s="34" t="s">
        <v>24</v>
      </c>
      <c r="G1026" s="34" t="s">
        <v>2902</v>
      </c>
      <c r="H1026" s="35" t="s">
        <v>26</v>
      </c>
      <c r="I1026" s="35" t="s">
        <v>27</v>
      </c>
      <c r="J1026" s="35" t="s">
        <v>100</v>
      </c>
      <c r="K1026" s="57"/>
      <c r="L1026" s="84"/>
    </row>
    <row r="1027">
      <c r="A1027" s="32" t="s">
        <v>2903</v>
      </c>
      <c r="B1027" s="32" t="s">
        <v>2904</v>
      </c>
      <c r="C1027" s="33">
        <v>45786.0</v>
      </c>
      <c r="D1027" s="34" t="s">
        <v>22</v>
      </c>
      <c r="E1027" s="32" t="s">
        <v>2905</v>
      </c>
      <c r="F1027" s="34" t="s">
        <v>53</v>
      </c>
      <c r="G1027" s="34" t="s">
        <v>2906</v>
      </c>
      <c r="H1027" s="35" t="s">
        <v>26</v>
      </c>
      <c r="I1027" s="35" t="s">
        <v>27</v>
      </c>
      <c r="J1027" s="57"/>
      <c r="K1027" s="57"/>
      <c r="L1027" s="84"/>
    </row>
    <row r="1028">
      <c r="A1028" s="32" t="s">
        <v>2907</v>
      </c>
      <c r="B1028" s="32" t="s">
        <v>2908</v>
      </c>
      <c r="C1028" s="33">
        <v>45786.0</v>
      </c>
      <c r="D1028" s="34" t="s">
        <v>22</v>
      </c>
      <c r="E1028" s="32" t="s">
        <v>2192</v>
      </c>
      <c r="F1028" s="34" t="s">
        <v>156</v>
      </c>
      <c r="G1028" s="34" t="s">
        <v>2909</v>
      </c>
      <c r="H1028" s="35" t="s">
        <v>26</v>
      </c>
      <c r="I1028" s="40" t="str">
        <f>HYPERLINK("https://open.spotify.com/album/5tEyBI3sx8izPIGfQYt3Do", "S")</f>
        <v>S</v>
      </c>
      <c r="J1028" s="65"/>
      <c r="K1028" s="57"/>
      <c r="L1028" s="84"/>
    </row>
    <row r="1029">
      <c r="A1029" s="32" t="s">
        <v>2910</v>
      </c>
      <c r="B1029" s="32" t="s">
        <v>2911</v>
      </c>
      <c r="C1029" s="33">
        <v>45786.0</v>
      </c>
      <c r="D1029" s="34" t="s">
        <v>22</v>
      </c>
      <c r="E1029" s="32" t="s">
        <v>2912</v>
      </c>
      <c r="F1029" s="34" t="s">
        <v>53</v>
      </c>
      <c r="G1029" s="34" t="s">
        <v>1488</v>
      </c>
      <c r="H1029" s="35" t="s">
        <v>26</v>
      </c>
      <c r="I1029" s="35" t="s">
        <v>27</v>
      </c>
      <c r="J1029" s="35" t="s">
        <v>100</v>
      </c>
      <c r="K1029" s="57"/>
      <c r="L1029" s="84"/>
    </row>
    <row r="1030">
      <c r="A1030" s="32" t="s">
        <v>2913</v>
      </c>
      <c r="B1030" s="32" t="s">
        <v>2914</v>
      </c>
      <c r="C1030" s="33">
        <v>45786.0</v>
      </c>
      <c r="D1030" s="34" t="s">
        <v>22</v>
      </c>
      <c r="E1030" s="32" t="s">
        <v>389</v>
      </c>
      <c r="F1030" s="34" t="s">
        <v>24</v>
      </c>
      <c r="G1030" s="34" t="s">
        <v>2915</v>
      </c>
      <c r="H1030" s="35" t="s">
        <v>26</v>
      </c>
      <c r="I1030" s="35" t="s">
        <v>27</v>
      </c>
      <c r="J1030" s="57"/>
      <c r="K1030" s="57"/>
      <c r="L1030" s="84"/>
    </row>
    <row r="1031">
      <c r="A1031" s="32" t="s">
        <v>2916</v>
      </c>
      <c r="B1031" s="32" t="s">
        <v>2917</v>
      </c>
      <c r="C1031" s="33">
        <v>45786.0</v>
      </c>
      <c r="D1031" s="34" t="s">
        <v>22</v>
      </c>
      <c r="E1031" s="32" t="s">
        <v>61</v>
      </c>
      <c r="F1031" s="34" t="s">
        <v>24</v>
      </c>
      <c r="G1031" s="34" t="s">
        <v>352</v>
      </c>
      <c r="H1031" s="35" t="s">
        <v>26</v>
      </c>
      <c r="I1031" s="35" t="s">
        <v>27</v>
      </c>
      <c r="J1031" s="35" t="s">
        <v>100</v>
      </c>
      <c r="K1031" s="57"/>
      <c r="L1031" s="84"/>
    </row>
    <row r="1032">
      <c r="A1032" s="32" t="s">
        <v>2918</v>
      </c>
      <c r="B1032" s="32" t="s">
        <v>2919</v>
      </c>
      <c r="C1032" s="33">
        <v>45786.0</v>
      </c>
      <c r="D1032" s="34" t="s">
        <v>22</v>
      </c>
      <c r="E1032" s="32" t="s">
        <v>513</v>
      </c>
      <c r="F1032" s="34" t="s">
        <v>156</v>
      </c>
      <c r="G1032" s="34" t="s">
        <v>2920</v>
      </c>
      <c r="H1032" s="35" t="s">
        <v>26</v>
      </c>
      <c r="I1032" s="35" t="s">
        <v>27</v>
      </c>
      <c r="J1032" s="57"/>
      <c r="K1032" s="57"/>
      <c r="L1032" s="84"/>
    </row>
    <row r="1033">
      <c r="A1033" s="32" t="s">
        <v>2921</v>
      </c>
      <c r="B1033" s="32" t="s">
        <v>2922</v>
      </c>
      <c r="C1033" s="33">
        <v>45786.0</v>
      </c>
      <c r="D1033" s="34" t="s">
        <v>22</v>
      </c>
      <c r="E1033" s="32" t="s">
        <v>61</v>
      </c>
      <c r="F1033" s="34" t="s">
        <v>24</v>
      </c>
      <c r="G1033" s="34" t="s">
        <v>2923</v>
      </c>
      <c r="H1033" s="35" t="s">
        <v>26</v>
      </c>
      <c r="I1033" s="35" t="s">
        <v>27</v>
      </c>
      <c r="J1033" s="57"/>
      <c r="K1033" s="57"/>
      <c r="L1033" s="84"/>
    </row>
    <row r="1034">
      <c r="A1034" s="32" t="s">
        <v>2924</v>
      </c>
      <c r="B1034" s="32" t="s">
        <v>2925</v>
      </c>
      <c r="C1034" s="33">
        <v>45786.0</v>
      </c>
      <c r="D1034" s="47" t="s">
        <v>22</v>
      </c>
      <c r="E1034" s="32" t="s">
        <v>2926</v>
      </c>
      <c r="F1034" s="34" t="s">
        <v>53</v>
      </c>
      <c r="G1034" s="34" t="s">
        <v>257</v>
      </c>
      <c r="H1034" s="35" t="s">
        <v>26</v>
      </c>
      <c r="I1034" s="35" t="s">
        <v>27</v>
      </c>
      <c r="J1034" s="35" t="s">
        <v>100</v>
      </c>
      <c r="K1034" s="57"/>
      <c r="L1034" s="84"/>
    </row>
    <row r="1035">
      <c r="A1035" s="32" t="s">
        <v>2927</v>
      </c>
      <c r="B1035" s="32" t="s">
        <v>2928</v>
      </c>
      <c r="C1035" s="33">
        <v>45786.0</v>
      </c>
      <c r="D1035" s="47" t="s">
        <v>22</v>
      </c>
      <c r="E1035" s="32" t="s">
        <v>61</v>
      </c>
      <c r="F1035" s="34" t="s">
        <v>24</v>
      </c>
      <c r="G1035" s="34" t="s">
        <v>2363</v>
      </c>
      <c r="H1035" s="35" t="s">
        <v>26</v>
      </c>
      <c r="I1035" s="35" t="s">
        <v>27</v>
      </c>
      <c r="J1035" s="35" t="s">
        <v>100</v>
      </c>
      <c r="K1035" s="57"/>
      <c r="L1035" s="84"/>
    </row>
    <row r="1036">
      <c r="A1036" s="32" t="s">
        <v>2929</v>
      </c>
      <c r="B1036" s="32" t="s">
        <v>2929</v>
      </c>
      <c r="C1036" s="33">
        <v>45786.0</v>
      </c>
      <c r="D1036" s="34" t="s">
        <v>22</v>
      </c>
      <c r="E1036" s="32" t="s">
        <v>2930</v>
      </c>
      <c r="F1036" s="34" t="s">
        <v>24</v>
      </c>
      <c r="G1036" s="34" t="s">
        <v>2931</v>
      </c>
      <c r="H1036" s="35" t="s">
        <v>26</v>
      </c>
      <c r="I1036" s="35" t="s">
        <v>27</v>
      </c>
      <c r="J1036" s="57"/>
      <c r="K1036" s="57"/>
      <c r="L1036" s="84"/>
    </row>
    <row r="1037">
      <c r="A1037" s="32" t="s">
        <v>2932</v>
      </c>
      <c r="B1037" s="32" t="s">
        <v>2933</v>
      </c>
      <c r="C1037" s="33">
        <v>45786.0</v>
      </c>
      <c r="D1037" s="69" t="s">
        <v>39</v>
      </c>
      <c r="E1037" s="32" t="s">
        <v>2934</v>
      </c>
      <c r="F1037" s="34" t="s">
        <v>24</v>
      </c>
      <c r="G1037" s="34" t="s">
        <v>442</v>
      </c>
      <c r="H1037" s="35" t="s">
        <v>26</v>
      </c>
      <c r="I1037" s="35" t="s">
        <v>27</v>
      </c>
      <c r="J1037" s="57"/>
      <c r="K1037" s="57"/>
      <c r="L1037" s="84"/>
    </row>
    <row r="1038">
      <c r="A1038" s="32" t="s">
        <v>2935</v>
      </c>
      <c r="B1038" s="32" t="s">
        <v>2936</v>
      </c>
      <c r="C1038" s="33">
        <v>45786.0</v>
      </c>
      <c r="D1038" s="34" t="s">
        <v>22</v>
      </c>
      <c r="E1038" s="32" t="s">
        <v>98</v>
      </c>
      <c r="F1038" s="34" t="s">
        <v>53</v>
      </c>
      <c r="G1038" s="34" t="s">
        <v>2937</v>
      </c>
      <c r="H1038" s="35" t="s">
        <v>26</v>
      </c>
      <c r="I1038" s="35" t="s">
        <v>27</v>
      </c>
      <c r="J1038" s="57"/>
      <c r="K1038" s="57"/>
      <c r="L1038" s="84"/>
    </row>
    <row r="1039">
      <c r="A1039" s="32" t="s">
        <v>2938</v>
      </c>
      <c r="B1039" s="32" t="s">
        <v>2939</v>
      </c>
      <c r="C1039" s="33">
        <v>45786.0</v>
      </c>
      <c r="D1039" s="34" t="s">
        <v>22</v>
      </c>
      <c r="E1039" s="32" t="s">
        <v>2940</v>
      </c>
      <c r="F1039" s="34" t="s">
        <v>24</v>
      </c>
      <c r="G1039" s="34" t="s">
        <v>1621</v>
      </c>
      <c r="H1039" s="35" t="s">
        <v>26</v>
      </c>
      <c r="I1039" s="35" t="s">
        <v>27</v>
      </c>
      <c r="J1039" s="57"/>
      <c r="K1039" s="57"/>
      <c r="L1039" s="84"/>
    </row>
    <row r="1040">
      <c r="A1040" s="32" t="s">
        <v>2941</v>
      </c>
      <c r="B1040" s="32" t="s">
        <v>2942</v>
      </c>
      <c r="C1040" s="33">
        <v>45787.0</v>
      </c>
      <c r="D1040" s="47" t="s">
        <v>22</v>
      </c>
      <c r="E1040" s="32" t="s">
        <v>168</v>
      </c>
      <c r="F1040" s="34" t="s">
        <v>53</v>
      </c>
      <c r="G1040" s="34" t="s">
        <v>1845</v>
      </c>
      <c r="H1040" s="35" t="s">
        <v>26</v>
      </c>
      <c r="I1040" s="35" t="s">
        <v>27</v>
      </c>
      <c r="J1040" s="57"/>
      <c r="K1040" s="57"/>
      <c r="L1040" s="84"/>
    </row>
    <row r="1041">
      <c r="A1041" s="32" t="s">
        <v>2943</v>
      </c>
      <c r="B1041" s="32" t="s">
        <v>2944</v>
      </c>
      <c r="C1041" s="33">
        <v>45788.0</v>
      </c>
      <c r="D1041" s="34" t="s">
        <v>39</v>
      </c>
      <c r="E1041" s="32" t="s">
        <v>107</v>
      </c>
      <c r="F1041" s="34" t="s">
        <v>24</v>
      </c>
      <c r="G1041" s="34" t="s">
        <v>892</v>
      </c>
      <c r="H1041" s="35" t="s">
        <v>26</v>
      </c>
      <c r="I1041" s="66"/>
      <c r="J1041" s="57"/>
      <c r="K1041" s="57"/>
      <c r="L1041" s="84"/>
    </row>
    <row r="1042">
      <c r="A1042" s="32" t="s">
        <v>2945</v>
      </c>
      <c r="B1042" s="32" t="s">
        <v>2946</v>
      </c>
      <c r="C1042" s="33">
        <v>45792.0</v>
      </c>
      <c r="D1042" s="34" t="s">
        <v>22</v>
      </c>
      <c r="E1042" s="32" t="s">
        <v>192</v>
      </c>
      <c r="F1042" s="34" t="s">
        <v>156</v>
      </c>
      <c r="G1042" s="34" t="s">
        <v>2947</v>
      </c>
      <c r="H1042" s="35" t="s">
        <v>26</v>
      </c>
      <c r="I1042" s="36" t="str">
        <f>HYPERLINK("https://open.spotify.com/album/4mWoeptofa4JPb8a0gANtS", "S")</f>
        <v>S</v>
      </c>
      <c r="J1042" s="57"/>
      <c r="K1042" s="57"/>
      <c r="L1042" s="84"/>
    </row>
    <row r="1043">
      <c r="A1043" s="32" t="s">
        <v>2948</v>
      </c>
      <c r="B1043" s="32" t="s">
        <v>2949</v>
      </c>
      <c r="C1043" s="33">
        <v>45792.0</v>
      </c>
      <c r="D1043" s="34" t="s">
        <v>22</v>
      </c>
      <c r="E1043" s="32" t="s">
        <v>2950</v>
      </c>
      <c r="F1043" s="34" t="s">
        <v>53</v>
      </c>
      <c r="G1043" s="34" t="s">
        <v>2951</v>
      </c>
      <c r="H1043" s="35" t="s">
        <v>26</v>
      </c>
      <c r="I1043" s="35" t="s">
        <v>27</v>
      </c>
      <c r="J1043" s="57"/>
      <c r="K1043" s="57"/>
      <c r="L1043" s="84"/>
    </row>
    <row r="1044">
      <c r="A1044" s="32" t="s">
        <v>2952</v>
      </c>
      <c r="B1044" s="32" t="s">
        <v>2953</v>
      </c>
      <c r="C1044" s="33">
        <v>45793.0</v>
      </c>
      <c r="D1044" s="34" t="s">
        <v>22</v>
      </c>
      <c r="E1044" s="32" t="s">
        <v>122</v>
      </c>
      <c r="F1044" s="34" t="s">
        <v>31</v>
      </c>
      <c r="G1044" s="34" t="s">
        <v>1673</v>
      </c>
      <c r="H1044" s="35" t="s">
        <v>26</v>
      </c>
      <c r="I1044" s="35" t="s">
        <v>27</v>
      </c>
      <c r="J1044" s="57"/>
      <c r="K1044" s="57"/>
      <c r="L1044" s="84"/>
    </row>
    <row r="1045">
      <c r="A1045" s="32" t="s">
        <v>2954</v>
      </c>
      <c r="B1045" s="32" t="s">
        <v>2955</v>
      </c>
      <c r="C1045" s="33">
        <v>45793.0</v>
      </c>
      <c r="D1045" s="34" t="s">
        <v>39</v>
      </c>
      <c r="E1045" s="32" t="s">
        <v>2956</v>
      </c>
      <c r="F1045" s="34" t="s">
        <v>24</v>
      </c>
      <c r="G1045" s="34" t="s">
        <v>2957</v>
      </c>
      <c r="H1045" s="35" t="s">
        <v>26</v>
      </c>
      <c r="I1045" s="35" t="s">
        <v>27</v>
      </c>
      <c r="J1045" s="57"/>
      <c r="K1045" s="57"/>
      <c r="L1045" s="84"/>
    </row>
    <row r="1046">
      <c r="A1046" s="32" t="s">
        <v>2958</v>
      </c>
      <c r="B1046" s="32" t="s">
        <v>2959</v>
      </c>
      <c r="C1046" s="33">
        <v>45793.0</v>
      </c>
      <c r="D1046" s="34" t="s">
        <v>22</v>
      </c>
      <c r="E1046" s="32" t="s">
        <v>2960</v>
      </c>
      <c r="F1046" s="34" t="s">
        <v>53</v>
      </c>
      <c r="G1046" s="34" t="s">
        <v>599</v>
      </c>
      <c r="H1046" s="35" t="s">
        <v>26</v>
      </c>
      <c r="I1046" s="35" t="s">
        <v>27</v>
      </c>
      <c r="J1046" s="57"/>
      <c r="K1046" s="57"/>
      <c r="L1046" s="84"/>
    </row>
    <row r="1047">
      <c r="A1047" s="32" t="s">
        <v>2961</v>
      </c>
      <c r="B1047" s="32" t="s">
        <v>2962</v>
      </c>
      <c r="C1047" s="33">
        <v>45793.0</v>
      </c>
      <c r="D1047" s="34" t="s">
        <v>22</v>
      </c>
      <c r="E1047" s="32" t="s">
        <v>2963</v>
      </c>
      <c r="F1047" s="34" t="s">
        <v>24</v>
      </c>
      <c r="G1047" s="34" t="s">
        <v>2964</v>
      </c>
      <c r="H1047" s="35" t="s">
        <v>26</v>
      </c>
      <c r="I1047" s="35" t="s">
        <v>27</v>
      </c>
      <c r="J1047" s="57"/>
      <c r="K1047" s="57"/>
      <c r="L1047" s="84"/>
    </row>
    <row r="1048">
      <c r="A1048" s="32" t="s">
        <v>2965</v>
      </c>
      <c r="B1048" s="32" t="s">
        <v>2966</v>
      </c>
      <c r="C1048" s="33">
        <v>45793.0</v>
      </c>
      <c r="D1048" s="34" t="s">
        <v>22</v>
      </c>
      <c r="E1048" s="32" t="s">
        <v>2762</v>
      </c>
      <c r="F1048" s="34" t="s">
        <v>24</v>
      </c>
      <c r="G1048" s="34" t="s">
        <v>2423</v>
      </c>
      <c r="H1048" s="35" t="s">
        <v>26</v>
      </c>
      <c r="I1048" s="35" t="s">
        <v>27</v>
      </c>
      <c r="J1048" s="57"/>
      <c r="K1048" s="57"/>
      <c r="L1048" s="84"/>
    </row>
    <row r="1049">
      <c r="A1049" s="32" t="s">
        <v>2967</v>
      </c>
      <c r="B1049" s="32" t="s">
        <v>2968</v>
      </c>
      <c r="C1049" s="33">
        <v>45793.0</v>
      </c>
      <c r="D1049" s="47" t="s">
        <v>22</v>
      </c>
      <c r="E1049" s="32" t="s">
        <v>61</v>
      </c>
      <c r="F1049" s="34" t="s">
        <v>24</v>
      </c>
      <c r="G1049" s="34" t="s">
        <v>361</v>
      </c>
      <c r="H1049" s="35" t="s">
        <v>26</v>
      </c>
      <c r="I1049" s="35" t="s">
        <v>27</v>
      </c>
      <c r="J1049" s="35" t="s">
        <v>100</v>
      </c>
      <c r="K1049" s="57"/>
      <c r="L1049" s="84"/>
    </row>
    <row r="1050">
      <c r="A1050" s="32" t="s">
        <v>2969</v>
      </c>
      <c r="B1050" s="32" t="s">
        <v>2970</v>
      </c>
      <c r="C1050" s="33">
        <v>45793.0</v>
      </c>
      <c r="D1050" s="34" t="s">
        <v>22</v>
      </c>
      <c r="E1050" s="32" t="s">
        <v>2971</v>
      </c>
      <c r="F1050" s="34" t="s">
        <v>53</v>
      </c>
      <c r="G1050" s="34" t="s">
        <v>2972</v>
      </c>
      <c r="H1050" s="35" t="s">
        <v>26</v>
      </c>
      <c r="I1050" s="35" t="s">
        <v>27</v>
      </c>
      <c r="J1050" s="57"/>
      <c r="K1050" s="57"/>
      <c r="L1050" s="84"/>
    </row>
    <row r="1051">
      <c r="A1051" s="31" t="s">
        <v>2973</v>
      </c>
      <c r="B1051" s="32" t="s">
        <v>2974</v>
      </c>
      <c r="C1051" s="33">
        <v>45793.0</v>
      </c>
      <c r="D1051" s="34" t="s">
        <v>22</v>
      </c>
      <c r="E1051" s="32" t="s">
        <v>2975</v>
      </c>
      <c r="F1051" s="34" t="s">
        <v>53</v>
      </c>
      <c r="G1051" s="34" t="s">
        <v>231</v>
      </c>
      <c r="H1051" s="35" t="s">
        <v>26</v>
      </c>
      <c r="I1051" s="35" t="s">
        <v>27</v>
      </c>
      <c r="J1051" s="57"/>
      <c r="K1051" s="57"/>
      <c r="L1051" s="84"/>
    </row>
    <row r="1052">
      <c r="A1052" s="31" t="s">
        <v>2976</v>
      </c>
      <c r="B1052" s="32" t="s">
        <v>2977</v>
      </c>
      <c r="C1052" s="33">
        <v>45793.0</v>
      </c>
      <c r="D1052" s="34" t="s">
        <v>22</v>
      </c>
      <c r="E1052" s="32" t="s">
        <v>436</v>
      </c>
      <c r="F1052" s="34" t="s">
        <v>31</v>
      </c>
      <c r="G1052" s="34" t="s">
        <v>202</v>
      </c>
      <c r="H1052" s="35" t="s">
        <v>26</v>
      </c>
      <c r="I1052" s="35" t="s">
        <v>27</v>
      </c>
      <c r="J1052" s="35" t="s">
        <v>100</v>
      </c>
      <c r="K1052" s="57"/>
      <c r="L1052" s="84"/>
    </row>
    <row r="1053">
      <c r="A1053" s="31" t="s">
        <v>2978</v>
      </c>
      <c r="B1053" s="32" t="s">
        <v>2979</v>
      </c>
      <c r="C1053" s="33">
        <v>45793.0</v>
      </c>
      <c r="D1053" s="34" t="s">
        <v>22</v>
      </c>
      <c r="E1053" s="32" t="s">
        <v>2980</v>
      </c>
      <c r="F1053" s="34" t="s">
        <v>53</v>
      </c>
      <c r="G1053" s="34" t="s">
        <v>285</v>
      </c>
      <c r="H1053" s="35" t="s">
        <v>26</v>
      </c>
      <c r="I1053" s="35" t="s">
        <v>27</v>
      </c>
      <c r="J1053" s="35" t="s">
        <v>100</v>
      </c>
      <c r="K1053" s="57"/>
      <c r="L1053" s="84"/>
    </row>
    <row r="1054">
      <c r="A1054" s="32" t="s">
        <v>2981</v>
      </c>
      <c r="B1054" s="32" t="s">
        <v>2982</v>
      </c>
      <c r="C1054" s="45">
        <v>45793.0</v>
      </c>
      <c r="D1054" s="68" t="s">
        <v>22</v>
      </c>
      <c r="E1054" s="32" t="s">
        <v>1516</v>
      </c>
      <c r="F1054" s="34" t="s">
        <v>53</v>
      </c>
      <c r="G1054" s="34" t="s">
        <v>487</v>
      </c>
      <c r="H1054" s="57"/>
      <c r="I1054" s="35" t="s">
        <v>27</v>
      </c>
      <c r="J1054" s="57"/>
      <c r="K1054" s="57"/>
      <c r="L1054" s="84"/>
    </row>
    <row r="1055">
      <c r="A1055" s="31" t="s">
        <v>2983</v>
      </c>
      <c r="B1055" s="32" t="s">
        <v>2984</v>
      </c>
      <c r="C1055" s="45">
        <v>45793.0</v>
      </c>
      <c r="D1055" s="34" t="s">
        <v>22</v>
      </c>
      <c r="E1055" s="32" t="s">
        <v>122</v>
      </c>
      <c r="F1055" s="34" t="s">
        <v>156</v>
      </c>
      <c r="G1055" s="34" t="s">
        <v>152</v>
      </c>
      <c r="H1055" s="35" t="s">
        <v>26</v>
      </c>
      <c r="I1055" s="35" t="s">
        <v>27</v>
      </c>
      <c r="J1055" s="35" t="s">
        <v>100</v>
      </c>
      <c r="K1055" s="57"/>
      <c r="L1055" s="84"/>
    </row>
    <row r="1056">
      <c r="A1056" s="31" t="s">
        <v>2985</v>
      </c>
      <c r="B1056" s="32" t="s">
        <v>2986</v>
      </c>
      <c r="C1056" s="33">
        <v>45793.0</v>
      </c>
      <c r="D1056" s="34" t="s">
        <v>22</v>
      </c>
      <c r="E1056" s="32" t="s">
        <v>2987</v>
      </c>
      <c r="F1056" s="34" t="s">
        <v>53</v>
      </c>
      <c r="G1056" s="34" t="s">
        <v>292</v>
      </c>
      <c r="H1056" s="66"/>
      <c r="I1056" s="35" t="s">
        <v>27</v>
      </c>
      <c r="J1056" s="35" t="s">
        <v>100</v>
      </c>
      <c r="K1056" s="57"/>
      <c r="L1056" s="84"/>
    </row>
    <row r="1057">
      <c r="A1057" s="31" t="s">
        <v>2988</v>
      </c>
      <c r="B1057" s="32" t="s">
        <v>2989</v>
      </c>
      <c r="C1057" s="33">
        <v>45793.0</v>
      </c>
      <c r="D1057" s="34" t="s">
        <v>22</v>
      </c>
      <c r="E1057" s="32" t="s">
        <v>61</v>
      </c>
      <c r="F1057" s="34" t="s">
        <v>24</v>
      </c>
      <c r="G1057" s="34" t="s">
        <v>792</v>
      </c>
      <c r="H1057" s="35" t="s">
        <v>26</v>
      </c>
      <c r="I1057" s="35" t="s">
        <v>27</v>
      </c>
      <c r="J1057" s="35" t="s">
        <v>100</v>
      </c>
      <c r="K1057" s="57"/>
      <c r="L1057" s="84"/>
    </row>
    <row r="1058">
      <c r="A1058" s="31" t="s">
        <v>2990</v>
      </c>
      <c r="B1058" s="32" t="s">
        <v>2991</v>
      </c>
      <c r="C1058" s="33">
        <v>45793.0</v>
      </c>
      <c r="D1058" s="34" t="s">
        <v>39</v>
      </c>
      <c r="E1058" s="32" t="s">
        <v>335</v>
      </c>
      <c r="F1058" s="34" t="s">
        <v>24</v>
      </c>
      <c r="G1058" s="34" t="s">
        <v>257</v>
      </c>
      <c r="H1058" s="35" t="s">
        <v>26</v>
      </c>
      <c r="I1058" s="35" t="s">
        <v>27</v>
      </c>
      <c r="J1058" s="35" t="s">
        <v>100</v>
      </c>
      <c r="K1058" s="57"/>
      <c r="L1058" s="84"/>
    </row>
    <row r="1059">
      <c r="A1059" s="31" t="s">
        <v>2992</v>
      </c>
      <c r="B1059" s="32" t="s">
        <v>2993</v>
      </c>
      <c r="C1059" s="33">
        <v>45793.0</v>
      </c>
      <c r="D1059" s="34" t="s">
        <v>22</v>
      </c>
      <c r="E1059" s="32" t="s">
        <v>2994</v>
      </c>
      <c r="F1059" s="34" t="s">
        <v>53</v>
      </c>
      <c r="G1059" s="34" t="s">
        <v>225</v>
      </c>
      <c r="H1059" s="65"/>
      <c r="I1059" s="35" t="s">
        <v>27</v>
      </c>
      <c r="J1059" s="57"/>
      <c r="K1059" s="57"/>
      <c r="L1059" s="84"/>
    </row>
    <row r="1060">
      <c r="A1060" s="31" t="s">
        <v>2995</v>
      </c>
      <c r="B1060" s="32" t="s">
        <v>2996</v>
      </c>
      <c r="C1060" s="33">
        <v>45793.0</v>
      </c>
      <c r="D1060" s="34" t="s">
        <v>22</v>
      </c>
      <c r="E1060" s="32" t="s">
        <v>98</v>
      </c>
      <c r="F1060" s="34" t="s">
        <v>24</v>
      </c>
      <c r="G1060" s="34" t="s">
        <v>1067</v>
      </c>
      <c r="H1060" s="35" t="s">
        <v>26</v>
      </c>
      <c r="I1060" s="35" t="s">
        <v>27</v>
      </c>
      <c r="J1060" s="57"/>
      <c r="K1060" s="57"/>
      <c r="L1060" s="84"/>
    </row>
    <row r="1061">
      <c r="A1061" s="31" t="s">
        <v>2997</v>
      </c>
      <c r="B1061" s="32" t="s">
        <v>2998</v>
      </c>
      <c r="C1061" s="33">
        <v>45793.0</v>
      </c>
      <c r="D1061" s="34" t="s">
        <v>22</v>
      </c>
      <c r="E1061" s="32" t="s">
        <v>122</v>
      </c>
      <c r="F1061" s="34" t="s">
        <v>156</v>
      </c>
      <c r="G1061" s="34" t="s">
        <v>2999</v>
      </c>
      <c r="H1061" s="35" t="s">
        <v>26</v>
      </c>
      <c r="I1061" s="35" t="s">
        <v>27</v>
      </c>
      <c r="J1061" s="57"/>
      <c r="K1061" s="57"/>
      <c r="L1061" s="84"/>
    </row>
    <row r="1062">
      <c r="A1062" s="32" t="s">
        <v>3000</v>
      </c>
      <c r="B1062" s="32" t="s">
        <v>3001</v>
      </c>
      <c r="C1062" s="33">
        <v>45793.0</v>
      </c>
      <c r="D1062" s="34" t="s">
        <v>22</v>
      </c>
      <c r="E1062" s="32" t="s">
        <v>73</v>
      </c>
      <c r="F1062" s="34" t="s">
        <v>24</v>
      </c>
      <c r="G1062" s="34" t="s">
        <v>892</v>
      </c>
      <c r="H1062" s="35" t="s">
        <v>26</v>
      </c>
      <c r="I1062" s="35" t="s">
        <v>27</v>
      </c>
      <c r="J1062" s="57"/>
      <c r="K1062" s="57"/>
      <c r="L1062" s="84"/>
    </row>
    <row r="1063">
      <c r="A1063" s="32" t="s">
        <v>3002</v>
      </c>
      <c r="B1063" s="32" t="s">
        <v>3003</v>
      </c>
      <c r="C1063" s="33">
        <v>45793.0</v>
      </c>
      <c r="D1063" s="34" t="s">
        <v>22</v>
      </c>
      <c r="E1063" s="32" t="s">
        <v>61</v>
      </c>
      <c r="F1063" s="34" t="s">
        <v>24</v>
      </c>
      <c r="G1063" s="34" t="s">
        <v>1835</v>
      </c>
      <c r="H1063" s="35" t="s">
        <v>26</v>
      </c>
      <c r="I1063" s="35" t="s">
        <v>27</v>
      </c>
      <c r="J1063" s="35" t="s">
        <v>100</v>
      </c>
      <c r="K1063" s="57"/>
      <c r="L1063" s="84"/>
    </row>
    <row r="1064">
      <c r="A1064" s="32" t="s">
        <v>3004</v>
      </c>
      <c r="B1064" s="32" t="s">
        <v>3005</v>
      </c>
      <c r="C1064" s="33">
        <v>45793.0</v>
      </c>
      <c r="D1064" s="34" t="s">
        <v>39</v>
      </c>
      <c r="E1064" s="32" t="s">
        <v>3006</v>
      </c>
      <c r="F1064" s="34" t="s">
        <v>53</v>
      </c>
      <c r="G1064" s="34" t="s">
        <v>440</v>
      </c>
      <c r="H1064" s="35" t="s">
        <v>26</v>
      </c>
      <c r="I1064" s="35" t="s">
        <v>27</v>
      </c>
      <c r="J1064" s="57"/>
      <c r="K1064" s="57"/>
      <c r="L1064" s="84"/>
    </row>
    <row r="1065">
      <c r="A1065" s="32" t="s">
        <v>3007</v>
      </c>
      <c r="B1065" s="32" t="s">
        <v>3007</v>
      </c>
      <c r="C1065" s="33">
        <v>45793.0</v>
      </c>
      <c r="D1065" s="34" t="s">
        <v>22</v>
      </c>
      <c r="E1065" s="32" t="s">
        <v>1519</v>
      </c>
      <c r="F1065" s="34" t="s">
        <v>53</v>
      </c>
      <c r="G1065" s="34" t="s">
        <v>599</v>
      </c>
      <c r="H1065" s="35" t="s">
        <v>26</v>
      </c>
      <c r="I1065" s="35" t="s">
        <v>27</v>
      </c>
      <c r="J1065" s="57"/>
      <c r="K1065" s="57"/>
      <c r="L1065" s="84"/>
    </row>
    <row r="1066">
      <c r="A1066" s="32" t="s">
        <v>3008</v>
      </c>
      <c r="B1066" s="32" t="s">
        <v>3009</v>
      </c>
      <c r="C1066" s="33">
        <v>45793.0</v>
      </c>
      <c r="D1066" s="34" t="s">
        <v>22</v>
      </c>
      <c r="E1066" s="32" t="s">
        <v>73</v>
      </c>
      <c r="F1066" s="34" t="s">
        <v>24</v>
      </c>
      <c r="G1066" s="34" t="s">
        <v>3010</v>
      </c>
      <c r="H1066" s="35" t="s">
        <v>26</v>
      </c>
      <c r="I1066" s="35" t="s">
        <v>27</v>
      </c>
      <c r="J1066" s="35" t="s">
        <v>100</v>
      </c>
      <c r="K1066" s="57"/>
      <c r="L1066" s="84"/>
    </row>
    <row r="1067">
      <c r="A1067" s="32" t="s">
        <v>3011</v>
      </c>
      <c r="B1067" s="32" t="s">
        <v>3012</v>
      </c>
      <c r="C1067" s="33">
        <v>45793.0</v>
      </c>
      <c r="D1067" s="47" t="s">
        <v>39</v>
      </c>
      <c r="E1067" s="32" t="s">
        <v>126</v>
      </c>
      <c r="F1067" s="34" t="s">
        <v>24</v>
      </c>
      <c r="G1067" s="34" t="s">
        <v>292</v>
      </c>
      <c r="H1067" s="35" t="s">
        <v>26</v>
      </c>
      <c r="I1067" s="35" t="s">
        <v>27</v>
      </c>
      <c r="J1067" s="35" t="s">
        <v>100</v>
      </c>
      <c r="K1067" s="57"/>
      <c r="L1067" s="84"/>
    </row>
    <row r="1068">
      <c r="A1068" s="32" t="s">
        <v>3013</v>
      </c>
      <c r="B1068" s="32" t="s">
        <v>3014</v>
      </c>
      <c r="C1068" s="33">
        <v>45793.0</v>
      </c>
      <c r="D1068" s="34" t="s">
        <v>22</v>
      </c>
      <c r="E1068" s="32" t="s">
        <v>3015</v>
      </c>
      <c r="F1068" s="34" t="s">
        <v>24</v>
      </c>
      <c r="G1068" s="34" t="s">
        <v>2641</v>
      </c>
      <c r="H1068" s="35" t="s">
        <v>26</v>
      </c>
      <c r="I1068" s="35" t="s">
        <v>27</v>
      </c>
      <c r="J1068" s="35" t="s">
        <v>100</v>
      </c>
      <c r="K1068" s="57"/>
      <c r="L1068" s="84"/>
    </row>
    <row r="1069">
      <c r="A1069" s="32" t="s">
        <v>3016</v>
      </c>
      <c r="B1069" s="32" t="s">
        <v>3017</v>
      </c>
      <c r="C1069" s="33">
        <v>45793.0</v>
      </c>
      <c r="D1069" s="34" t="s">
        <v>39</v>
      </c>
      <c r="E1069" s="32" t="s">
        <v>3018</v>
      </c>
      <c r="F1069" s="34" t="s">
        <v>53</v>
      </c>
      <c r="G1069" s="34" t="s">
        <v>3019</v>
      </c>
      <c r="H1069" s="35" t="s">
        <v>26</v>
      </c>
      <c r="I1069" s="34"/>
      <c r="J1069" s="57"/>
      <c r="K1069" s="57"/>
      <c r="L1069" s="84"/>
    </row>
    <row r="1070">
      <c r="A1070" s="32" t="s">
        <v>3020</v>
      </c>
      <c r="B1070" s="32" t="s">
        <v>3021</v>
      </c>
      <c r="C1070" s="33">
        <v>45793.0</v>
      </c>
      <c r="D1070" s="47" t="s">
        <v>22</v>
      </c>
      <c r="E1070" s="32" t="s">
        <v>2056</v>
      </c>
      <c r="F1070" s="34" t="s">
        <v>24</v>
      </c>
      <c r="G1070" s="34" t="s">
        <v>693</v>
      </c>
      <c r="H1070" s="35" t="s">
        <v>26</v>
      </c>
      <c r="I1070" s="35" t="s">
        <v>27</v>
      </c>
      <c r="J1070" s="57"/>
      <c r="K1070" s="57"/>
      <c r="L1070" s="84"/>
    </row>
    <row r="1071">
      <c r="A1071" s="32" t="s">
        <v>3022</v>
      </c>
      <c r="B1071" s="32" t="s">
        <v>3023</v>
      </c>
      <c r="C1071" s="33">
        <v>45793.0</v>
      </c>
      <c r="D1071" s="34" t="s">
        <v>39</v>
      </c>
      <c r="E1071" s="32" t="s">
        <v>3024</v>
      </c>
      <c r="F1071" s="34" t="s">
        <v>24</v>
      </c>
      <c r="G1071" s="34" t="s">
        <v>202</v>
      </c>
      <c r="H1071" s="35" t="s">
        <v>26</v>
      </c>
      <c r="I1071" s="35" t="s">
        <v>27</v>
      </c>
      <c r="J1071" s="57"/>
      <c r="K1071" s="57"/>
      <c r="L1071" s="84"/>
    </row>
    <row r="1072">
      <c r="A1072" s="32" t="s">
        <v>3025</v>
      </c>
      <c r="B1072" s="32" t="s">
        <v>3026</v>
      </c>
      <c r="C1072" s="33">
        <v>45793.0</v>
      </c>
      <c r="D1072" s="34" t="s">
        <v>22</v>
      </c>
      <c r="E1072" s="32" t="s">
        <v>61</v>
      </c>
      <c r="F1072" s="34" t="s">
        <v>24</v>
      </c>
      <c r="G1072" s="34" t="s">
        <v>3027</v>
      </c>
      <c r="H1072" s="35" t="s">
        <v>26</v>
      </c>
      <c r="I1072" s="35" t="s">
        <v>27</v>
      </c>
      <c r="J1072" s="57"/>
      <c r="K1072" s="57"/>
      <c r="L1072" s="84"/>
    </row>
    <row r="1073">
      <c r="A1073" s="32" t="s">
        <v>3028</v>
      </c>
      <c r="B1073" s="32" t="s">
        <v>3028</v>
      </c>
      <c r="C1073" s="33">
        <v>45793.0</v>
      </c>
      <c r="D1073" s="47" t="s">
        <v>22</v>
      </c>
      <c r="E1073" s="32" t="s">
        <v>3029</v>
      </c>
      <c r="F1073" s="34" t="s">
        <v>156</v>
      </c>
      <c r="G1073" s="34" t="s">
        <v>1028</v>
      </c>
      <c r="H1073" s="35" t="s">
        <v>26</v>
      </c>
      <c r="I1073" s="58" t="str">
        <f>HYPERLINK("https://open.spotify.com/album/0Mf2Bxl4q7bRsCLw93U7J7", "S")</f>
        <v>S</v>
      </c>
      <c r="J1073" s="57"/>
      <c r="K1073" s="57"/>
      <c r="L1073" s="84"/>
    </row>
    <row r="1074">
      <c r="A1074" s="32" t="s">
        <v>3030</v>
      </c>
      <c r="B1074" s="32" t="s">
        <v>3031</v>
      </c>
      <c r="C1074" s="33">
        <v>45793.0</v>
      </c>
      <c r="D1074" s="47" t="s">
        <v>22</v>
      </c>
      <c r="E1074" s="32" t="s">
        <v>513</v>
      </c>
      <c r="F1074" s="34" t="s">
        <v>156</v>
      </c>
      <c r="G1074" s="34" t="s">
        <v>352</v>
      </c>
      <c r="H1074" s="35" t="s">
        <v>26</v>
      </c>
      <c r="I1074" s="35" t="s">
        <v>27</v>
      </c>
      <c r="J1074" s="57"/>
      <c r="K1074" s="57"/>
      <c r="L1074" s="84"/>
    </row>
    <row r="1075">
      <c r="A1075" s="32" t="s">
        <v>3032</v>
      </c>
      <c r="B1075" s="32" t="s">
        <v>3033</v>
      </c>
      <c r="C1075" s="33">
        <v>45793.0</v>
      </c>
      <c r="D1075" s="34" t="s">
        <v>22</v>
      </c>
      <c r="E1075" s="32" t="s">
        <v>473</v>
      </c>
      <c r="F1075" s="34" t="s">
        <v>53</v>
      </c>
      <c r="G1075" s="34" t="s">
        <v>257</v>
      </c>
      <c r="H1075" s="35" t="s">
        <v>26</v>
      </c>
      <c r="I1075" s="35" t="s">
        <v>27</v>
      </c>
      <c r="J1075" s="35" t="s">
        <v>100</v>
      </c>
      <c r="K1075" s="57"/>
      <c r="L1075" s="84"/>
    </row>
    <row r="1076">
      <c r="A1076" s="32" t="s">
        <v>3034</v>
      </c>
      <c r="B1076" s="32" t="s">
        <v>3035</v>
      </c>
      <c r="C1076" s="33">
        <v>45793.0</v>
      </c>
      <c r="D1076" s="34" t="s">
        <v>22</v>
      </c>
      <c r="E1076" s="32" t="s">
        <v>321</v>
      </c>
      <c r="F1076" s="34" t="s">
        <v>156</v>
      </c>
      <c r="G1076" s="34" t="s">
        <v>460</v>
      </c>
      <c r="H1076" s="35" t="s">
        <v>26</v>
      </c>
      <c r="I1076" s="35" t="s">
        <v>27</v>
      </c>
      <c r="J1076" s="57"/>
      <c r="K1076" s="57"/>
      <c r="L1076" s="84"/>
    </row>
    <row r="1077">
      <c r="A1077" s="32" t="s">
        <v>3036</v>
      </c>
      <c r="B1077" s="32" t="s">
        <v>3037</v>
      </c>
      <c r="C1077" s="33">
        <v>45793.0</v>
      </c>
      <c r="D1077" s="34" t="s">
        <v>39</v>
      </c>
      <c r="E1077" s="32" t="s">
        <v>1031</v>
      </c>
      <c r="F1077" s="34" t="s">
        <v>156</v>
      </c>
      <c r="G1077" s="34" t="s">
        <v>225</v>
      </c>
      <c r="H1077" s="35" t="s">
        <v>26</v>
      </c>
      <c r="I1077" s="35" t="s">
        <v>27</v>
      </c>
      <c r="J1077" s="57"/>
      <c r="K1077" s="57"/>
      <c r="L1077" s="84"/>
    </row>
    <row r="1078">
      <c r="A1078" s="32" t="s">
        <v>3038</v>
      </c>
      <c r="B1078" s="32" t="s">
        <v>3039</v>
      </c>
      <c r="C1078" s="33">
        <v>45793.0</v>
      </c>
      <c r="D1078" s="47" t="s">
        <v>39</v>
      </c>
      <c r="E1078" s="32" t="s">
        <v>176</v>
      </c>
      <c r="F1078" s="34" t="s">
        <v>156</v>
      </c>
      <c r="G1078" s="34" t="s">
        <v>1513</v>
      </c>
      <c r="H1078" s="35" t="s">
        <v>26</v>
      </c>
      <c r="I1078" s="35" t="s">
        <v>27</v>
      </c>
      <c r="J1078" s="57"/>
      <c r="K1078" s="57"/>
      <c r="L1078" s="84"/>
    </row>
    <row r="1079">
      <c r="A1079" s="32" t="s">
        <v>3040</v>
      </c>
      <c r="B1079" s="32" t="s">
        <v>3041</v>
      </c>
      <c r="C1079" s="33">
        <v>45793.0</v>
      </c>
      <c r="D1079" s="34" t="s">
        <v>39</v>
      </c>
      <c r="E1079" s="32" t="s">
        <v>374</v>
      </c>
      <c r="F1079" s="34" t="s">
        <v>24</v>
      </c>
      <c r="G1079" s="34" t="s">
        <v>627</v>
      </c>
      <c r="H1079" s="35" t="s">
        <v>26</v>
      </c>
      <c r="I1079" s="36" t="str">
        <f>HYPERLINK("https://open.spotify.com/album/6qdbuiK24XgZgHB8JdMg1T", "S")</f>
        <v>S</v>
      </c>
      <c r="J1079" s="57"/>
      <c r="K1079" s="57"/>
      <c r="L1079" s="84"/>
    </row>
    <row r="1080">
      <c r="A1080" s="32" t="s">
        <v>3042</v>
      </c>
      <c r="B1080" s="32" t="s">
        <v>3043</v>
      </c>
      <c r="C1080" s="33">
        <v>45793.0</v>
      </c>
      <c r="D1080" s="47" t="s">
        <v>22</v>
      </c>
      <c r="E1080" s="32" t="s">
        <v>176</v>
      </c>
      <c r="F1080" s="34" t="s">
        <v>156</v>
      </c>
      <c r="G1080" s="34" t="s">
        <v>299</v>
      </c>
      <c r="H1080" s="35" t="s">
        <v>26</v>
      </c>
      <c r="I1080" s="35" t="s">
        <v>27</v>
      </c>
      <c r="J1080" s="57"/>
      <c r="K1080" s="57"/>
      <c r="L1080" s="84"/>
    </row>
    <row r="1081">
      <c r="A1081" s="32" t="s">
        <v>3044</v>
      </c>
      <c r="B1081" s="32" t="s">
        <v>3045</v>
      </c>
      <c r="C1081" s="33">
        <v>45793.0</v>
      </c>
      <c r="D1081" s="34" t="s">
        <v>22</v>
      </c>
      <c r="E1081" s="32" t="s">
        <v>1717</v>
      </c>
      <c r="F1081" s="34" t="s">
        <v>53</v>
      </c>
      <c r="G1081" s="34" t="s">
        <v>2212</v>
      </c>
      <c r="H1081" s="35" t="s">
        <v>26</v>
      </c>
      <c r="I1081" s="35" t="s">
        <v>27</v>
      </c>
      <c r="J1081" s="57"/>
      <c r="K1081" s="57"/>
      <c r="L1081" s="84"/>
    </row>
    <row r="1082">
      <c r="A1082" s="32" t="s">
        <v>3046</v>
      </c>
      <c r="B1082" s="32" t="s">
        <v>3047</v>
      </c>
      <c r="C1082" s="33">
        <v>45793.0</v>
      </c>
      <c r="D1082" s="34" t="s">
        <v>22</v>
      </c>
      <c r="E1082" s="32" t="s">
        <v>3048</v>
      </c>
      <c r="F1082" s="34" t="s">
        <v>53</v>
      </c>
      <c r="G1082" s="34" t="s">
        <v>1098</v>
      </c>
      <c r="H1082" s="35" t="s">
        <v>26</v>
      </c>
      <c r="I1082" s="35" t="s">
        <v>27</v>
      </c>
      <c r="J1082" s="57"/>
      <c r="K1082" s="57"/>
      <c r="L1082" s="84"/>
    </row>
    <row r="1083">
      <c r="A1083" s="32" t="s">
        <v>3049</v>
      </c>
      <c r="B1083" s="32" t="s">
        <v>3050</v>
      </c>
      <c r="C1083" s="33">
        <v>45793.0</v>
      </c>
      <c r="D1083" s="34" t="s">
        <v>22</v>
      </c>
      <c r="E1083" s="32" t="s">
        <v>160</v>
      </c>
      <c r="F1083" s="34" t="s">
        <v>53</v>
      </c>
      <c r="G1083" s="34" t="s">
        <v>315</v>
      </c>
      <c r="H1083" s="35" t="s">
        <v>26</v>
      </c>
      <c r="I1083" s="35" t="s">
        <v>27</v>
      </c>
      <c r="J1083" s="57"/>
      <c r="K1083" s="57"/>
      <c r="L1083" s="84"/>
    </row>
    <row r="1084">
      <c r="A1084" s="32" t="s">
        <v>3051</v>
      </c>
      <c r="B1084" s="32" t="s">
        <v>3052</v>
      </c>
      <c r="C1084" s="33">
        <v>45794.0</v>
      </c>
      <c r="D1084" s="47" t="s">
        <v>22</v>
      </c>
      <c r="E1084" s="32" t="s">
        <v>73</v>
      </c>
      <c r="F1084" s="34" t="s">
        <v>24</v>
      </c>
      <c r="G1084" s="34" t="s">
        <v>1265</v>
      </c>
      <c r="H1084" s="35" t="s">
        <v>26</v>
      </c>
      <c r="I1084" s="35" t="s">
        <v>27</v>
      </c>
      <c r="J1084" s="35" t="s">
        <v>100</v>
      </c>
      <c r="K1084" s="57"/>
      <c r="L1084" s="84"/>
    </row>
    <row r="1085">
      <c r="A1085" s="32" t="s">
        <v>3053</v>
      </c>
      <c r="B1085" s="32" t="s">
        <v>3054</v>
      </c>
      <c r="C1085" s="33">
        <v>45794.0</v>
      </c>
      <c r="D1085" s="34" t="s">
        <v>22</v>
      </c>
      <c r="E1085" s="32" t="s">
        <v>737</v>
      </c>
      <c r="F1085" s="34" t="s">
        <v>53</v>
      </c>
      <c r="G1085" s="34" t="s">
        <v>249</v>
      </c>
      <c r="H1085" s="35" t="s">
        <v>26</v>
      </c>
      <c r="I1085" s="35" t="s">
        <v>27</v>
      </c>
      <c r="J1085" s="57"/>
      <c r="K1085" s="57"/>
      <c r="L1085" s="84"/>
    </row>
    <row r="1086">
      <c r="A1086" s="32" t="s">
        <v>3055</v>
      </c>
      <c r="B1086" s="32" t="s">
        <v>3056</v>
      </c>
      <c r="C1086" s="33">
        <v>45794.0</v>
      </c>
      <c r="D1086" s="34" t="s">
        <v>22</v>
      </c>
      <c r="E1086" s="32" t="s">
        <v>1000</v>
      </c>
      <c r="F1086" s="34" t="s">
        <v>31</v>
      </c>
      <c r="G1086" s="34" t="s">
        <v>1566</v>
      </c>
      <c r="H1086" s="35" t="s">
        <v>26</v>
      </c>
      <c r="I1086" s="36" t="str">
        <f>HYPERLINK("https://open.spotify.com/album/0Nl9MdYy0EwSJDHH3i9O0h", "S")</f>
        <v>S</v>
      </c>
      <c r="J1086" s="57"/>
      <c r="K1086" s="57"/>
      <c r="L1086" s="84"/>
    </row>
    <row r="1087">
      <c r="A1087" s="32" t="s">
        <v>3057</v>
      </c>
      <c r="B1087" s="32" t="s">
        <v>3058</v>
      </c>
      <c r="C1087" s="33">
        <v>45795.0</v>
      </c>
      <c r="D1087" s="34" t="s">
        <v>22</v>
      </c>
      <c r="E1087" s="32" t="s">
        <v>355</v>
      </c>
      <c r="F1087" s="34" t="s">
        <v>53</v>
      </c>
      <c r="G1087" s="34" t="s">
        <v>561</v>
      </c>
      <c r="H1087" s="35" t="s">
        <v>26</v>
      </c>
      <c r="I1087" s="57"/>
      <c r="J1087" s="57"/>
      <c r="K1087" s="57"/>
      <c r="L1087" s="84"/>
    </row>
    <row r="1088">
      <c r="A1088" s="32" t="s">
        <v>3059</v>
      </c>
      <c r="B1088" s="32" t="s">
        <v>3060</v>
      </c>
      <c r="C1088" s="33">
        <v>45796.0</v>
      </c>
      <c r="D1088" s="34" t="s">
        <v>22</v>
      </c>
      <c r="E1088" s="32" t="s">
        <v>129</v>
      </c>
      <c r="F1088" s="34" t="s">
        <v>24</v>
      </c>
      <c r="G1088" s="34" t="s">
        <v>177</v>
      </c>
      <c r="H1088" s="35" t="s">
        <v>26</v>
      </c>
      <c r="I1088" s="36" t="str">
        <f>HYPERLINK("https://open.spotify.com/album/3lloPZ72vAYPjvOVVAI8Os", "S")</f>
        <v>S</v>
      </c>
      <c r="J1088" s="57"/>
      <c r="K1088" s="57"/>
      <c r="L1088" s="84"/>
    </row>
    <row r="1089">
      <c r="A1089" s="32" t="s">
        <v>3061</v>
      </c>
      <c r="B1089" s="32" t="s">
        <v>3061</v>
      </c>
      <c r="C1089" s="33">
        <v>45796.0</v>
      </c>
      <c r="D1089" s="47" t="s">
        <v>22</v>
      </c>
      <c r="E1089" s="32" t="s">
        <v>370</v>
      </c>
      <c r="F1089" s="34" t="s">
        <v>24</v>
      </c>
      <c r="G1089" s="34" t="s">
        <v>1098</v>
      </c>
      <c r="H1089" s="35" t="s">
        <v>26</v>
      </c>
      <c r="I1089" s="36" t="str">
        <f>HYPERLINK("https://open.spotify.com/album/18RabhDLzXB1EBNzXRccWD", "S")</f>
        <v>S</v>
      </c>
      <c r="J1089" s="57"/>
      <c r="K1089" s="57"/>
      <c r="L1089" s="84"/>
    </row>
    <row r="1090">
      <c r="A1090" s="32" t="s">
        <v>3062</v>
      </c>
      <c r="B1090" s="32" t="s">
        <v>3063</v>
      </c>
      <c r="C1090" s="33">
        <v>45796.0</v>
      </c>
      <c r="D1090" s="34" t="s">
        <v>22</v>
      </c>
      <c r="E1090" s="32" t="s">
        <v>1444</v>
      </c>
      <c r="F1090" s="34" t="s">
        <v>24</v>
      </c>
      <c r="G1090" s="34" t="s">
        <v>3064</v>
      </c>
      <c r="H1090" s="35" t="s">
        <v>26</v>
      </c>
      <c r="I1090" s="66"/>
      <c r="J1090" s="57"/>
      <c r="K1090" s="57"/>
      <c r="L1090" s="84"/>
    </row>
    <row r="1091">
      <c r="A1091" s="32" t="s">
        <v>3065</v>
      </c>
      <c r="B1091" s="32" t="s">
        <v>3066</v>
      </c>
      <c r="C1091" s="33">
        <v>45796.0</v>
      </c>
      <c r="D1091" s="34" t="s">
        <v>39</v>
      </c>
      <c r="E1091" s="32" t="s">
        <v>73</v>
      </c>
      <c r="F1091" s="34" t="s">
        <v>24</v>
      </c>
      <c r="G1091" s="34" t="s">
        <v>41</v>
      </c>
      <c r="H1091" s="35" t="s">
        <v>26</v>
      </c>
      <c r="I1091" s="35" t="s">
        <v>27</v>
      </c>
      <c r="J1091" s="57"/>
      <c r="K1091" s="57"/>
      <c r="L1091" s="84"/>
    </row>
    <row r="1092">
      <c r="A1092" s="31" t="s">
        <v>3067</v>
      </c>
      <c r="B1092" s="32" t="s">
        <v>3067</v>
      </c>
      <c r="C1092" s="33">
        <v>45797.0</v>
      </c>
      <c r="D1092" s="47" t="s">
        <v>22</v>
      </c>
      <c r="E1092" s="32" t="s">
        <v>160</v>
      </c>
      <c r="F1092" s="34" t="s">
        <v>24</v>
      </c>
      <c r="G1092" s="34" t="s">
        <v>2676</v>
      </c>
      <c r="H1092" s="35" t="s">
        <v>26</v>
      </c>
      <c r="I1092" s="57"/>
      <c r="J1092" s="57"/>
      <c r="K1092" s="57"/>
      <c r="L1092" s="84"/>
    </row>
    <row r="1093">
      <c r="A1093" s="32" t="s">
        <v>3068</v>
      </c>
      <c r="B1093" s="32" t="s">
        <v>3069</v>
      </c>
      <c r="C1093" s="33">
        <v>45797.0</v>
      </c>
      <c r="D1093" s="69" t="s">
        <v>22</v>
      </c>
      <c r="E1093" s="32" t="s">
        <v>3070</v>
      </c>
      <c r="F1093" s="34" t="s">
        <v>156</v>
      </c>
      <c r="G1093" s="34" t="s">
        <v>725</v>
      </c>
      <c r="H1093" s="35" t="s">
        <v>26</v>
      </c>
      <c r="I1093" s="57"/>
      <c r="J1093" s="57"/>
      <c r="K1093" s="57"/>
      <c r="L1093" s="84"/>
    </row>
    <row r="1094">
      <c r="A1094" s="32" t="s">
        <v>3071</v>
      </c>
      <c r="B1094" s="32" t="s">
        <v>3072</v>
      </c>
      <c r="C1094" s="33">
        <v>45797.0</v>
      </c>
      <c r="D1094" s="34" t="s">
        <v>39</v>
      </c>
      <c r="E1094" s="32" t="s">
        <v>184</v>
      </c>
      <c r="F1094" s="34" t="s">
        <v>24</v>
      </c>
      <c r="G1094" s="34" t="s">
        <v>3073</v>
      </c>
      <c r="H1094" s="35" t="s">
        <v>26</v>
      </c>
      <c r="I1094" s="35" t="s">
        <v>27</v>
      </c>
      <c r="J1094" s="57"/>
      <c r="K1094" s="57"/>
      <c r="L1094" s="84"/>
    </row>
    <row r="1095">
      <c r="A1095" s="32" t="s">
        <v>3074</v>
      </c>
      <c r="B1095" s="32" t="s">
        <v>3075</v>
      </c>
      <c r="C1095" s="33">
        <v>45798.0</v>
      </c>
      <c r="D1095" s="34" t="s">
        <v>39</v>
      </c>
      <c r="E1095" s="32" t="s">
        <v>3076</v>
      </c>
      <c r="F1095" s="34" t="s">
        <v>53</v>
      </c>
      <c r="G1095" s="34" t="s">
        <v>157</v>
      </c>
      <c r="H1095" s="35" t="s">
        <v>26</v>
      </c>
      <c r="I1095" s="35" t="s">
        <v>27</v>
      </c>
      <c r="J1095" s="57"/>
      <c r="K1095" s="57"/>
      <c r="L1095" s="84"/>
    </row>
    <row r="1096">
      <c r="A1096" s="32" t="s">
        <v>3077</v>
      </c>
      <c r="B1096" s="32" t="s">
        <v>3078</v>
      </c>
      <c r="C1096" s="33">
        <v>45799.0</v>
      </c>
      <c r="D1096" s="34" t="s">
        <v>39</v>
      </c>
      <c r="E1096" s="32" t="s">
        <v>513</v>
      </c>
      <c r="F1096" s="34" t="s">
        <v>156</v>
      </c>
      <c r="G1096" s="34" t="s">
        <v>342</v>
      </c>
      <c r="H1096" s="35" t="s">
        <v>26</v>
      </c>
      <c r="I1096" s="36" t="str">
        <f>HYPERLINK("https://open.spotify.com/album/7xXssWzwp7ef8BirIghdRW", "S")</f>
        <v>S</v>
      </c>
      <c r="J1096" s="57"/>
      <c r="K1096" s="57"/>
      <c r="L1096" s="84"/>
    </row>
    <row r="1097">
      <c r="A1097" s="32" t="s">
        <v>3079</v>
      </c>
      <c r="B1097" s="32" t="s">
        <v>3080</v>
      </c>
      <c r="C1097" s="33">
        <v>45800.0</v>
      </c>
      <c r="D1097" s="34" t="s">
        <v>22</v>
      </c>
      <c r="E1097" s="32" t="s">
        <v>3081</v>
      </c>
      <c r="F1097" s="34" t="s">
        <v>24</v>
      </c>
      <c r="G1097" s="34" t="s">
        <v>1453</v>
      </c>
      <c r="H1097" s="35" t="s">
        <v>26</v>
      </c>
      <c r="I1097" s="35" t="s">
        <v>27</v>
      </c>
      <c r="J1097" s="57"/>
      <c r="K1097" s="57"/>
      <c r="L1097" s="84"/>
    </row>
    <row r="1098">
      <c r="A1098" s="32" t="s">
        <v>3082</v>
      </c>
      <c r="B1098" s="32" t="s">
        <v>3083</v>
      </c>
      <c r="C1098" s="33">
        <v>45800.0</v>
      </c>
      <c r="D1098" s="69" t="s">
        <v>22</v>
      </c>
      <c r="E1098" s="32" t="s">
        <v>325</v>
      </c>
      <c r="F1098" s="34" t="s">
        <v>156</v>
      </c>
      <c r="G1098" s="34" t="s">
        <v>3084</v>
      </c>
      <c r="H1098" s="35" t="s">
        <v>26</v>
      </c>
      <c r="I1098" s="35" t="s">
        <v>27</v>
      </c>
      <c r="J1098" s="57"/>
      <c r="K1098" s="57"/>
      <c r="L1098" s="84"/>
    </row>
    <row r="1099">
      <c r="A1099" s="32" t="s">
        <v>3085</v>
      </c>
      <c r="B1099" s="32" t="s">
        <v>3086</v>
      </c>
      <c r="C1099" s="33">
        <v>45800.0</v>
      </c>
      <c r="D1099" s="34" t="s">
        <v>22</v>
      </c>
      <c r="E1099" s="32" t="s">
        <v>517</v>
      </c>
      <c r="F1099" s="34" t="s">
        <v>24</v>
      </c>
      <c r="G1099" s="34" t="s">
        <v>3087</v>
      </c>
      <c r="H1099" s="35" t="s">
        <v>26</v>
      </c>
      <c r="I1099" s="35" t="s">
        <v>27</v>
      </c>
      <c r="J1099" s="57"/>
      <c r="K1099" s="57"/>
      <c r="L1099" s="84"/>
    </row>
    <row r="1100">
      <c r="A1100" s="32" t="s">
        <v>3088</v>
      </c>
      <c r="B1100" s="32" t="s">
        <v>3089</v>
      </c>
      <c r="C1100" s="33">
        <v>45800.0</v>
      </c>
      <c r="D1100" s="34" t="s">
        <v>39</v>
      </c>
      <c r="E1100" s="32" t="s">
        <v>122</v>
      </c>
      <c r="F1100" s="34" t="s">
        <v>31</v>
      </c>
      <c r="G1100" s="34" t="s">
        <v>702</v>
      </c>
      <c r="H1100" s="35" t="s">
        <v>26</v>
      </c>
      <c r="I1100" s="35" t="s">
        <v>27</v>
      </c>
      <c r="J1100" s="57"/>
      <c r="K1100" s="57"/>
      <c r="L1100" s="84"/>
    </row>
    <row r="1101">
      <c r="A1101" s="32" t="s">
        <v>3090</v>
      </c>
      <c r="B1101" s="32" t="s">
        <v>3091</v>
      </c>
      <c r="C1101" s="33">
        <v>45800.0</v>
      </c>
      <c r="D1101" s="34" t="s">
        <v>39</v>
      </c>
      <c r="E1101" s="32" t="s">
        <v>3092</v>
      </c>
      <c r="F1101" s="34" t="s">
        <v>156</v>
      </c>
      <c r="G1101" s="34" t="s">
        <v>196</v>
      </c>
      <c r="H1101" s="35" t="s">
        <v>26</v>
      </c>
      <c r="I1101" s="35" t="s">
        <v>27</v>
      </c>
      <c r="J1101" s="57"/>
      <c r="K1101" s="57"/>
      <c r="L1101" s="84"/>
    </row>
    <row r="1102">
      <c r="A1102" s="32" t="s">
        <v>3093</v>
      </c>
      <c r="B1102" s="32" t="s">
        <v>3094</v>
      </c>
      <c r="C1102" s="33">
        <v>45800.0</v>
      </c>
      <c r="D1102" s="34" t="s">
        <v>22</v>
      </c>
      <c r="E1102" s="32" t="s">
        <v>3095</v>
      </c>
      <c r="F1102" s="34" t="s">
        <v>31</v>
      </c>
      <c r="G1102" s="34" t="s">
        <v>434</v>
      </c>
      <c r="H1102" s="35" t="s">
        <v>26</v>
      </c>
      <c r="I1102" s="34"/>
      <c r="J1102" s="35" t="s">
        <v>100</v>
      </c>
      <c r="K1102" s="57"/>
      <c r="L1102" s="84"/>
    </row>
    <row r="1103">
      <c r="A1103" s="32" t="s">
        <v>3096</v>
      </c>
      <c r="B1103" s="32" t="s">
        <v>3097</v>
      </c>
      <c r="C1103" s="33">
        <v>45800.0</v>
      </c>
      <c r="D1103" s="34" t="s">
        <v>22</v>
      </c>
      <c r="E1103" s="32" t="s">
        <v>3098</v>
      </c>
      <c r="F1103" s="34" t="s">
        <v>24</v>
      </c>
      <c r="G1103" s="34" t="s">
        <v>3099</v>
      </c>
      <c r="H1103" s="35" t="s">
        <v>26</v>
      </c>
      <c r="I1103" s="35" t="s">
        <v>27</v>
      </c>
      <c r="J1103" s="57"/>
      <c r="K1103" s="57"/>
      <c r="L1103" s="84"/>
    </row>
    <row r="1104">
      <c r="A1104" s="32" t="s">
        <v>3100</v>
      </c>
      <c r="B1104" s="32" t="s">
        <v>3101</v>
      </c>
      <c r="C1104" s="33">
        <v>45800.0</v>
      </c>
      <c r="D1104" s="34" t="s">
        <v>22</v>
      </c>
      <c r="E1104" s="32" t="s">
        <v>3102</v>
      </c>
      <c r="F1104" s="34" t="s">
        <v>53</v>
      </c>
      <c r="G1104" s="34" t="s">
        <v>189</v>
      </c>
      <c r="H1104" s="35" t="s">
        <v>26</v>
      </c>
      <c r="I1104" s="35" t="s">
        <v>27</v>
      </c>
      <c r="J1104" s="57"/>
      <c r="K1104" s="57"/>
      <c r="L1104" s="84"/>
    </row>
    <row r="1105">
      <c r="A1105" s="32" t="s">
        <v>3103</v>
      </c>
      <c r="B1105" s="32" t="s">
        <v>3104</v>
      </c>
      <c r="C1105" s="33">
        <v>45800.0</v>
      </c>
      <c r="D1105" s="47" t="s">
        <v>22</v>
      </c>
      <c r="E1105" s="32" t="s">
        <v>436</v>
      </c>
      <c r="F1105" s="34" t="s">
        <v>53</v>
      </c>
      <c r="G1105" s="34" t="s">
        <v>2644</v>
      </c>
      <c r="H1105" s="35" t="s">
        <v>26</v>
      </c>
      <c r="I1105" s="35" t="s">
        <v>27</v>
      </c>
      <c r="J1105" s="57"/>
      <c r="K1105" s="57"/>
      <c r="L1105" s="84"/>
    </row>
    <row r="1106">
      <c r="A1106" s="32" t="s">
        <v>3105</v>
      </c>
      <c r="B1106" s="32" t="s">
        <v>3106</v>
      </c>
      <c r="C1106" s="33">
        <v>45800.0</v>
      </c>
      <c r="D1106" s="34" t="s">
        <v>22</v>
      </c>
      <c r="E1106" s="32" t="s">
        <v>3107</v>
      </c>
      <c r="F1106" s="34" t="s">
        <v>156</v>
      </c>
      <c r="G1106" s="34" t="s">
        <v>1092</v>
      </c>
      <c r="H1106" s="35" t="s">
        <v>26</v>
      </c>
      <c r="I1106" s="35" t="s">
        <v>27</v>
      </c>
      <c r="J1106" s="35" t="s">
        <v>100</v>
      </c>
      <c r="K1106" s="57"/>
      <c r="L1106" s="84"/>
    </row>
    <row r="1107">
      <c r="A1107" s="32" t="s">
        <v>3108</v>
      </c>
      <c r="B1107" s="32" t="s">
        <v>3109</v>
      </c>
      <c r="C1107" s="33">
        <v>45800.0</v>
      </c>
      <c r="D1107" s="34" t="s">
        <v>22</v>
      </c>
      <c r="E1107" s="32" t="s">
        <v>61</v>
      </c>
      <c r="F1107" s="34" t="s">
        <v>24</v>
      </c>
      <c r="G1107" s="34" t="s">
        <v>654</v>
      </c>
      <c r="H1107" s="35" t="s">
        <v>26</v>
      </c>
      <c r="I1107" s="58" t="str">
        <f>HYPERLINK("https://open.spotify.com/album/2pnSNPx4O4VFwSGwuREX0l", "S")</f>
        <v>S</v>
      </c>
      <c r="J1107" s="35" t="s">
        <v>100</v>
      </c>
      <c r="K1107" s="57"/>
      <c r="L1107" s="84"/>
    </row>
    <row r="1108">
      <c r="A1108" s="32" t="s">
        <v>3110</v>
      </c>
      <c r="B1108" s="32" t="s">
        <v>3111</v>
      </c>
      <c r="C1108" s="33">
        <v>45800.0</v>
      </c>
      <c r="D1108" s="34" t="s">
        <v>22</v>
      </c>
      <c r="E1108" s="32" t="s">
        <v>160</v>
      </c>
      <c r="F1108" s="34" t="s">
        <v>24</v>
      </c>
      <c r="G1108" s="34" t="s">
        <v>199</v>
      </c>
      <c r="H1108" s="35" t="s">
        <v>26</v>
      </c>
      <c r="I1108" s="35" t="s">
        <v>27</v>
      </c>
      <c r="J1108" s="57"/>
      <c r="L1108" s="84"/>
    </row>
    <row r="1109">
      <c r="A1109" s="32" t="s">
        <v>3112</v>
      </c>
      <c r="B1109" s="32" t="s">
        <v>3113</v>
      </c>
      <c r="C1109" s="33">
        <v>45800.0</v>
      </c>
      <c r="D1109" s="34" t="s">
        <v>22</v>
      </c>
      <c r="E1109" s="32" t="s">
        <v>3114</v>
      </c>
      <c r="F1109" s="34" t="s">
        <v>24</v>
      </c>
      <c r="G1109" s="34" t="s">
        <v>3115</v>
      </c>
      <c r="H1109" s="35" t="s">
        <v>26</v>
      </c>
      <c r="I1109" s="35" t="s">
        <v>27</v>
      </c>
      <c r="J1109" s="35" t="s">
        <v>100</v>
      </c>
      <c r="K1109" s="57"/>
      <c r="L1109" s="84"/>
    </row>
    <row r="1110">
      <c r="A1110" s="32" t="s">
        <v>3116</v>
      </c>
      <c r="B1110" s="32" t="s">
        <v>3117</v>
      </c>
      <c r="C1110" s="33">
        <v>45800.0</v>
      </c>
      <c r="D1110" s="34" t="s">
        <v>22</v>
      </c>
      <c r="E1110" s="32" t="s">
        <v>416</v>
      </c>
      <c r="F1110" s="34" t="s">
        <v>53</v>
      </c>
      <c r="G1110" s="34" t="s">
        <v>1808</v>
      </c>
      <c r="H1110" s="35" t="s">
        <v>26</v>
      </c>
      <c r="I1110" s="35" t="s">
        <v>27</v>
      </c>
      <c r="J1110" s="57"/>
      <c r="K1110" s="57"/>
      <c r="L1110" s="84"/>
    </row>
    <row r="1111">
      <c r="A1111" s="32" t="s">
        <v>3118</v>
      </c>
      <c r="B1111" s="32" t="s">
        <v>3119</v>
      </c>
      <c r="C1111" s="33">
        <v>45800.0</v>
      </c>
      <c r="D1111" s="34" t="s">
        <v>22</v>
      </c>
      <c r="E1111" s="32" t="s">
        <v>98</v>
      </c>
      <c r="F1111" s="34" t="s">
        <v>24</v>
      </c>
      <c r="G1111" s="34" t="s">
        <v>3120</v>
      </c>
      <c r="H1111" s="35" t="s">
        <v>26</v>
      </c>
      <c r="I1111" s="35" t="s">
        <v>27</v>
      </c>
      <c r="J1111" s="35" t="s">
        <v>100</v>
      </c>
      <c r="K1111" s="57"/>
      <c r="L1111" s="84"/>
    </row>
    <row r="1112">
      <c r="A1112" s="31" t="s">
        <v>3121</v>
      </c>
      <c r="B1112" s="32" t="s">
        <v>3122</v>
      </c>
      <c r="C1112" s="33">
        <v>45800.0</v>
      </c>
      <c r="D1112" s="34" t="s">
        <v>39</v>
      </c>
      <c r="E1112" s="32" t="s">
        <v>3123</v>
      </c>
      <c r="F1112" s="34" t="s">
        <v>53</v>
      </c>
      <c r="G1112" s="34" t="s">
        <v>225</v>
      </c>
      <c r="H1112" s="66"/>
      <c r="I1112" s="35" t="s">
        <v>27</v>
      </c>
      <c r="J1112" s="57"/>
      <c r="K1112" s="57"/>
      <c r="L1112" s="84"/>
    </row>
    <row r="1113">
      <c r="A1113" s="31" t="s">
        <v>3124</v>
      </c>
      <c r="B1113" s="32" t="s">
        <v>3125</v>
      </c>
      <c r="C1113" s="33">
        <v>45800.0</v>
      </c>
      <c r="D1113" s="47" t="s">
        <v>22</v>
      </c>
      <c r="E1113" s="32" t="s">
        <v>3126</v>
      </c>
      <c r="F1113" s="34" t="s">
        <v>53</v>
      </c>
      <c r="G1113" s="34" t="s">
        <v>199</v>
      </c>
      <c r="H1113" s="35" t="s">
        <v>26</v>
      </c>
      <c r="I1113" s="35" t="s">
        <v>27</v>
      </c>
      <c r="J1113" s="57"/>
      <c r="K1113" s="57"/>
      <c r="L1113" s="84"/>
    </row>
    <row r="1114">
      <c r="A1114" s="31" t="s">
        <v>3127</v>
      </c>
      <c r="B1114" s="32" t="s">
        <v>3128</v>
      </c>
      <c r="C1114" s="33">
        <v>45800.0</v>
      </c>
      <c r="D1114" s="34" t="s">
        <v>22</v>
      </c>
      <c r="E1114" s="32" t="s">
        <v>3129</v>
      </c>
      <c r="F1114" s="34" t="s">
        <v>24</v>
      </c>
      <c r="G1114" s="34" t="s">
        <v>2703</v>
      </c>
      <c r="H1114" s="35" t="s">
        <v>26</v>
      </c>
      <c r="I1114" s="35" t="s">
        <v>27</v>
      </c>
      <c r="J1114" s="35" t="s">
        <v>100</v>
      </c>
      <c r="K1114" s="57"/>
      <c r="L1114" s="84"/>
    </row>
    <row r="1115">
      <c r="A1115" s="31" t="s">
        <v>3130</v>
      </c>
      <c r="B1115" s="32" t="s">
        <v>3131</v>
      </c>
      <c r="C1115" s="33">
        <v>45800.0</v>
      </c>
      <c r="D1115" s="47" t="s">
        <v>22</v>
      </c>
      <c r="E1115" s="32" t="s">
        <v>3132</v>
      </c>
      <c r="F1115" s="34" t="s">
        <v>24</v>
      </c>
      <c r="G1115" s="34" t="s">
        <v>299</v>
      </c>
      <c r="H1115" s="35" t="s">
        <v>26</v>
      </c>
      <c r="I1115" s="35" t="s">
        <v>27</v>
      </c>
      <c r="J1115" s="57"/>
      <c r="K1115" s="57"/>
      <c r="L1115" s="84"/>
    </row>
    <row r="1116">
      <c r="A1116" s="31" t="s">
        <v>3133</v>
      </c>
      <c r="B1116" s="32" t="s">
        <v>3134</v>
      </c>
      <c r="C1116" s="33">
        <v>45800.0</v>
      </c>
      <c r="D1116" s="34" t="s">
        <v>22</v>
      </c>
      <c r="E1116" s="32" t="s">
        <v>364</v>
      </c>
      <c r="F1116" s="34" t="s">
        <v>24</v>
      </c>
      <c r="G1116" s="34" t="s">
        <v>3135</v>
      </c>
      <c r="H1116" s="35" t="s">
        <v>26</v>
      </c>
      <c r="I1116" s="35" t="s">
        <v>27</v>
      </c>
      <c r="J1116" s="57"/>
      <c r="K1116" s="57"/>
      <c r="L1116" s="84"/>
    </row>
    <row r="1117">
      <c r="A1117" s="31" t="s">
        <v>3136</v>
      </c>
      <c r="B1117" s="32" t="s">
        <v>3137</v>
      </c>
      <c r="C1117" s="33">
        <v>45800.0</v>
      </c>
      <c r="D1117" s="47" t="s">
        <v>22</v>
      </c>
      <c r="E1117" s="32" t="s">
        <v>1458</v>
      </c>
      <c r="F1117" s="34" t="s">
        <v>156</v>
      </c>
      <c r="G1117" s="34" t="s">
        <v>299</v>
      </c>
      <c r="H1117" s="35" t="s">
        <v>26</v>
      </c>
      <c r="I1117" s="35" t="s">
        <v>27</v>
      </c>
      <c r="J1117" s="35" t="s">
        <v>100</v>
      </c>
      <c r="K1117" s="57"/>
      <c r="L1117" s="84"/>
    </row>
    <row r="1118">
      <c r="A1118" s="31" t="s">
        <v>3138</v>
      </c>
      <c r="B1118" s="32" t="s">
        <v>3139</v>
      </c>
      <c r="C1118" s="33">
        <v>45800.0</v>
      </c>
      <c r="D1118" s="34" t="s">
        <v>22</v>
      </c>
      <c r="E1118" s="32" t="s">
        <v>3140</v>
      </c>
      <c r="F1118" s="34" t="s">
        <v>53</v>
      </c>
      <c r="G1118" s="34" t="s">
        <v>2064</v>
      </c>
      <c r="H1118" s="35" t="s">
        <v>26</v>
      </c>
      <c r="I1118" s="35" t="s">
        <v>27</v>
      </c>
      <c r="J1118" s="57"/>
      <c r="K1118" s="57"/>
      <c r="L1118" s="84"/>
    </row>
    <row r="1119">
      <c r="A1119" s="31" t="s">
        <v>3141</v>
      </c>
      <c r="B1119" s="32" t="s">
        <v>3142</v>
      </c>
      <c r="C1119" s="33">
        <v>45800.0</v>
      </c>
      <c r="D1119" s="47" t="s">
        <v>22</v>
      </c>
      <c r="E1119" s="32" t="s">
        <v>3143</v>
      </c>
      <c r="F1119" s="34" t="s">
        <v>156</v>
      </c>
      <c r="G1119" s="34" t="s">
        <v>96</v>
      </c>
      <c r="H1119" s="35" t="s">
        <v>26</v>
      </c>
      <c r="I1119" s="35" t="s">
        <v>27</v>
      </c>
      <c r="J1119" s="57"/>
      <c r="K1119" s="57"/>
      <c r="L1119" s="84"/>
    </row>
    <row r="1120">
      <c r="A1120" s="31" t="s">
        <v>3144</v>
      </c>
      <c r="B1120" s="32" t="s">
        <v>3145</v>
      </c>
      <c r="C1120" s="33">
        <v>45800.0</v>
      </c>
      <c r="D1120" s="34" t="s">
        <v>22</v>
      </c>
      <c r="E1120" s="32" t="s">
        <v>3146</v>
      </c>
      <c r="F1120" s="34" t="s">
        <v>24</v>
      </c>
      <c r="G1120" s="34" t="s">
        <v>257</v>
      </c>
      <c r="H1120" s="35" t="s">
        <v>26</v>
      </c>
      <c r="I1120" s="35" t="s">
        <v>27</v>
      </c>
      <c r="J1120" s="57"/>
      <c r="K1120" s="57"/>
      <c r="L1120" s="84"/>
    </row>
    <row r="1121">
      <c r="A1121" s="32" t="s">
        <v>3147</v>
      </c>
      <c r="B1121" s="32" t="s">
        <v>3148</v>
      </c>
      <c r="C1121" s="33">
        <v>45800.0</v>
      </c>
      <c r="D1121" s="34" t="s">
        <v>22</v>
      </c>
      <c r="E1121" s="32" t="s">
        <v>3107</v>
      </c>
      <c r="F1121" s="34" t="s">
        <v>156</v>
      </c>
      <c r="G1121" s="34" t="s">
        <v>32</v>
      </c>
      <c r="H1121" s="35" t="s">
        <v>26</v>
      </c>
      <c r="I1121" s="35" t="s">
        <v>27</v>
      </c>
      <c r="J1121" s="35" t="s">
        <v>100</v>
      </c>
      <c r="K1121" s="57"/>
      <c r="L1121" s="84"/>
    </row>
    <row r="1122">
      <c r="A1122" s="32" t="s">
        <v>3149</v>
      </c>
      <c r="B1122" s="32" t="s">
        <v>3150</v>
      </c>
      <c r="C1122" s="33">
        <v>45800.0</v>
      </c>
      <c r="D1122" s="34" t="s">
        <v>22</v>
      </c>
      <c r="E1122" s="32" t="s">
        <v>1276</v>
      </c>
      <c r="F1122" s="34" t="s">
        <v>53</v>
      </c>
      <c r="G1122" s="34" t="s">
        <v>693</v>
      </c>
      <c r="H1122" s="35" t="s">
        <v>26</v>
      </c>
      <c r="I1122" s="35" t="s">
        <v>27</v>
      </c>
      <c r="J1122" s="57"/>
      <c r="K1122" s="57"/>
      <c r="L1122" s="84"/>
    </row>
    <row r="1123">
      <c r="A1123" s="32" t="s">
        <v>3151</v>
      </c>
      <c r="B1123" s="32" t="s">
        <v>3152</v>
      </c>
      <c r="C1123" s="33">
        <v>45800.0</v>
      </c>
      <c r="D1123" s="34" t="s">
        <v>22</v>
      </c>
      <c r="E1123" s="32" t="s">
        <v>328</v>
      </c>
      <c r="F1123" s="34" t="s">
        <v>156</v>
      </c>
      <c r="G1123" s="34" t="s">
        <v>104</v>
      </c>
      <c r="H1123" s="35" t="s">
        <v>26</v>
      </c>
      <c r="I1123" s="35" t="s">
        <v>27</v>
      </c>
      <c r="J1123" s="57"/>
      <c r="K1123" s="57"/>
      <c r="L1123" s="84"/>
    </row>
    <row r="1124">
      <c r="A1124" s="32" t="s">
        <v>3153</v>
      </c>
      <c r="B1124" s="32" t="s">
        <v>3154</v>
      </c>
      <c r="C1124" s="33">
        <v>45800.0</v>
      </c>
      <c r="D1124" s="34" t="s">
        <v>22</v>
      </c>
      <c r="E1124" s="32" t="s">
        <v>328</v>
      </c>
      <c r="F1124" s="34" t="s">
        <v>156</v>
      </c>
      <c r="G1124" s="34" t="s">
        <v>1067</v>
      </c>
      <c r="H1124" s="35" t="s">
        <v>26</v>
      </c>
      <c r="I1124" s="35" t="s">
        <v>27</v>
      </c>
      <c r="J1124" s="57"/>
      <c r="K1124" s="57"/>
      <c r="L1124" s="84"/>
    </row>
    <row r="1125">
      <c r="A1125" s="32" t="s">
        <v>3155</v>
      </c>
      <c r="B1125" s="32" t="s">
        <v>2461</v>
      </c>
      <c r="C1125" s="33">
        <v>45800.0</v>
      </c>
      <c r="D1125" s="34" t="s">
        <v>22</v>
      </c>
      <c r="E1125" s="32" t="s">
        <v>705</v>
      </c>
      <c r="F1125" s="34" t="s">
        <v>156</v>
      </c>
      <c r="G1125" s="34" t="s">
        <v>257</v>
      </c>
      <c r="H1125" s="35" t="s">
        <v>26</v>
      </c>
      <c r="I1125" s="35" t="s">
        <v>27</v>
      </c>
      <c r="J1125" s="57"/>
      <c r="K1125" s="57"/>
      <c r="L1125" s="84"/>
    </row>
    <row r="1126">
      <c r="A1126" s="32" t="s">
        <v>3156</v>
      </c>
      <c r="B1126" s="32" t="s">
        <v>3157</v>
      </c>
      <c r="C1126" s="33">
        <v>45800.0</v>
      </c>
      <c r="D1126" s="34" t="s">
        <v>22</v>
      </c>
      <c r="E1126" s="32" t="s">
        <v>3158</v>
      </c>
      <c r="F1126" s="34" t="s">
        <v>156</v>
      </c>
      <c r="G1126" s="34" t="s">
        <v>365</v>
      </c>
      <c r="H1126" s="35" t="s">
        <v>26</v>
      </c>
      <c r="I1126" s="35" t="s">
        <v>27</v>
      </c>
      <c r="J1126" s="57"/>
      <c r="K1126" s="57"/>
      <c r="L1126" s="84"/>
    </row>
    <row r="1127">
      <c r="A1127" s="32" t="s">
        <v>3159</v>
      </c>
      <c r="B1127" s="32" t="s">
        <v>3160</v>
      </c>
      <c r="C1127" s="33">
        <v>45800.0</v>
      </c>
      <c r="D1127" s="34" t="s">
        <v>39</v>
      </c>
      <c r="E1127" s="32" t="s">
        <v>2338</v>
      </c>
      <c r="F1127" s="34" t="s">
        <v>24</v>
      </c>
      <c r="G1127" s="34" t="s">
        <v>3161</v>
      </c>
      <c r="H1127" s="35" t="s">
        <v>26</v>
      </c>
      <c r="I1127" s="35" t="s">
        <v>27</v>
      </c>
      <c r="J1127" s="57"/>
      <c r="K1127" s="57"/>
      <c r="L1127" s="84"/>
    </row>
    <row r="1128">
      <c r="A1128" s="32" t="s">
        <v>3162</v>
      </c>
      <c r="B1128" s="32" t="s">
        <v>3163</v>
      </c>
      <c r="C1128" s="33">
        <v>45800.0</v>
      </c>
      <c r="D1128" s="34" t="s">
        <v>22</v>
      </c>
      <c r="E1128" s="32" t="s">
        <v>632</v>
      </c>
      <c r="F1128" s="34" t="s">
        <v>24</v>
      </c>
      <c r="G1128" s="34" t="s">
        <v>336</v>
      </c>
      <c r="H1128" s="35" t="s">
        <v>26</v>
      </c>
      <c r="I1128" s="35" t="s">
        <v>27</v>
      </c>
      <c r="J1128" s="57"/>
      <c r="K1128" s="57"/>
      <c r="L1128" s="84"/>
    </row>
    <row r="1129">
      <c r="A1129" s="32" t="s">
        <v>3164</v>
      </c>
      <c r="B1129" s="32" t="s">
        <v>3165</v>
      </c>
      <c r="C1129" s="33">
        <v>45800.0</v>
      </c>
      <c r="D1129" s="34" t="s">
        <v>22</v>
      </c>
      <c r="E1129" s="32" t="s">
        <v>284</v>
      </c>
      <c r="F1129" s="34" t="s">
        <v>24</v>
      </c>
      <c r="G1129" s="34" t="s">
        <v>1261</v>
      </c>
      <c r="H1129" s="35" t="s">
        <v>26</v>
      </c>
      <c r="I1129" s="35" t="s">
        <v>27</v>
      </c>
      <c r="J1129" s="35" t="s">
        <v>100</v>
      </c>
      <c r="K1129" s="57"/>
      <c r="L1129" s="84"/>
    </row>
    <row r="1130">
      <c r="A1130" s="32" t="s">
        <v>3166</v>
      </c>
      <c r="B1130" s="32" t="s">
        <v>3167</v>
      </c>
      <c r="C1130" s="33">
        <v>45800.0</v>
      </c>
      <c r="D1130" s="34" t="s">
        <v>39</v>
      </c>
      <c r="E1130" s="32" t="s">
        <v>637</v>
      </c>
      <c r="F1130" s="34" t="s">
        <v>156</v>
      </c>
      <c r="G1130" s="34" t="s">
        <v>442</v>
      </c>
      <c r="H1130" s="35" t="s">
        <v>26</v>
      </c>
      <c r="I1130" s="35" t="s">
        <v>27</v>
      </c>
      <c r="J1130" s="57"/>
      <c r="K1130" s="57"/>
      <c r="L1130" s="84"/>
    </row>
    <row r="1131">
      <c r="A1131" s="32" t="s">
        <v>3168</v>
      </c>
      <c r="B1131" s="32" t="s">
        <v>3169</v>
      </c>
      <c r="C1131" s="33">
        <v>45800.0</v>
      </c>
      <c r="D1131" s="34" t="s">
        <v>22</v>
      </c>
      <c r="E1131" s="32" t="s">
        <v>160</v>
      </c>
      <c r="F1131" s="34" t="s">
        <v>24</v>
      </c>
      <c r="G1131" s="34" t="s">
        <v>3170</v>
      </c>
      <c r="H1131" s="35" t="s">
        <v>26</v>
      </c>
      <c r="I1131" s="35" t="s">
        <v>27</v>
      </c>
      <c r="J1131" s="57"/>
      <c r="K1131" s="57"/>
      <c r="L1131" s="84"/>
    </row>
    <row r="1132">
      <c r="A1132" s="32" t="s">
        <v>3171</v>
      </c>
      <c r="B1132" s="32" t="s">
        <v>3172</v>
      </c>
      <c r="C1132" s="33">
        <v>45800.0</v>
      </c>
      <c r="D1132" s="34" t="s">
        <v>22</v>
      </c>
      <c r="E1132" s="32" t="s">
        <v>513</v>
      </c>
      <c r="F1132" s="34" t="s">
        <v>156</v>
      </c>
      <c r="G1132" s="34" t="s">
        <v>70</v>
      </c>
      <c r="H1132" s="35" t="s">
        <v>26</v>
      </c>
      <c r="I1132" s="34"/>
      <c r="J1132" s="57"/>
      <c r="K1132" s="57"/>
      <c r="L1132" s="84"/>
    </row>
    <row r="1133">
      <c r="A1133" s="32" t="s">
        <v>3173</v>
      </c>
      <c r="B1133" s="32" t="s">
        <v>3174</v>
      </c>
      <c r="C1133" s="33">
        <v>45800.0</v>
      </c>
      <c r="D1133" s="34" t="s">
        <v>22</v>
      </c>
      <c r="E1133" s="32" t="s">
        <v>73</v>
      </c>
      <c r="F1133" s="34" t="s">
        <v>24</v>
      </c>
      <c r="G1133" s="34" t="s">
        <v>299</v>
      </c>
      <c r="H1133" s="35" t="s">
        <v>26</v>
      </c>
      <c r="I1133" s="35" t="s">
        <v>27</v>
      </c>
      <c r="J1133" s="35" t="s">
        <v>100</v>
      </c>
      <c r="K1133" s="57"/>
      <c r="L1133" s="84"/>
    </row>
    <row r="1134">
      <c r="A1134" s="32" t="s">
        <v>3175</v>
      </c>
      <c r="B1134" s="32" t="s">
        <v>3176</v>
      </c>
      <c r="C1134" s="33">
        <v>45800.0</v>
      </c>
      <c r="D1134" s="34" t="s">
        <v>22</v>
      </c>
      <c r="E1134" s="32" t="s">
        <v>613</v>
      </c>
      <c r="F1134" s="34" t="s">
        <v>24</v>
      </c>
      <c r="G1134" s="34" t="s">
        <v>257</v>
      </c>
      <c r="H1134" s="35" t="s">
        <v>26</v>
      </c>
      <c r="I1134" s="58" t="str">
        <f>HYPERLINK("https://open.spotify.com/album/3PfPQXl3LXRfFbziEEk8ay", "S")</f>
        <v>S</v>
      </c>
      <c r="J1134" s="35" t="s">
        <v>100</v>
      </c>
      <c r="K1134" s="57"/>
      <c r="L1134" s="84"/>
    </row>
    <row r="1135">
      <c r="A1135" s="32" t="s">
        <v>3177</v>
      </c>
      <c r="B1135" s="32" t="s">
        <v>3178</v>
      </c>
      <c r="C1135" s="33">
        <v>45800.0</v>
      </c>
      <c r="D1135" s="34" t="s">
        <v>22</v>
      </c>
      <c r="E1135" s="32" t="s">
        <v>3179</v>
      </c>
      <c r="F1135" s="34" t="s">
        <v>24</v>
      </c>
      <c r="G1135" s="34" t="s">
        <v>299</v>
      </c>
      <c r="H1135" s="35" t="s">
        <v>26</v>
      </c>
      <c r="I1135" s="35" t="s">
        <v>27</v>
      </c>
      <c r="J1135" s="57"/>
      <c r="K1135" s="57"/>
      <c r="L1135" s="84"/>
    </row>
    <row r="1136">
      <c r="A1136" s="32" t="s">
        <v>3180</v>
      </c>
      <c r="B1136" s="32" t="s">
        <v>3181</v>
      </c>
      <c r="C1136" s="33">
        <v>45800.0</v>
      </c>
      <c r="D1136" s="34" t="s">
        <v>22</v>
      </c>
      <c r="E1136" s="32" t="s">
        <v>122</v>
      </c>
      <c r="F1136" s="34" t="s">
        <v>156</v>
      </c>
      <c r="G1136" s="34" t="s">
        <v>1261</v>
      </c>
      <c r="H1136" s="35" t="s">
        <v>26</v>
      </c>
      <c r="I1136" s="58" t="str">
        <f>HYPERLINK("https://open.spotify.com/album/3ilyxLbNlWAROhcSOQ3vPy", "S")</f>
        <v>S</v>
      </c>
      <c r="J1136" s="57"/>
      <c r="K1136" s="57"/>
      <c r="L1136" s="84"/>
    </row>
    <row r="1137">
      <c r="A1137" s="32" t="s">
        <v>3182</v>
      </c>
      <c r="B1137" s="32" t="s">
        <v>3183</v>
      </c>
      <c r="C1137" s="33">
        <v>45800.0</v>
      </c>
      <c r="D1137" s="34" t="s">
        <v>22</v>
      </c>
      <c r="E1137" s="32" t="s">
        <v>473</v>
      </c>
      <c r="F1137" s="34" t="s">
        <v>53</v>
      </c>
      <c r="G1137" s="34" t="s">
        <v>3184</v>
      </c>
      <c r="H1137" s="35" t="s">
        <v>26</v>
      </c>
      <c r="I1137" s="58" t="str">
        <f>HYPERLINK("https://open.spotify.com/album/2oPMq6FKjj9WeMVANDRUb0", "S")</f>
        <v>S</v>
      </c>
      <c r="J1137" s="35" t="s">
        <v>100</v>
      </c>
      <c r="K1137" s="57"/>
      <c r="L1137" s="84"/>
    </row>
    <row r="1138">
      <c r="A1138" s="32" t="s">
        <v>3185</v>
      </c>
      <c r="B1138" s="32" t="s">
        <v>3186</v>
      </c>
      <c r="C1138" s="33">
        <v>45800.0</v>
      </c>
      <c r="D1138" s="34" t="s">
        <v>22</v>
      </c>
      <c r="E1138" s="32" t="s">
        <v>3187</v>
      </c>
      <c r="F1138" s="34" t="s">
        <v>24</v>
      </c>
      <c r="G1138" s="34" t="s">
        <v>3188</v>
      </c>
      <c r="H1138" s="35" t="s">
        <v>26</v>
      </c>
      <c r="I1138" s="58" t="str">
        <f>HYPERLINK("https://open.spotify.com/album/6XMCFpjOGshLDFrh8H946v", "S")</f>
        <v>S</v>
      </c>
      <c r="J1138" s="57"/>
      <c r="K1138" s="57"/>
      <c r="L1138" s="84"/>
    </row>
    <row r="1139">
      <c r="A1139" s="32" t="s">
        <v>3189</v>
      </c>
      <c r="B1139" s="32" t="s">
        <v>3190</v>
      </c>
      <c r="C1139" s="33">
        <v>45800.0</v>
      </c>
      <c r="D1139" s="34" t="s">
        <v>39</v>
      </c>
      <c r="E1139" s="32" t="s">
        <v>3191</v>
      </c>
      <c r="F1139" s="34" t="s">
        <v>53</v>
      </c>
      <c r="G1139" s="34" t="s">
        <v>202</v>
      </c>
      <c r="H1139" s="35" t="s">
        <v>26</v>
      </c>
      <c r="I1139" s="35" t="s">
        <v>27</v>
      </c>
      <c r="J1139" s="57"/>
      <c r="K1139" s="57"/>
      <c r="L1139" s="84"/>
    </row>
    <row r="1140">
      <c r="A1140" s="32" t="s">
        <v>3192</v>
      </c>
      <c r="B1140" s="32" t="s">
        <v>3193</v>
      </c>
      <c r="C1140" s="33">
        <v>45800.0</v>
      </c>
      <c r="D1140" s="34" t="s">
        <v>39</v>
      </c>
      <c r="E1140" s="32" t="s">
        <v>2417</v>
      </c>
      <c r="F1140" s="34" t="s">
        <v>53</v>
      </c>
      <c r="G1140" s="34" t="s">
        <v>196</v>
      </c>
      <c r="H1140" s="35" t="s">
        <v>26</v>
      </c>
      <c r="I1140" s="35" t="s">
        <v>27</v>
      </c>
      <c r="J1140" s="57"/>
      <c r="K1140" s="57"/>
      <c r="L1140" s="84"/>
    </row>
    <row r="1141">
      <c r="A1141" s="32" t="s">
        <v>3194</v>
      </c>
      <c r="B1141" s="32" t="s">
        <v>3195</v>
      </c>
      <c r="C1141" s="33">
        <v>45800.0</v>
      </c>
      <c r="D1141" s="34" t="s">
        <v>22</v>
      </c>
      <c r="E1141" s="32" t="s">
        <v>928</v>
      </c>
      <c r="F1141" s="34" t="s">
        <v>53</v>
      </c>
      <c r="G1141" s="34" t="s">
        <v>3196</v>
      </c>
      <c r="H1141" s="35" t="s">
        <v>26</v>
      </c>
      <c r="I1141" s="35" t="s">
        <v>27</v>
      </c>
      <c r="J1141" s="57"/>
      <c r="K1141" s="57"/>
      <c r="L1141" s="84"/>
    </row>
    <row r="1142">
      <c r="A1142" s="32" t="s">
        <v>3197</v>
      </c>
      <c r="B1142" s="32" t="s">
        <v>3198</v>
      </c>
      <c r="C1142" s="33">
        <v>45800.0</v>
      </c>
      <c r="D1142" s="34" t="s">
        <v>22</v>
      </c>
      <c r="E1142" s="32" t="s">
        <v>122</v>
      </c>
      <c r="F1142" s="34" t="s">
        <v>31</v>
      </c>
      <c r="G1142" s="34" t="s">
        <v>221</v>
      </c>
      <c r="H1142" s="35" t="s">
        <v>26</v>
      </c>
      <c r="I1142" s="35" t="s">
        <v>27</v>
      </c>
      <c r="J1142" s="57"/>
      <c r="K1142" s="57"/>
      <c r="L1142" s="84"/>
    </row>
    <row r="1143">
      <c r="A1143" s="32" t="s">
        <v>3199</v>
      </c>
      <c r="B1143" s="32" t="s">
        <v>3200</v>
      </c>
      <c r="C1143" s="33">
        <v>45800.0</v>
      </c>
      <c r="D1143" s="47" t="s">
        <v>39</v>
      </c>
      <c r="E1143" s="32" t="s">
        <v>73</v>
      </c>
      <c r="F1143" s="34" t="s">
        <v>24</v>
      </c>
      <c r="G1143" s="34" t="s">
        <v>3201</v>
      </c>
      <c r="H1143" s="35" t="s">
        <v>26</v>
      </c>
      <c r="I1143" s="35" t="s">
        <v>27</v>
      </c>
      <c r="J1143" s="57"/>
      <c r="K1143" s="57"/>
      <c r="L1143" s="84"/>
    </row>
    <row r="1144">
      <c r="A1144" s="32" t="s">
        <v>3202</v>
      </c>
      <c r="B1144" s="32" t="s">
        <v>3203</v>
      </c>
      <c r="C1144" s="33">
        <v>45800.0</v>
      </c>
      <c r="D1144" s="34" t="s">
        <v>22</v>
      </c>
      <c r="E1144" s="32" t="s">
        <v>3204</v>
      </c>
      <c r="F1144" s="34" t="s">
        <v>53</v>
      </c>
      <c r="G1144" s="34" t="s">
        <v>3205</v>
      </c>
      <c r="H1144" s="35" t="s">
        <v>26</v>
      </c>
      <c r="I1144" s="35" t="s">
        <v>27</v>
      </c>
      <c r="J1144" s="57"/>
      <c r="K1144" s="57"/>
      <c r="L1144" s="84"/>
    </row>
    <row r="1145">
      <c r="A1145" s="32" t="s">
        <v>3206</v>
      </c>
      <c r="B1145" s="32" t="s">
        <v>3207</v>
      </c>
      <c r="C1145" s="33">
        <v>45800.0</v>
      </c>
      <c r="D1145" s="34" t="s">
        <v>22</v>
      </c>
      <c r="E1145" s="32" t="s">
        <v>3208</v>
      </c>
      <c r="F1145" s="34" t="s">
        <v>53</v>
      </c>
      <c r="G1145" s="34" t="s">
        <v>892</v>
      </c>
      <c r="H1145" s="35" t="s">
        <v>26</v>
      </c>
      <c r="I1145" s="35" t="s">
        <v>27</v>
      </c>
      <c r="J1145" s="57"/>
      <c r="K1145" s="57"/>
      <c r="L1145" s="84"/>
    </row>
    <row r="1146">
      <c r="A1146" s="32" t="s">
        <v>3209</v>
      </c>
      <c r="B1146" s="32" t="s">
        <v>3210</v>
      </c>
      <c r="C1146" s="33">
        <v>45801.0</v>
      </c>
      <c r="D1146" s="47" t="s">
        <v>39</v>
      </c>
      <c r="E1146" s="32" t="s">
        <v>513</v>
      </c>
      <c r="F1146" s="34" t="s">
        <v>156</v>
      </c>
      <c r="G1146" s="34" t="s">
        <v>2768</v>
      </c>
      <c r="H1146" s="35" t="s">
        <v>26</v>
      </c>
      <c r="I1146" s="35" t="s">
        <v>27</v>
      </c>
      <c r="J1146" s="57"/>
      <c r="K1146" s="57"/>
      <c r="L1146" s="84"/>
    </row>
    <row r="1147">
      <c r="A1147" s="32" t="s">
        <v>3211</v>
      </c>
      <c r="B1147" s="32" t="s">
        <v>3212</v>
      </c>
      <c r="C1147" s="33">
        <v>45801.0</v>
      </c>
      <c r="D1147" s="47" t="s">
        <v>22</v>
      </c>
      <c r="E1147" s="32" t="s">
        <v>122</v>
      </c>
      <c r="F1147" s="34" t="s">
        <v>156</v>
      </c>
      <c r="G1147" s="34" t="s">
        <v>32</v>
      </c>
      <c r="H1147" s="35" t="s">
        <v>26</v>
      </c>
      <c r="I1147" s="35" t="s">
        <v>27</v>
      </c>
      <c r="J1147" s="57"/>
      <c r="K1147" s="57"/>
      <c r="L1147" s="84"/>
    </row>
    <row r="1148">
      <c r="A1148" s="32" t="s">
        <v>3213</v>
      </c>
      <c r="B1148" s="32" t="s">
        <v>1171</v>
      </c>
      <c r="C1148" s="33">
        <v>45802.0</v>
      </c>
      <c r="D1148" s="34" t="s">
        <v>22</v>
      </c>
      <c r="E1148" s="32" t="s">
        <v>3214</v>
      </c>
      <c r="F1148" s="34" t="s">
        <v>24</v>
      </c>
      <c r="G1148" s="34" t="s">
        <v>3215</v>
      </c>
      <c r="H1148" s="35" t="s">
        <v>26</v>
      </c>
      <c r="I1148" s="35" t="s">
        <v>27</v>
      </c>
      <c r="J1148" s="57"/>
      <c r="K1148" s="57"/>
      <c r="L1148" s="84"/>
    </row>
    <row r="1149">
      <c r="A1149" s="32" t="s">
        <v>3216</v>
      </c>
      <c r="B1149" s="32" t="s">
        <v>3217</v>
      </c>
      <c r="C1149" s="33">
        <v>45802.0</v>
      </c>
      <c r="D1149" s="34" t="s">
        <v>22</v>
      </c>
      <c r="E1149" s="32" t="s">
        <v>355</v>
      </c>
      <c r="F1149" s="34" t="s">
        <v>53</v>
      </c>
      <c r="G1149" s="34" t="s">
        <v>3218</v>
      </c>
      <c r="H1149" s="35" t="s">
        <v>26</v>
      </c>
      <c r="I1149" s="35" t="s">
        <v>27</v>
      </c>
      <c r="J1149" s="57"/>
      <c r="K1149" s="57"/>
      <c r="L1149" s="84"/>
    </row>
    <row r="1150">
      <c r="A1150" s="32" t="s">
        <v>3219</v>
      </c>
      <c r="B1150" s="32" t="s">
        <v>3220</v>
      </c>
      <c r="C1150" s="33">
        <v>45802.0</v>
      </c>
      <c r="D1150" s="34" t="s">
        <v>22</v>
      </c>
      <c r="E1150" s="32" t="s">
        <v>122</v>
      </c>
      <c r="F1150" s="34" t="s">
        <v>156</v>
      </c>
      <c r="G1150" s="34" t="s">
        <v>199</v>
      </c>
      <c r="H1150" s="35" t="s">
        <v>26</v>
      </c>
      <c r="I1150" s="36" t="str">
        <f>HYPERLINK("https://open.spotify.com/album/41bcve5rS1KEtuK8kZ3mdi", "S")</f>
        <v>S</v>
      </c>
      <c r="J1150" s="57"/>
      <c r="K1150" s="57"/>
      <c r="L1150" s="84"/>
    </row>
    <row r="1151">
      <c r="A1151" s="32" t="s">
        <v>3221</v>
      </c>
      <c r="B1151" s="32" t="s">
        <v>3222</v>
      </c>
      <c r="C1151" s="33">
        <v>45802.0</v>
      </c>
      <c r="D1151" s="47" t="s">
        <v>22</v>
      </c>
      <c r="E1151" s="32" t="s">
        <v>705</v>
      </c>
      <c r="F1151" s="34" t="s">
        <v>53</v>
      </c>
      <c r="G1151" s="34" t="s">
        <v>199</v>
      </c>
      <c r="H1151" s="35" t="s">
        <v>26</v>
      </c>
      <c r="I1151" s="35" t="s">
        <v>27</v>
      </c>
      <c r="J1151" s="57"/>
      <c r="K1151" s="57"/>
      <c r="L1151" s="84"/>
    </row>
    <row r="1152">
      <c r="A1152" s="32" t="s">
        <v>3223</v>
      </c>
      <c r="B1152" s="32" t="s">
        <v>3224</v>
      </c>
      <c r="C1152" s="33">
        <v>45803.0</v>
      </c>
      <c r="D1152" s="47" t="s">
        <v>22</v>
      </c>
      <c r="E1152" s="32" t="s">
        <v>3225</v>
      </c>
      <c r="F1152" s="34" t="s">
        <v>156</v>
      </c>
      <c r="G1152" s="34" t="s">
        <v>629</v>
      </c>
      <c r="H1152" s="35" t="s">
        <v>26</v>
      </c>
      <c r="I1152" s="35" t="s">
        <v>27</v>
      </c>
      <c r="J1152" s="57"/>
      <c r="K1152" s="57"/>
      <c r="L1152" s="84"/>
    </row>
    <row r="1153">
      <c r="A1153" s="32" t="s">
        <v>3226</v>
      </c>
      <c r="B1153" s="32" t="s">
        <v>3227</v>
      </c>
      <c r="C1153" s="33">
        <v>45803.0</v>
      </c>
      <c r="D1153" s="68" t="s">
        <v>39</v>
      </c>
      <c r="E1153" s="32" t="s">
        <v>3228</v>
      </c>
      <c r="F1153" s="34" t="s">
        <v>53</v>
      </c>
      <c r="G1153" s="34" t="s">
        <v>1808</v>
      </c>
      <c r="H1153" s="35" t="s">
        <v>26</v>
      </c>
      <c r="I1153" s="35" t="str">
        <f>HYPERLINK("https://open.spotify.com/album/3AlL68XN72AMmrD9JI5evp", "S")</f>
        <v>S</v>
      </c>
      <c r="J1153" s="57"/>
      <c r="K1153" s="57"/>
      <c r="L1153" s="84"/>
    </row>
    <row r="1154">
      <c r="A1154" s="32" t="s">
        <v>3229</v>
      </c>
      <c r="B1154" s="32" t="s">
        <v>3230</v>
      </c>
      <c r="C1154" s="33">
        <v>45804.0</v>
      </c>
      <c r="D1154" s="34" t="s">
        <v>22</v>
      </c>
      <c r="E1154" s="32" t="s">
        <v>3231</v>
      </c>
      <c r="F1154" s="34" t="s">
        <v>24</v>
      </c>
      <c r="G1154" s="34" t="s">
        <v>365</v>
      </c>
      <c r="H1154" s="35" t="s">
        <v>26</v>
      </c>
      <c r="I1154" s="36" t="str">
        <f>HYPERLINK("https://open.spotify.com/album/5Rejx1dSLbj00AJWW2mX82", "S")</f>
        <v>S</v>
      </c>
      <c r="J1154" s="57"/>
      <c r="K1154" s="57"/>
      <c r="L1154" s="84"/>
    </row>
    <row r="1155">
      <c r="A1155" s="32" t="s">
        <v>3232</v>
      </c>
      <c r="B1155" s="32" t="s">
        <v>3233</v>
      </c>
      <c r="C1155" s="33">
        <v>45804.0</v>
      </c>
      <c r="D1155" s="47" t="s">
        <v>22</v>
      </c>
      <c r="E1155" s="32" t="s">
        <v>73</v>
      </c>
      <c r="F1155" s="34" t="s">
        <v>24</v>
      </c>
      <c r="G1155" s="34" t="s">
        <v>892</v>
      </c>
      <c r="H1155" s="35" t="s">
        <v>26</v>
      </c>
      <c r="I1155" s="35" t="s">
        <v>27</v>
      </c>
      <c r="J1155" s="57"/>
      <c r="K1155" s="57"/>
      <c r="L1155" s="84"/>
    </row>
    <row r="1156">
      <c r="A1156" s="31" t="s">
        <v>3234</v>
      </c>
      <c r="B1156" s="32" t="s">
        <v>3235</v>
      </c>
      <c r="C1156" s="33">
        <v>45805.0</v>
      </c>
      <c r="D1156" s="34" t="s">
        <v>22</v>
      </c>
      <c r="E1156" s="32" t="s">
        <v>84</v>
      </c>
      <c r="F1156" s="34" t="s">
        <v>24</v>
      </c>
      <c r="G1156" s="34" t="s">
        <v>161</v>
      </c>
      <c r="H1156" s="35" t="s">
        <v>26</v>
      </c>
      <c r="I1156" s="36" t="str">
        <f>HYPERLINK("https://open.spotify.com/album/5qzd9DcR41749PkLpkcYGb", "S")</f>
        <v>S</v>
      </c>
      <c r="J1156" s="57"/>
      <c r="K1156" s="57"/>
      <c r="L1156" s="84"/>
    </row>
    <row r="1157">
      <c r="A1157" s="32" t="s">
        <v>3236</v>
      </c>
      <c r="B1157" s="32" t="s">
        <v>3237</v>
      </c>
      <c r="C1157" s="33">
        <v>45806.0</v>
      </c>
      <c r="D1157" s="34" t="s">
        <v>22</v>
      </c>
      <c r="E1157" s="32" t="s">
        <v>2321</v>
      </c>
      <c r="F1157" s="34" t="s">
        <v>53</v>
      </c>
      <c r="G1157" s="34" t="s">
        <v>292</v>
      </c>
      <c r="H1157" s="35" t="s">
        <v>26</v>
      </c>
      <c r="I1157" s="36" t="str">
        <f>HYPERLINK("https://open.spotify.com/album/61Bvi2IMKzQ8XIUoUQImbe", "S")</f>
        <v>S</v>
      </c>
      <c r="J1157" s="57"/>
      <c r="K1157" s="57"/>
      <c r="L1157" s="84"/>
    </row>
    <row r="1158">
      <c r="A1158" s="32" t="s">
        <v>3238</v>
      </c>
      <c r="B1158" s="32" t="s">
        <v>3239</v>
      </c>
      <c r="C1158" s="33">
        <v>45806.0</v>
      </c>
      <c r="D1158" s="34" t="s">
        <v>22</v>
      </c>
      <c r="E1158" s="32" t="s">
        <v>1150</v>
      </c>
      <c r="F1158" s="34" t="s">
        <v>24</v>
      </c>
      <c r="G1158" s="34" t="s">
        <v>3240</v>
      </c>
      <c r="H1158" s="35" t="s">
        <v>26</v>
      </c>
      <c r="I1158" s="57"/>
      <c r="J1158" s="57"/>
      <c r="K1158" s="57"/>
      <c r="L1158" s="84"/>
    </row>
    <row r="1159">
      <c r="A1159" s="32" t="s">
        <v>3241</v>
      </c>
      <c r="B1159" s="32" t="s">
        <v>3242</v>
      </c>
      <c r="C1159" s="33">
        <v>45806.0</v>
      </c>
      <c r="D1159" s="34" t="s">
        <v>39</v>
      </c>
      <c r="E1159" s="32" t="s">
        <v>73</v>
      </c>
      <c r="F1159" s="34" t="s">
        <v>24</v>
      </c>
      <c r="G1159" s="34" t="s">
        <v>1213</v>
      </c>
      <c r="H1159" s="35" t="s">
        <v>26</v>
      </c>
      <c r="I1159" s="36" t="str">
        <f>HYPERLINK("https://open.spotify.com/album/1Xj8iUHdUqy2shyIvskS6T", "S")</f>
        <v>S</v>
      </c>
      <c r="J1159" s="57"/>
      <c r="K1159" s="57"/>
      <c r="L1159" s="84"/>
    </row>
    <row r="1160">
      <c r="A1160" s="32" t="s">
        <v>3243</v>
      </c>
      <c r="B1160" s="32" t="s">
        <v>3244</v>
      </c>
      <c r="C1160" s="33">
        <v>45806.0</v>
      </c>
      <c r="D1160" s="34" t="s">
        <v>22</v>
      </c>
      <c r="E1160" s="32" t="s">
        <v>1301</v>
      </c>
      <c r="F1160" s="34" t="s">
        <v>53</v>
      </c>
      <c r="G1160" s="34" t="s">
        <v>2445</v>
      </c>
      <c r="H1160" s="35" t="s">
        <v>26</v>
      </c>
      <c r="I1160" s="36" t="str">
        <f>HYPERLINK("https://open.spotify.com/album/5Q1i48vOdy12a3JwXRjzWK", "S")</f>
        <v>S</v>
      </c>
      <c r="J1160" s="57"/>
      <c r="K1160" s="57"/>
      <c r="L1160" s="84"/>
    </row>
    <row r="1161">
      <c r="A1161" s="32" t="s">
        <v>3245</v>
      </c>
      <c r="B1161" s="32" t="s">
        <v>3246</v>
      </c>
      <c r="C1161" s="33">
        <v>45806.0</v>
      </c>
      <c r="D1161" s="34" t="s">
        <v>22</v>
      </c>
      <c r="E1161" s="32" t="s">
        <v>3247</v>
      </c>
      <c r="F1161" s="34" t="s">
        <v>53</v>
      </c>
      <c r="G1161" s="34" t="s">
        <v>561</v>
      </c>
      <c r="H1161" s="66"/>
      <c r="I1161" s="35" t="s">
        <v>27</v>
      </c>
      <c r="J1161" s="57"/>
      <c r="K1161" s="57"/>
      <c r="L1161" s="84"/>
    </row>
    <row r="1162">
      <c r="A1162" s="32" t="s">
        <v>3248</v>
      </c>
      <c r="B1162" s="32" t="s">
        <v>3249</v>
      </c>
      <c r="C1162" s="33">
        <v>45807.0</v>
      </c>
      <c r="D1162" s="34" t="s">
        <v>22</v>
      </c>
      <c r="E1162" s="32" t="s">
        <v>3250</v>
      </c>
      <c r="F1162" s="34" t="s">
        <v>31</v>
      </c>
      <c r="G1162" s="34" t="s">
        <v>3251</v>
      </c>
      <c r="H1162" s="35" t="s">
        <v>26</v>
      </c>
      <c r="I1162" s="35" t="s">
        <v>27</v>
      </c>
      <c r="J1162" s="57"/>
      <c r="K1162" s="57"/>
      <c r="L1162" s="84"/>
    </row>
    <row r="1163">
      <c r="A1163" s="32" t="s">
        <v>3252</v>
      </c>
      <c r="B1163" s="32" t="s">
        <v>3253</v>
      </c>
      <c r="C1163" s="33">
        <v>45807.0</v>
      </c>
      <c r="D1163" s="34" t="s">
        <v>22</v>
      </c>
      <c r="E1163" s="32" t="s">
        <v>3254</v>
      </c>
      <c r="F1163" s="34" t="s">
        <v>24</v>
      </c>
      <c r="G1163" s="34" t="s">
        <v>365</v>
      </c>
      <c r="H1163" s="66"/>
      <c r="I1163" s="35" t="s">
        <v>27</v>
      </c>
      <c r="J1163" s="57"/>
      <c r="K1163" s="57"/>
      <c r="L1163" s="84"/>
    </row>
    <row r="1164">
      <c r="A1164" s="32" t="s">
        <v>3255</v>
      </c>
      <c r="B1164" s="32" t="s">
        <v>3256</v>
      </c>
      <c r="C1164" s="33">
        <v>45807.0</v>
      </c>
      <c r="D1164" s="34" t="s">
        <v>39</v>
      </c>
      <c r="E1164" s="32" t="s">
        <v>61</v>
      </c>
      <c r="F1164" s="34" t="s">
        <v>24</v>
      </c>
      <c r="G1164" s="34" t="s">
        <v>3257</v>
      </c>
      <c r="H1164" s="35" t="s">
        <v>26</v>
      </c>
      <c r="I1164" s="35" t="s">
        <v>27</v>
      </c>
      <c r="J1164" s="57"/>
      <c r="K1164" s="57"/>
      <c r="L1164" s="84"/>
    </row>
    <row r="1165">
      <c r="A1165" s="32" t="s">
        <v>3258</v>
      </c>
      <c r="B1165" s="32" t="s">
        <v>3259</v>
      </c>
      <c r="C1165" s="33">
        <v>45807.0</v>
      </c>
      <c r="D1165" s="34" t="s">
        <v>22</v>
      </c>
      <c r="E1165" s="32" t="s">
        <v>3260</v>
      </c>
      <c r="F1165" s="34" t="s">
        <v>53</v>
      </c>
      <c r="G1165" s="34" t="s">
        <v>1012</v>
      </c>
      <c r="H1165" s="35" t="s">
        <v>26</v>
      </c>
      <c r="I1165" s="35" t="s">
        <v>27</v>
      </c>
      <c r="J1165" s="57"/>
      <c r="K1165" s="57"/>
      <c r="L1165" s="84"/>
    </row>
    <row r="1166">
      <c r="A1166" s="32" t="s">
        <v>3261</v>
      </c>
      <c r="B1166" s="32" t="s">
        <v>3262</v>
      </c>
      <c r="C1166" s="33">
        <v>45807.0</v>
      </c>
      <c r="D1166" s="34" t="s">
        <v>22</v>
      </c>
      <c r="E1166" s="32" t="s">
        <v>3263</v>
      </c>
      <c r="F1166" s="34" t="s">
        <v>24</v>
      </c>
      <c r="G1166" s="34" t="s">
        <v>3264</v>
      </c>
      <c r="H1166" s="35" t="s">
        <v>26</v>
      </c>
      <c r="I1166" s="35" t="s">
        <v>27</v>
      </c>
      <c r="J1166" s="35" t="s">
        <v>100</v>
      </c>
      <c r="K1166" s="57"/>
      <c r="L1166" s="84"/>
    </row>
    <row r="1167">
      <c r="A1167" s="32" t="s">
        <v>3265</v>
      </c>
      <c r="B1167" s="32" t="s">
        <v>3266</v>
      </c>
      <c r="C1167" s="33">
        <v>45807.0</v>
      </c>
      <c r="D1167" s="47" t="s">
        <v>22</v>
      </c>
      <c r="E1167" s="32" t="s">
        <v>3267</v>
      </c>
      <c r="F1167" s="34" t="s">
        <v>53</v>
      </c>
      <c r="G1167" s="34" t="s">
        <v>292</v>
      </c>
      <c r="H1167" s="35" t="s">
        <v>26</v>
      </c>
      <c r="I1167" s="35" t="s">
        <v>27</v>
      </c>
      <c r="J1167" s="57"/>
      <c r="K1167" s="57"/>
      <c r="L1167" s="84"/>
    </row>
    <row r="1168">
      <c r="A1168" s="32" t="s">
        <v>3268</v>
      </c>
      <c r="B1168" s="32" t="s">
        <v>3269</v>
      </c>
      <c r="C1168" s="33">
        <v>45807.0</v>
      </c>
      <c r="D1168" s="69" t="s">
        <v>22</v>
      </c>
      <c r="E1168" s="32" t="s">
        <v>3270</v>
      </c>
      <c r="F1168" s="34" t="s">
        <v>53</v>
      </c>
      <c r="G1168" s="34" t="s">
        <v>1566</v>
      </c>
      <c r="H1168" s="35" t="s">
        <v>26</v>
      </c>
      <c r="I1168" s="34"/>
      <c r="J1168" s="57"/>
      <c r="K1168" s="57"/>
      <c r="L1168" s="84"/>
    </row>
    <row r="1169">
      <c r="A1169" s="32" t="s">
        <v>3271</v>
      </c>
      <c r="B1169" s="32" t="s">
        <v>3272</v>
      </c>
      <c r="C1169" s="33">
        <v>45807.0</v>
      </c>
      <c r="D1169" s="34" t="s">
        <v>22</v>
      </c>
      <c r="E1169" s="32" t="s">
        <v>3273</v>
      </c>
      <c r="F1169" s="34" t="s">
        <v>53</v>
      </c>
      <c r="G1169" s="34" t="s">
        <v>3274</v>
      </c>
      <c r="H1169" s="35" t="s">
        <v>26</v>
      </c>
      <c r="I1169" s="35" t="s">
        <v>27</v>
      </c>
      <c r="J1169" s="57"/>
      <c r="K1169" s="57"/>
      <c r="L1169" s="84"/>
    </row>
    <row r="1170">
      <c r="A1170" s="32" t="s">
        <v>3275</v>
      </c>
      <c r="B1170" s="32" t="s">
        <v>3276</v>
      </c>
      <c r="C1170" s="33">
        <v>45807.0</v>
      </c>
      <c r="D1170" s="34" t="s">
        <v>22</v>
      </c>
      <c r="E1170" s="32" t="s">
        <v>73</v>
      </c>
      <c r="F1170" s="34" t="s">
        <v>24</v>
      </c>
      <c r="G1170" s="34" t="s">
        <v>3277</v>
      </c>
      <c r="H1170" s="35" t="s">
        <v>26</v>
      </c>
      <c r="I1170" s="58" t="str">
        <f>HYPERLINK("https://open.spotify.com/album/3RllQCb5jJyukl9gAevdwj", "S")</f>
        <v>S</v>
      </c>
      <c r="J1170" s="57"/>
      <c r="K1170" s="57"/>
      <c r="L1170" s="84"/>
    </row>
    <row r="1171">
      <c r="A1171" s="32" t="s">
        <v>3278</v>
      </c>
      <c r="B1171" s="32" t="s">
        <v>3279</v>
      </c>
      <c r="C1171" s="33">
        <v>45807.0</v>
      </c>
      <c r="D1171" s="34" t="s">
        <v>22</v>
      </c>
      <c r="E1171" s="32" t="s">
        <v>3280</v>
      </c>
      <c r="F1171" s="34" t="s">
        <v>24</v>
      </c>
      <c r="G1171" s="34" t="s">
        <v>365</v>
      </c>
      <c r="H1171" s="35" t="s">
        <v>26</v>
      </c>
      <c r="I1171" s="58" t="str">
        <f>HYPERLINK("https://open.spotify.com/album/71grkVZZ8h8cR7gpjLlQwO", "S")</f>
        <v>S</v>
      </c>
      <c r="J1171" s="57"/>
      <c r="K1171" s="57"/>
      <c r="L1171" s="84"/>
    </row>
    <row r="1172">
      <c r="A1172" s="32" t="s">
        <v>3281</v>
      </c>
      <c r="B1172" s="32" t="s">
        <v>3282</v>
      </c>
      <c r="C1172" s="33">
        <v>45807.0</v>
      </c>
      <c r="D1172" s="47" t="s">
        <v>22</v>
      </c>
      <c r="E1172" s="32" t="s">
        <v>3283</v>
      </c>
      <c r="F1172" s="34" t="s">
        <v>24</v>
      </c>
      <c r="G1172" s="34" t="s">
        <v>3284</v>
      </c>
      <c r="H1172" s="35" t="s">
        <v>26</v>
      </c>
      <c r="I1172" s="35" t="s">
        <v>27</v>
      </c>
      <c r="J1172" s="35" t="s">
        <v>100</v>
      </c>
      <c r="K1172" s="57"/>
      <c r="L1172" s="84"/>
    </row>
    <row r="1173">
      <c r="A1173" s="32" t="s">
        <v>3285</v>
      </c>
      <c r="B1173" s="32" t="s">
        <v>3286</v>
      </c>
      <c r="C1173" s="33">
        <v>45807.0</v>
      </c>
      <c r="D1173" s="34" t="s">
        <v>22</v>
      </c>
      <c r="E1173" s="32" t="s">
        <v>69</v>
      </c>
      <c r="F1173" s="34" t="s">
        <v>53</v>
      </c>
      <c r="G1173" s="34" t="s">
        <v>1484</v>
      </c>
      <c r="H1173" s="35" t="s">
        <v>26</v>
      </c>
      <c r="I1173" s="35" t="s">
        <v>27</v>
      </c>
      <c r="J1173" s="35" t="s">
        <v>100</v>
      </c>
      <c r="K1173" s="57"/>
      <c r="L1173" s="84"/>
    </row>
    <row r="1174">
      <c r="A1174" s="32" t="s">
        <v>3287</v>
      </c>
      <c r="B1174" s="32" t="s">
        <v>3288</v>
      </c>
      <c r="C1174" s="33">
        <v>45807.0</v>
      </c>
      <c r="D1174" s="69" t="s">
        <v>22</v>
      </c>
      <c r="E1174" s="32" t="s">
        <v>3098</v>
      </c>
      <c r="F1174" s="34" t="s">
        <v>24</v>
      </c>
      <c r="G1174" s="34" t="s">
        <v>3289</v>
      </c>
      <c r="H1174" s="35" t="s">
        <v>26</v>
      </c>
      <c r="I1174" s="35" t="s">
        <v>27</v>
      </c>
      <c r="J1174" s="57"/>
      <c r="K1174" s="57"/>
      <c r="L1174" s="84"/>
    </row>
    <row r="1175">
      <c r="A1175" s="32" t="s">
        <v>3290</v>
      </c>
      <c r="B1175" s="32" t="s">
        <v>3291</v>
      </c>
      <c r="C1175" s="33">
        <v>45807.0</v>
      </c>
      <c r="D1175" s="34" t="s">
        <v>22</v>
      </c>
      <c r="E1175" s="32" t="s">
        <v>3292</v>
      </c>
      <c r="F1175" s="34" t="s">
        <v>24</v>
      </c>
      <c r="G1175" s="34" t="s">
        <v>437</v>
      </c>
      <c r="H1175" s="35" t="s">
        <v>26</v>
      </c>
      <c r="I1175" s="35" t="s">
        <v>27</v>
      </c>
      <c r="J1175" s="35" t="s">
        <v>100</v>
      </c>
      <c r="K1175" s="57"/>
      <c r="L1175" s="84"/>
    </row>
    <row r="1176">
      <c r="A1176" s="32" t="s">
        <v>3293</v>
      </c>
      <c r="B1176" s="32" t="s">
        <v>3294</v>
      </c>
      <c r="C1176" s="33">
        <v>45807.0</v>
      </c>
      <c r="D1176" s="47" t="s">
        <v>22</v>
      </c>
      <c r="E1176" s="32" t="s">
        <v>2400</v>
      </c>
      <c r="F1176" s="34" t="s">
        <v>31</v>
      </c>
      <c r="G1176" s="34" t="s">
        <v>3295</v>
      </c>
      <c r="H1176" s="35" t="s">
        <v>26</v>
      </c>
      <c r="I1176" s="35" t="s">
        <v>27</v>
      </c>
      <c r="J1176" s="35" t="s">
        <v>100</v>
      </c>
      <c r="K1176" s="57"/>
      <c r="L1176" s="84"/>
    </row>
    <row r="1177">
      <c r="A1177" s="32" t="s">
        <v>3296</v>
      </c>
      <c r="B1177" s="32" t="s">
        <v>3297</v>
      </c>
      <c r="C1177" s="33">
        <v>45807.0</v>
      </c>
      <c r="D1177" s="34" t="s">
        <v>22</v>
      </c>
      <c r="E1177" s="32" t="s">
        <v>2819</v>
      </c>
      <c r="F1177" s="34" t="s">
        <v>24</v>
      </c>
      <c r="G1177" s="34" t="s">
        <v>161</v>
      </c>
      <c r="H1177" s="35" t="s">
        <v>26</v>
      </c>
      <c r="I1177" s="35" t="s">
        <v>27</v>
      </c>
      <c r="J1177" s="57"/>
      <c r="K1177" s="57"/>
      <c r="L1177" s="84"/>
    </row>
    <row r="1178">
      <c r="A1178" s="32" t="s">
        <v>3298</v>
      </c>
      <c r="B1178" s="32" t="s">
        <v>3299</v>
      </c>
      <c r="C1178" s="33">
        <v>45807.0</v>
      </c>
      <c r="D1178" s="34" t="s">
        <v>22</v>
      </c>
      <c r="E1178" s="32" t="s">
        <v>3300</v>
      </c>
      <c r="F1178" s="34" t="s">
        <v>156</v>
      </c>
      <c r="G1178" s="34" t="s">
        <v>3301</v>
      </c>
      <c r="H1178" s="35" t="s">
        <v>26</v>
      </c>
      <c r="I1178" s="35" t="s">
        <v>27</v>
      </c>
      <c r="J1178" s="35" t="s">
        <v>100</v>
      </c>
      <c r="K1178" s="57"/>
      <c r="L1178" s="84"/>
    </row>
    <row r="1179">
      <c r="A1179" s="32" t="s">
        <v>3302</v>
      </c>
      <c r="B1179" s="32" t="s">
        <v>3303</v>
      </c>
      <c r="C1179" s="33">
        <v>45807.0</v>
      </c>
      <c r="D1179" s="34" t="s">
        <v>22</v>
      </c>
      <c r="E1179" s="32" t="s">
        <v>129</v>
      </c>
      <c r="F1179" s="34" t="s">
        <v>24</v>
      </c>
      <c r="G1179" s="34" t="s">
        <v>41</v>
      </c>
      <c r="H1179" s="35" t="s">
        <v>26</v>
      </c>
      <c r="I1179" s="35" t="s">
        <v>27</v>
      </c>
      <c r="J1179" s="35" t="s">
        <v>100</v>
      </c>
      <c r="K1179" s="57"/>
      <c r="L1179" s="84"/>
    </row>
    <row r="1180">
      <c r="A1180" s="32" t="s">
        <v>3304</v>
      </c>
      <c r="B1180" s="32" t="s">
        <v>3305</v>
      </c>
      <c r="C1180" s="33">
        <v>45807.0</v>
      </c>
      <c r="D1180" s="34" t="s">
        <v>22</v>
      </c>
      <c r="E1180" s="32" t="s">
        <v>817</v>
      </c>
      <c r="F1180" s="34" t="s">
        <v>53</v>
      </c>
      <c r="G1180" s="34" t="s">
        <v>3306</v>
      </c>
      <c r="H1180" s="35" t="s">
        <v>26</v>
      </c>
      <c r="I1180" s="35" t="s">
        <v>27</v>
      </c>
      <c r="J1180" s="35" t="s">
        <v>100</v>
      </c>
      <c r="K1180" s="57"/>
      <c r="L1180" s="84"/>
    </row>
    <row r="1181">
      <c r="A1181" s="31" t="s">
        <v>3307</v>
      </c>
      <c r="B1181" s="32" t="s">
        <v>3307</v>
      </c>
      <c r="C1181" s="33">
        <v>45807.0</v>
      </c>
      <c r="D1181" s="34" t="s">
        <v>22</v>
      </c>
      <c r="E1181" s="32" t="s">
        <v>263</v>
      </c>
      <c r="F1181" s="34" t="s">
        <v>53</v>
      </c>
      <c r="G1181" s="34" t="s">
        <v>410</v>
      </c>
      <c r="H1181" s="35" t="s">
        <v>26</v>
      </c>
      <c r="I1181" s="35" t="s">
        <v>27</v>
      </c>
      <c r="J1181" s="35" t="s">
        <v>100</v>
      </c>
      <c r="K1181" s="57"/>
      <c r="L1181" s="84"/>
    </row>
    <row r="1182">
      <c r="A1182" s="31" t="s">
        <v>3308</v>
      </c>
      <c r="B1182" s="32" t="s">
        <v>3309</v>
      </c>
      <c r="C1182" s="33">
        <v>45807.0</v>
      </c>
      <c r="D1182" s="34" t="s">
        <v>22</v>
      </c>
      <c r="E1182" s="32" t="s">
        <v>1516</v>
      </c>
      <c r="F1182" s="34" t="s">
        <v>53</v>
      </c>
      <c r="G1182" s="34" t="s">
        <v>3310</v>
      </c>
      <c r="H1182" s="65"/>
      <c r="I1182" s="35" t="s">
        <v>27</v>
      </c>
      <c r="J1182" s="57"/>
      <c r="K1182" s="57"/>
      <c r="L1182" s="84"/>
    </row>
    <row r="1183">
      <c r="A1183" s="31" t="s">
        <v>3311</v>
      </c>
      <c r="B1183" s="32" t="s">
        <v>3312</v>
      </c>
      <c r="C1183" s="33">
        <v>45807.0</v>
      </c>
      <c r="D1183" s="34" t="s">
        <v>22</v>
      </c>
      <c r="E1183" s="32" t="s">
        <v>335</v>
      </c>
      <c r="F1183" s="34" t="s">
        <v>24</v>
      </c>
      <c r="G1183" s="34" t="s">
        <v>442</v>
      </c>
      <c r="H1183" s="35" t="s">
        <v>26</v>
      </c>
      <c r="I1183" s="35" t="s">
        <v>27</v>
      </c>
      <c r="J1183" s="35" t="s">
        <v>100</v>
      </c>
      <c r="K1183" s="57"/>
      <c r="L1183" s="84"/>
    </row>
    <row r="1184">
      <c r="A1184" s="31" t="s">
        <v>3313</v>
      </c>
      <c r="B1184" s="32" t="s">
        <v>3314</v>
      </c>
      <c r="C1184" s="33">
        <v>45807.0</v>
      </c>
      <c r="D1184" s="34" t="s">
        <v>22</v>
      </c>
      <c r="E1184" s="32" t="s">
        <v>3315</v>
      </c>
      <c r="F1184" s="34" t="s">
        <v>24</v>
      </c>
      <c r="G1184" s="34" t="s">
        <v>231</v>
      </c>
      <c r="H1184" s="35" t="s">
        <v>26</v>
      </c>
      <c r="I1184" s="35" t="s">
        <v>27</v>
      </c>
      <c r="J1184" s="57"/>
      <c r="K1184" s="57"/>
      <c r="L1184" s="84"/>
    </row>
    <row r="1185">
      <c r="A1185" s="32" t="s">
        <v>3316</v>
      </c>
      <c r="B1185" s="32" t="s">
        <v>3317</v>
      </c>
      <c r="C1185" s="33">
        <v>45807.0</v>
      </c>
      <c r="D1185" s="34" t="s">
        <v>22</v>
      </c>
      <c r="E1185" s="32" t="s">
        <v>61</v>
      </c>
      <c r="F1185" s="34" t="s">
        <v>24</v>
      </c>
      <c r="G1185" s="34" t="s">
        <v>792</v>
      </c>
      <c r="H1185" s="35" t="s">
        <v>26</v>
      </c>
      <c r="I1185" s="35" t="s">
        <v>27</v>
      </c>
      <c r="J1185" s="57"/>
      <c r="K1185" s="57"/>
      <c r="L1185" s="84"/>
    </row>
    <row r="1186">
      <c r="A1186" s="32" t="s">
        <v>3318</v>
      </c>
      <c r="B1186" s="32" t="s">
        <v>3319</v>
      </c>
      <c r="C1186" s="33">
        <v>45807.0</v>
      </c>
      <c r="D1186" s="34" t="s">
        <v>22</v>
      </c>
      <c r="E1186" s="32" t="s">
        <v>2619</v>
      </c>
      <c r="F1186" s="34" t="s">
        <v>53</v>
      </c>
      <c r="G1186" s="34" t="s">
        <v>41</v>
      </c>
      <c r="H1186" s="35" t="s">
        <v>26</v>
      </c>
      <c r="I1186" s="35" t="s">
        <v>27</v>
      </c>
      <c r="J1186" s="57"/>
      <c r="K1186" s="57"/>
      <c r="L1186" s="84"/>
    </row>
    <row r="1187">
      <c r="A1187" s="32" t="s">
        <v>3320</v>
      </c>
      <c r="B1187" s="32" t="s">
        <v>3320</v>
      </c>
      <c r="C1187" s="33">
        <v>45807.0</v>
      </c>
      <c r="D1187" s="47" t="s">
        <v>39</v>
      </c>
      <c r="E1187" s="32" t="s">
        <v>3321</v>
      </c>
      <c r="F1187" s="34" t="s">
        <v>53</v>
      </c>
      <c r="G1187" s="34" t="s">
        <v>3322</v>
      </c>
      <c r="H1187" s="65"/>
      <c r="I1187" s="35" t="s">
        <v>27</v>
      </c>
      <c r="J1187" s="57"/>
      <c r="K1187" s="57"/>
      <c r="L1187" s="84"/>
    </row>
    <row r="1188">
      <c r="A1188" s="32" t="s">
        <v>3323</v>
      </c>
      <c r="B1188" s="32" t="s">
        <v>3324</v>
      </c>
      <c r="C1188" s="33">
        <v>45807.0</v>
      </c>
      <c r="D1188" s="34" t="s">
        <v>22</v>
      </c>
      <c r="E1188" s="32" t="s">
        <v>3325</v>
      </c>
      <c r="F1188" s="34" t="s">
        <v>156</v>
      </c>
      <c r="G1188" s="34" t="s">
        <v>3326</v>
      </c>
      <c r="H1188" s="35" t="s">
        <v>26</v>
      </c>
      <c r="I1188" s="35" t="s">
        <v>27</v>
      </c>
      <c r="J1188" s="57"/>
      <c r="K1188" s="57"/>
      <c r="L1188" s="84"/>
    </row>
    <row r="1189">
      <c r="A1189" s="32" t="s">
        <v>3327</v>
      </c>
      <c r="B1189" s="32" t="s">
        <v>3328</v>
      </c>
      <c r="C1189" s="33">
        <v>45807.0</v>
      </c>
      <c r="D1189" s="34" t="s">
        <v>22</v>
      </c>
      <c r="E1189" s="32" t="s">
        <v>176</v>
      </c>
      <c r="F1189" s="34" t="s">
        <v>156</v>
      </c>
      <c r="G1189" s="34" t="s">
        <v>487</v>
      </c>
      <c r="H1189" s="35" t="s">
        <v>26</v>
      </c>
      <c r="I1189" s="35" t="s">
        <v>27</v>
      </c>
      <c r="J1189" s="57"/>
      <c r="K1189" s="57"/>
      <c r="L1189" s="84"/>
    </row>
    <row r="1190">
      <c r="A1190" s="32" t="s">
        <v>3329</v>
      </c>
      <c r="B1190" s="32" t="s">
        <v>3330</v>
      </c>
      <c r="C1190" s="33">
        <v>45807.0</v>
      </c>
      <c r="D1190" s="34" t="s">
        <v>22</v>
      </c>
      <c r="E1190" s="32" t="s">
        <v>3331</v>
      </c>
      <c r="F1190" s="34" t="s">
        <v>156</v>
      </c>
      <c r="G1190" s="34" t="s">
        <v>2120</v>
      </c>
      <c r="H1190" s="35" t="s">
        <v>26</v>
      </c>
      <c r="I1190" s="58" t="str">
        <f>HYPERLINK("https://open.spotify.com/album/5LH2GYmxkSCdXu0fq08d2w", "S")</f>
        <v>S</v>
      </c>
      <c r="J1190" s="35" t="s">
        <v>100</v>
      </c>
      <c r="K1190" s="57"/>
      <c r="L1190" s="84"/>
    </row>
    <row r="1191">
      <c r="A1191" s="32" t="s">
        <v>3332</v>
      </c>
      <c r="B1191" s="32" t="s">
        <v>3333</v>
      </c>
      <c r="C1191" s="33">
        <v>45807.0</v>
      </c>
      <c r="D1191" s="34" t="s">
        <v>22</v>
      </c>
      <c r="E1191" s="32" t="s">
        <v>61</v>
      </c>
      <c r="F1191" s="34" t="s">
        <v>24</v>
      </c>
      <c r="G1191" s="34" t="s">
        <v>342</v>
      </c>
      <c r="H1191" s="35" t="s">
        <v>26</v>
      </c>
      <c r="I1191" s="35" t="s">
        <v>27</v>
      </c>
      <c r="J1191" s="35" t="s">
        <v>100</v>
      </c>
      <c r="K1191" s="57"/>
      <c r="L1191" s="84"/>
    </row>
    <row r="1192">
      <c r="A1192" s="32" t="s">
        <v>3334</v>
      </c>
      <c r="B1192" s="32" t="s">
        <v>3335</v>
      </c>
      <c r="C1192" s="33">
        <v>45807.0</v>
      </c>
      <c r="D1192" s="34" t="s">
        <v>22</v>
      </c>
      <c r="E1192" s="32" t="s">
        <v>160</v>
      </c>
      <c r="F1192" s="34" t="s">
        <v>24</v>
      </c>
      <c r="G1192" s="34" t="s">
        <v>342</v>
      </c>
      <c r="H1192" s="35" t="s">
        <v>26</v>
      </c>
      <c r="I1192" s="58" t="str">
        <f>HYPERLINK("https://open.spotify.com/album/1mSiJsI9bCGbaJEeaaehVn", "S")</f>
        <v>S</v>
      </c>
      <c r="J1192" s="57"/>
      <c r="K1192" s="57"/>
      <c r="L1192" s="84"/>
    </row>
    <row r="1193">
      <c r="A1193" s="32" t="s">
        <v>3336</v>
      </c>
      <c r="B1193" s="32" t="s">
        <v>3337</v>
      </c>
      <c r="C1193" s="33">
        <v>45807.0</v>
      </c>
      <c r="D1193" s="34" t="s">
        <v>22</v>
      </c>
      <c r="E1193" s="32" t="s">
        <v>3338</v>
      </c>
      <c r="F1193" s="34" t="s">
        <v>24</v>
      </c>
      <c r="G1193" s="34" t="s">
        <v>257</v>
      </c>
      <c r="H1193" s="35" t="s">
        <v>26</v>
      </c>
      <c r="I1193" s="35" t="s">
        <v>27</v>
      </c>
      <c r="J1193" s="35" t="s">
        <v>100</v>
      </c>
      <c r="K1193" s="57"/>
      <c r="L1193" s="84"/>
    </row>
    <row r="1194">
      <c r="A1194" s="32" t="s">
        <v>3339</v>
      </c>
      <c r="B1194" s="32" t="s">
        <v>3340</v>
      </c>
      <c r="C1194" s="33">
        <v>45807.0</v>
      </c>
      <c r="D1194" s="34" t="s">
        <v>22</v>
      </c>
      <c r="E1194" s="32" t="s">
        <v>73</v>
      </c>
      <c r="F1194" s="34" t="s">
        <v>24</v>
      </c>
      <c r="G1194" s="34" t="s">
        <v>2454</v>
      </c>
      <c r="H1194" s="35" t="s">
        <v>26</v>
      </c>
      <c r="I1194" s="35" t="s">
        <v>27</v>
      </c>
      <c r="J1194" s="57"/>
      <c r="K1194" s="57"/>
      <c r="L1194" s="84"/>
    </row>
    <row r="1195">
      <c r="A1195" s="32" t="s">
        <v>3341</v>
      </c>
      <c r="B1195" s="32" t="s">
        <v>3342</v>
      </c>
      <c r="C1195" s="33">
        <v>45807.0</v>
      </c>
      <c r="D1195" s="34" t="s">
        <v>22</v>
      </c>
      <c r="E1195" s="32" t="s">
        <v>69</v>
      </c>
      <c r="F1195" s="34" t="s">
        <v>24</v>
      </c>
      <c r="G1195" s="34" t="s">
        <v>177</v>
      </c>
      <c r="H1195" s="35" t="s">
        <v>26</v>
      </c>
      <c r="I1195" s="35" t="s">
        <v>27</v>
      </c>
      <c r="J1195" s="57"/>
      <c r="K1195" s="57"/>
      <c r="L1195" s="84"/>
    </row>
    <row r="1196">
      <c r="A1196" s="32" t="s">
        <v>3343</v>
      </c>
      <c r="B1196" s="32" t="s">
        <v>3344</v>
      </c>
      <c r="C1196" s="33">
        <v>45807.0</v>
      </c>
      <c r="D1196" s="34" t="s">
        <v>39</v>
      </c>
      <c r="E1196" s="32" t="s">
        <v>3345</v>
      </c>
      <c r="F1196" s="34" t="s">
        <v>24</v>
      </c>
      <c r="G1196" s="34" t="s">
        <v>670</v>
      </c>
      <c r="H1196" s="35" t="s">
        <v>26</v>
      </c>
      <c r="I1196" s="35" t="s">
        <v>27</v>
      </c>
      <c r="J1196" s="57"/>
      <c r="K1196" s="57"/>
      <c r="L1196" s="84"/>
    </row>
    <row r="1197">
      <c r="A1197" s="32" t="s">
        <v>3346</v>
      </c>
      <c r="B1197" s="32" t="s">
        <v>3347</v>
      </c>
      <c r="C1197" s="33">
        <v>45807.0</v>
      </c>
      <c r="D1197" s="34" t="s">
        <v>22</v>
      </c>
      <c r="E1197" s="32" t="s">
        <v>1138</v>
      </c>
      <c r="F1197" s="34" t="s">
        <v>24</v>
      </c>
      <c r="G1197" s="34" t="s">
        <v>199</v>
      </c>
      <c r="H1197" s="35" t="s">
        <v>26</v>
      </c>
      <c r="I1197" s="35" t="s">
        <v>27</v>
      </c>
      <c r="J1197" s="57"/>
      <c r="K1197" s="57"/>
      <c r="L1197" s="84"/>
    </row>
    <row r="1198">
      <c r="A1198" s="32" t="s">
        <v>3348</v>
      </c>
      <c r="B1198" s="32" t="s">
        <v>3349</v>
      </c>
      <c r="C1198" s="33">
        <v>45807.0</v>
      </c>
      <c r="D1198" s="34" t="s">
        <v>22</v>
      </c>
      <c r="E1198" s="32" t="s">
        <v>3350</v>
      </c>
      <c r="F1198" s="34" t="s">
        <v>156</v>
      </c>
      <c r="G1198" s="34" t="s">
        <v>225</v>
      </c>
      <c r="H1198" s="35" t="s">
        <v>26</v>
      </c>
      <c r="I1198" s="35" t="s">
        <v>27</v>
      </c>
      <c r="J1198" s="57"/>
      <c r="K1198" s="57"/>
      <c r="L1198" s="84"/>
    </row>
    <row r="1199">
      <c r="A1199" s="32" t="s">
        <v>3351</v>
      </c>
      <c r="B1199" s="32" t="s">
        <v>3352</v>
      </c>
      <c r="C1199" s="33">
        <v>45807.0</v>
      </c>
      <c r="D1199" s="34" t="s">
        <v>39</v>
      </c>
      <c r="E1199" s="32" t="s">
        <v>1138</v>
      </c>
      <c r="F1199" s="34" t="s">
        <v>24</v>
      </c>
      <c r="G1199" s="34" t="s">
        <v>725</v>
      </c>
      <c r="H1199" s="35" t="s">
        <v>26</v>
      </c>
      <c r="I1199" s="96" t="s">
        <v>27</v>
      </c>
      <c r="J1199" s="35" t="s">
        <v>100</v>
      </c>
      <c r="K1199" s="57"/>
      <c r="L1199" s="84"/>
    </row>
    <row r="1200">
      <c r="A1200" s="32" t="s">
        <v>3351</v>
      </c>
      <c r="B1200" s="32" t="s">
        <v>3353</v>
      </c>
      <c r="C1200" s="33">
        <v>45807.0</v>
      </c>
      <c r="D1200" s="34" t="s">
        <v>39</v>
      </c>
      <c r="E1200" s="32" t="s">
        <v>1138</v>
      </c>
      <c r="F1200" s="34" t="s">
        <v>24</v>
      </c>
      <c r="G1200" s="34" t="s">
        <v>725</v>
      </c>
      <c r="H1200" s="35" t="s">
        <v>26</v>
      </c>
      <c r="I1200" s="35" t="s">
        <v>27</v>
      </c>
      <c r="J1200" s="35" t="s">
        <v>100</v>
      </c>
      <c r="K1200" s="57"/>
      <c r="L1200" s="84"/>
    </row>
    <row r="1201">
      <c r="A1201" s="32" t="s">
        <v>3354</v>
      </c>
      <c r="B1201" s="32" t="s">
        <v>3355</v>
      </c>
      <c r="C1201" s="33">
        <v>45807.0</v>
      </c>
      <c r="D1201" s="34" t="s">
        <v>22</v>
      </c>
      <c r="E1201" s="32" t="s">
        <v>328</v>
      </c>
      <c r="F1201" s="34" t="s">
        <v>156</v>
      </c>
      <c r="G1201" s="34" t="s">
        <v>702</v>
      </c>
      <c r="H1201" s="35" t="s">
        <v>26</v>
      </c>
      <c r="I1201" s="35" t="s">
        <v>27</v>
      </c>
      <c r="J1201" s="57"/>
      <c r="K1201" s="57"/>
      <c r="L1201" s="84"/>
    </row>
    <row r="1202">
      <c r="A1202" s="32" t="s">
        <v>3356</v>
      </c>
      <c r="B1202" s="32" t="s">
        <v>3356</v>
      </c>
      <c r="C1202" s="33">
        <v>45807.0</v>
      </c>
      <c r="D1202" s="47" t="s">
        <v>39</v>
      </c>
      <c r="E1202" s="32" t="s">
        <v>184</v>
      </c>
      <c r="F1202" s="34" t="s">
        <v>24</v>
      </c>
      <c r="G1202" s="34" t="s">
        <v>386</v>
      </c>
      <c r="H1202" s="35" t="s">
        <v>26</v>
      </c>
      <c r="I1202" s="35" t="s">
        <v>27</v>
      </c>
      <c r="J1202" s="57"/>
      <c r="K1202" s="57"/>
      <c r="L1202" s="84"/>
    </row>
    <row r="1203">
      <c r="A1203" s="32" t="s">
        <v>3357</v>
      </c>
      <c r="B1203" s="32" t="s">
        <v>3357</v>
      </c>
      <c r="C1203" s="33">
        <v>45807.0</v>
      </c>
      <c r="D1203" s="47" t="s">
        <v>22</v>
      </c>
      <c r="E1203" s="32" t="s">
        <v>122</v>
      </c>
      <c r="F1203" s="34" t="s">
        <v>156</v>
      </c>
      <c r="G1203" s="34" t="s">
        <v>423</v>
      </c>
      <c r="H1203" s="35" t="s">
        <v>26</v>
      </c>
      <c r="I1203" s="35" t="s">
        <v>27</v>
      </c>
      <c r="J1203" s="35" t="s">
        <v>100</v>
      </c>
      <c r="K1203" s="57"/>
      <c r="L1203" s="84"/>
    </row>
    <row r="1204">
      <c r="A1204" s="32" t="s">
        <v>3358</v>
      </c>
      <c r="B1204" s="32" t="s">
        <v>3359</v>
      </c>
      <c r="C1204" s="33">
        <v>45807.0</v>
      </c>
      <c r="D1204" s="47" t="s">
        <v>39</v>
      </c>
      <c r="E1204" s="32" t="s">
        <v>1444</v>
      </c>
      <c r="F1204" s="34" t="s">
        <v>24</v>
      </c>
      <c r="G1204" s="34" t="s">
        <v>62</v>
      </c>
      <c r="H1204" s="35" t="s">
        <v>26</v>
      </c>
      <c r="I1204" s="35" t="s">
        <v>27</v>
      </c>
      <c r="J1204" s="57"/>
      <c r="K1204" s="57"/>
      <c r="L1204" s="84"/>
    </row>
    <row r="1205">
      <c r="A1205" s="32" t="s">
        <v>3360</v>
      </c>
      <c r="B1205" s="32" t="s">
        <v>3361</v>
      </c>
      <c r="C1205" s="33">
        <v>45807.0</v>
      </c>
      <c r="D1205" s="47" t="s">
        <v>39</v>
      </c>
      <c r="E1205" s="32" t="s">
        <v>3362</v>
      </c>
      <c r="F1205" s="34" t="s">
        <v>24</v>
      </c>
      <c r="G1205" s="34" t="s">
        <v>1583</v>
      </c>
      <c r="H1205" s="35" t="s">
        <v>26</v>
      </c>
      <c r="I1205" s="35" t="s">
        <v>27</v>
      </c>
      <c r="J1205" s="57"/>
      <c r="K1205" s="57"/>
      <c r="L1205" s="84"/>
    </row>
    <row r="1206">
      <c r="A1206" s="32" t="s">
        <v>3363</v>
      </c>
      <c r="B1206" s="32" t="s">
        <v>3364</v>
      </c>
      <c r="C1206" s="33">
        <v>45807.0</v>
      </c>
      <c r="D1206" s="34" t="s">
        <v>22</v>
      </c>
      <c r="E1206" s="32" t="s">
        <v>3365</v>
      </c>
      <c r="F1206" s="34" t="s">
        <v>156</v>
      </c>
      <c r="G1206" s="34" t="s">
        <v>510</v>
      </c>
      <c r="H1206" s="35" t="s">
        <v>26</v>
      </c>
      <c r="I1206" s="35" t="s">
        <v>27</v>
      </c>
      <c r="J1206" s="57"/>
      <c r="K1206" s="57"/>
      <c r="L1206" s="84"/>
    </row>
    <row r="1207">
      <c r="A1207" s="32" t="s">
        <v>3366</v>
      </c>
      <c r="B1207" s="32" t="s">
        <v>3367</v>
      </c>
      <c r="C1207" s="33">
        <v>45808.0</v>
      </c>
      <c r="D1207" s="34" t="s">
        <v>39</v>
      </c>
      <c r="E1207" s="32" t="s">
        <v>374</v>
      </c>
      <c r="F1207" s="34" t="s">
        <v>24</v>
      </c>
      <c r="G1207" s="34" t="s">
        <v>1445</v>
      </c>
      <c r="H1207" s="35" t="s">
        <v>26</v>
      </c>
      <c r="I1207" s="36" t="str">
        <f>HYPERLINK("https://open.spotify.com/album/3QiLKZHZyKmAIUQxQbrKac", "S")</f>
        <v>S</v>
      </c>
      <c r="J1207" s="57"/>
      <c r="K1207" s="57"/>
      <c r="L1207" s="84"/>
    </row>
    <row r="1208">
      <c r="A1208" s="32" t="s">
        <v>3368</v>
      </c>
      <c r="B1208" s="32" t="s">
        <v>3368</v>
      </c>
      <c r="C1208" s="33">
        <v>45808.0</v>
      </c>
      <c r="D1208" s="34" t="s">
        <v>22</v>
      </c>
      <c r="E1208" s="32" t="s">
        <v>328</v>
      </c>
      <c r="F1208" s="34" t="s">
        <v>156</v>
      </c>
      <c r="G1208" s="34" t="s">
        <v>3369</v>
      </c>
      <c r="H1208" s="35" t="s">
        <v>26</v>
      </c>
      <c r="I1208" s="35" t="s">
        <v>27</v>
      </c>
      <c r="J1208" s="57"/>
      <c r="K1208" s="57"/>
      <c r="L1208" s="84"/>
    </row>
    <row r="1209">
      <c r="A1209" s="32" t="s">
        <v>3370</v>
      </c>
      <c r="B1209" s="32" t="s">
        <v>3371</v>
      </c>
      <c r="C1209" s="33">
        <v>45808.0</v>
      </c>
      <c r="D1209" s="34" t="s">
        <v>39</v>
      </c>
      <c r="E1209" s="32" t="s">
        <v>122</v>
      </c>
      <c r="F1209" s="34" t="s">
        <v>31</v>
      </c>
      <c r="G1209" s="34" t="s">
        <v>3372</v>
      </c>
      <c r="H1209" s="35" t="s">
        <v>26</v>
      </c>
      <c r="I1209" s="36" t="str">
        <f>HYPERLINK("https://open.spotify.com/album/5feQmcjfKvB3NmjL5wzDuc", "S")</f>
        <v>S</v>
      </c>
      <c r="J1209" s="57"/>
      <c r="K1209" s="57"/>
      <c r="L1209" s="84"/>
    </row>
    <row r="1210">
      <c r="A1210" s="32" t="s">
        <v>3373</v>
      </c>
      <c r="B1210" s="32" t="s">
        <v>3374</v>
      </c>
      <c r="C1210" s="33">
        <v>45808.0</v>
      </c>
      <c r="D1210" s="47" t="s">
        <v>39</v>
      </c>
      <c r="E1210" s="32" t="s">
        <v>433</v>
      </c>
      <c r="F1210" s="34" t="s">
        <v>53</v>
      </c>
      <c r="G1210" s="34" t="s">
        <v>1583</v>
      </c>
      <c r="H1210" s="35" t="s">
        <v>26</v>
      </c>
      <c r="I1210" s="57"/>
      <c r="J1210" s="57"/>
      <c r="K1210" s="57"/>
      <c r="L1210" s="84"/>
    </row>
    <row r="1211">
      <c r="A1211" s="32" t="s">
        <v>3375</v>
      </c>
      <c r="B1211" s="32" t="s">
        <v>3376</v>
      </c>
      <c r="C1211" s="33">
        <v>45809.0</v>
      </c>
      <c r="D1211" s="34" t="s">
        <v>39</v>
      </c>
      <c r="E1211" s="32" t="s">
        <v>3377</v>
      </c>
      <c r="F1211" s="34" t="s">
        <v>24</v>
      </c>
      <c r="G1211" s="34" t="s">
        <v>3378</v>
      </c>
      <c r="H1211" s="35" t="s">
        <v>26</v>
      </c>
      <c r="I1211" s="35" t="s">
        <v>27</v>
      </c>
      <c r="J1211" s="57"/>
      <c r="K1211" s="57"/>
      <c r="L1211" s="84"/>
    </row>
    <row r="1212">
      <c r="A1212" s="32" t="s">
        <v>3379</v>
      </c>
      <c r="B1212" s="32" t="s">
        <v>3380</v>
      </c>
      <c r="C1212" s="33">
        <v>45809.0</v>
      </c>
      <c r="D1212" s="34" t="s">
        <v>22</v>
      </c>
      <c r="E1212" s="32" t="s">
        <v>3381</v>
      </c>
      <c r="F1212" s="34" t="s">
        <v>53</v>
      </c>
      <c r="G1212" s="34" t="s">
        <v>442</v>
      </c>
      <c r="H1212" s="35" t="s">
        <v>26</v>
      </c>
      <c r="I1212" s="57"/>
      <c r="J1212" s="57"/>
      <c r="K1212" s="57"/>
      <c r="L1212" s="84"/>
    </row>
    <row r="1213">
      <c r="A1213" s="32" t="s">
        <v>3382</v>
      </c>
      <c r="B1213" s="32" t="s">
        <v>3383</v>
      </c>
      <c r="C1213" s="33">
        <v>45809.0</v>
      </c>
      <c r="D1213" s="34" t="s">
        <v>22</v>
      </c>
      <c r="E1213" s="32" t="s">
        <v>436</v>
      </c>
      <c r="F1213" s="34" t="s">
        <v>53</v>
      </c>
      <c r="G1213" s="34" t="s">
        <v>514</v>
      </c>
      <c r="H1213" s="35" t="s">
        <v>26</v>
      </c>
      <c r="I1213" s="35" t="s">
        <v>27</v>
      </c>
      <c r="J1213" s="57"/>
      <c r="K1213" s="57"/>
      <c r="L1213" s="84"/>
    </row>
    <row r="1214">
      <c r="A1214" s="32" t="s">
        <v>3384</v>
      </c>
      <c r="B1214" s="32" t="s">
        <v>3385</v>
      </c>
      <c r="C1214" s="33">
        <v>45809.0</v>
      </c>
      <c r="D1214" s="34" t="s">
        <v>22</v>
      </c>
      <c r="E1214" s="32" t="s">
        <v>3386</v>
      </c>
      <c r="F1214" s="34" t="s">
        <v>24</v>
      </c>
      <c r="G1214" s="34" t="s">
        <v>1484</v>
      </c>
      <c r="H1214" s="35" t="s">
        <v>26</v>
      </c>
      <c r="I1214" s="35" t="s">
        <v>27</v>
      </c>
      <c r="J1214" s="57"/>
      <c r="K1214" s="57"/>
      <c r="L1214" s="84"/>
    </row>
    <row r="1215">
      <c r="A1215" s="32" t="s">
        <v>3387</v>
      </c>
      <c r="B1215" s="32" t="s">
        <v>3388</v>
      </c>
      <c r="C1215" s="33">
        <v>45810.0</v>
      </c>
      <c r="D1215" s="34" t="s">
        <v>22</v>
      </c>
      <c r="E1215" s="32" t="s">
        <v>73</v>
      </c>
      <c r="F1215" s="34" t="s">
        <v>24</v>
      </c>
      <c r="G1215" s="34" t="s">
        <v>1938</v>
      </c>
      <c r="H1215" s="35" t="s">
        <v>26</v>
      </c>
      <c r="I1215" s="36" t="str">
        <f>HYPERLINK("https://open.spotify.com/album/1PKniZZX0cksjecTAkV1Id", "S")</f>
        <v>S</v>
      </c>
      <c r="J1215" s="57"/>
      <c r="K1215" s="57"/>
      <c r="L1215" s="84"/>
    </row>
    <row r="1216">
      <c r="A1216" s="32" t="s">
        <v>3389</v>
      </c>
      <c r="B1216" s="32" t="s">
        <v>3390</v>
      </c>
      <c r="C1216" s="33">
        <v>45810.0</v>
      </c>
      <c r="D1216" s="34" t="s">
        <v>22</v>
      </c>
      <c r="E1216" s="32" t="s">
        <v>1458</v>
      </c>
      <c r="F1216" s="34" t="s">
        <v>31</v>
      </c>
      <c r="G1216" s="34" t="s">
        <v>3391</v>
      </c>
      <c r="H1216" s="35" t="s">
        <v>26</v>
      </c>
      <c r="I1216" s="66"/>
      <c r="J1216" s="57"/>
      <c r="K1216" s="57"/>
      <c r="L1216" s="84"/>
    </row>
    <row r="1217">
      <c r="A1217" s="32" t="s">
        <v>3392</v>
      </c>
      <c r="B1217" s="32" t="s">
        <v>3393</v>
      </c>
      <c r="C1217" s="33">
        <v>45811.0</v>
      </c>
      <c r="D1217" s="47" t="s">
        <v>39</v>
      </c>
      <c r="E1217" s="32" t="s">
        <v>107</v>
      </c>
      <c r="F1217" s="34" t="s">
        <v>24</v>
      </c>
      <c r="G1217" s="34" t="s">
        <v>3394</v>
      </c>
      <c r="H1217" s="35" t="s">
        <v>26</v>
      </c>
      <c r="I1217" s="35" t="s">
        <v>27</v>
      </c>
      <c r="J1217" s="57"/>
      <c r="K1217" s="57"/>
      <c r="L1217" s="84"/>
    </row>
    <row r="1218">
      <c r="A1218" s="32" t="s">
        <v>3395</v>
      </c>
      <c r="B1218" s="32" t="s">
        <v>3396</v>
      </c>
      <c r="C1218" s="33">
        <v>45813.0</v>
      </c>
      <c r="D1218" s="34" t="s">
        <v>22</v>
      </c>
      <c r="E1218" s="32" t="s">
        <v>3397</v>
      </c>
      <c r="F1218" s="34" t="s">
        <v>24</v>
      </c>
      <c r="G1218" s="34" t="s">
        <v>605</v>
      </c>
      <c r="H1218" s="35" t="s">
        <v>26</v>
      </c>
      <c r="I1218" s="66"/>
      <c r="J1218" s="57"/>
      <c r="K1218" s="57"/>
      <c r="L1218" s="84"/>
    </row>
    <row r="1219">
      <c r="A1219" s="32" t="s">
        <v>3398</v>
      </c>
      <c r="B1219" s="32" t="s">
        <v>3399</v>
      </c>
      <c r="C1219" s="33">
        <v>45813.0</v>
      </c>
      <c r="D1219" s="34" t="s">
        <v>22</v>
      </c>
      <c r="E1219" s="32" t="s">
        <v>436</v>
      </c>
      <c r="F1219" s="34" t="s">
        <v>31</v>
      </c>
      <c r="G1219" s="34" t="s">
        <v>3400</v>
      </c>
      <c r="H1219" s="35" t="s">
        <v>26</v>
      </c>
      <c r="I1219" s="35" t="s">
        <v>27</v>
      </c>
      <c r="J1219" s="57"/>
      <c r="K1219" s="57"/>
      <c r="L1219" s="84"/>
    </row>
    <row r="1220">
      <c r="A1220" s="32" t="s">
        <v>3401</v>
      </c>
      <c r="B1220" s="32" t="s">
        <v>3402</v>
      </c>
      <c r="C1220" s="33">
        <v>45814.0</v>
      </c>
      <c r="D1220" s="47" t="s">
        <v>22</v>
      </c>
      <c r="E1220" s="32" t="s">
        <v>122</v>
      </c>
      <c r="F1220" s="34" t="s">
        <v>53</v>
      </c>
      <c r="G1220" s="34" t="s">
        <v>299</v>
      </c>
      <c r="H1220" s="66"/>
      <c r="I1220" s="35" t="s">
        <v>27</v>
      </c>
      <c r="J1220" s="57"/>
      <c r="K1220" s="57"/>
      <c r="L1220" s="84"/>
    </row>
    <row r="1221">
      <c r="A1221" s="32" t="s">
        <v>3403</v>
      </c>
      <c r="B1221" s="32" t="s">
        <v>3403</v>
      </c>
      <c r="C1221" s="33">
        <v>45814.0</v>
      </c>
      <c r="D1221" s="47" t="s">
        <v>22</v>
      </c>
      <c r="E1221" s="32" t="s">
        <v>129</v>
      </c>
      <c r="F1221" s="34" t="s">
        <v>24</v>
      </c>
      <c r="G1221" s="34" t="s">
        <v>522</v>
      </c>
      <c r="H1221" s="35" t="s">
        <v>26</v>
      </c>
      <c r="I1221" s="35" t="s">
        <v>27</v>
      </c>
      <c r="J1221" s="35" t="s">
        <v>100</v>
      </c>
      <c r="K1221" s="57"/>
      <c r="L1221" s="84"/>
    </row>
    <row r="1222">
      <c r="A1222" s="32" t="s">
        <v>3404</v>
      </c>
      <c r="B1222" s="32" t="s">
        <v>3405</v>
      </c>
      <c r="C1222" s="33">
        <v>45814.0</v>
      </c>
      <c r="D1222" s="34" t="s">
        <v>39</v>
      </c>
      <c r="E1222" s="32" t="s">
        <v>122</v>
      </c>
      <c r="F1222" s="34" t="s">
        <v>156</v>
      </c>
      <c r="G1222" s="34" t="s">
        <v>1797</v>
      </c>
      <c r="H1222" s="35" t="s">
        <v>26</v>
      </c>
      <c r="I1222" s="35" t="s">
        <v>27</v>
      </c>
      <c r="J1222" s="57"/>
      <c r="K1222" s="57"/>
      <c r="L1222" s="84"/>
    </row>
    <row r="1223">
      <c r="A1223" s="32" t="s">
        <v>3406</v>
      </c>
      <c r="B1223" s="32" t="s">
        <v>3407</v>
      </c>
      <c r="C1223" s="33">
        <v>45814.0</v>
      </c>
      <c r="D1223" s="34" t="s">
        <v>22</v>
      </c>
      <c r="E1223" s="32" t="s">
        <v>2072</v>
      </c>
      <c r="F1223" s="34" t="s">
        <v>53</v>
      </c>
      <c r="G1223" s="34" t="s">
        <v>2200</v>
      </c>
      <c r="H1223" s="35" t="s">
        <v>26</v>
      </c>
      <c r="I1223" s="35" t="s">
        <v>27</v>
      </c>
      <c r="J1223" s="57"/>
      <c r="K1223" s="57"/>
      <c r="L1223" s="84"/>
    </row>
    <row r="1224">
      <c r="A1224" s="32" t="s">
        <v>3408</v>
      </c>
      <c r="B1224" s="32" t="s">
        <v>3409</v>
      </c>
      <c r="C1224" s="33">
        <v>45814.0</v>
      </c>
      <c r="D1224" s="34" t="s">
        <v>39</v>
      </c>
      <c r="E1224" s="32" t="s">
        <v>722</v>
      </c>
      <c r="F1224" s="34" t="s">
        <v>24</v>
      </c>
      <c r="G1224" s="34" t="s">
        <v>2030</v>
      </c>
      <c r="H1224" s="35" t="s">
        <v>26</v>
      </c>
      <c r="I1224" s="35" t="s">
        <v>27</v>
      </c>
      <c r="J1224" s="57"/>
      <c r="K1224" s="57"/>
      <c r="L1224" s="84"/>
    </row>
    <row r="1225">
      <c r="A1225" s="32" t="s">
        <v>3410</v>
      </c>
      <c r="B1225" s="32" t="s">
        <v>3411</v>
      </c>
      <c r="C1225" s="33">
        <v>45814.0</v>
      </c>
      <c r="D1225" s="34" t="s">
        <v>22</v>
      </c>
      <c r="E1225" s="32" t="s">
        <v>513</v>
      </c>
      <c r="F1225" s="34" t="s">
        <v>156</v>
      </c>
      <c r="G1225" s="34" t="s">
        <v>1404</v>
      </c>
      <c r="H1225" s="35" t="s">
        <v>26</v>
      </c>
      <c r="I1225" s="35" t="s">
        <v>27</v>
      </c>
      <c r="J1225" s="57"/>
      <c r="K1225" s="57"/>
      <c r="L1225" s="84"/>
    </row>
    <row r="1226">
      <c r="A1226" s="32" t="s">
        <v>3412</v>
      </c>
      <c r="B1226" s="32" t="s">
        <v>3413</v>
      </c>
      <c r="C1226" s="33">
        <v>45814.0</v>
      </c>
      <c r="D1226" s="34" t="s">
        <v>22</v>
      </c>
      <c r="E1226" s="32" t="s">
        <v>2692</v>
      </c>
      <c r="F1226" s="34" t="s">
        <v>156</v>
      </c>
      <c r="G1226" s="34" t="s">
        <v>3414</v>
      </c>
      <c r="H1226" s="35" t="s">
        <v>26</v>
      </c>
      <c r="I1226" s="58" t="str">
        <f>HYPERLINK("https://open.spotify.com/album/4Ly9GccmZvAYsMuNEevw3j", "S")</f>
        <v>S</v>
      </c>
      <c r="J1226" s="57"/>
      <c r="K1226" s="57"/>
      <c r="L1226" s="84"/>
    </row>
    <row r="1227">
      <c r="A1227" s="32" t="s">
        <v>3415</v>
      </c>
      <c r="B1227" s="32" t="s">
        <v>3416</v>
      </c>
      <c r="C1227" s="33">
        <v>45814.0</v>
      </c>
      <c r="D1227" s="47" t="s">
        <v>22</v>
      </c>
      <c r="E1227" s="32" t="s">
        <v>436</v>
      </c>
      <c r="F1227" s="34" t="s">
        <v>230</v>
      </c>
      <c r="G1227" s="34" t="s">
        <v>3417</v>
      </c>
      <c r="H1227" s="35" t="s">
        <v>26</v>
      </c>
      <c r="I1227" s="35" t="s">
        <v>27</v>
      </c>
      <c r="J1227" s="57"/>
      <c r="K1227" s="57"/>
      <c r="L1227" s="84"/>
    </row>
    <row r="1228">
      <c r="A1228" s="32" t="s">
        <v>3418</v>
      </c>
      <c r="B1228" s="32" t="s">
        <v>3419</v>
      </c>
      <c r="C1228" s="33">
        <v>45814.0</v>
      </c>
      <c r="D1228" s="47" t="s">
        <v>22</v>
      </c>
      <c r="E1228" s="32" t="s">
        <v>473</v>
      </c>
      <c r="F1228" s="34" t="s">
        <v>31</v>
      </c>
      <c r="G1228" s="34" t="s">
        <v>3420</v>
      </c>
      <c r="H1228" s="35" t="s">
        <v>26</v>
      </c>
      <c r="I1228" s="35" t="s">
        <v>27</v>
      </c>
      <c r="J1228" s="35" t="s">
        <v>100</v>
      </c>
      <c r="K1228" s="57"/>
      <c r="L1228" s="84"/>
    </row>
    <row r="1229">
      <c r="A1229" s="32" t="s">
        <v>3421</v>
      </c>
      <c r="B1229" s="32" t="s">
        <v>3422</v>
      </c>
      <c r="C1229" s="33">
        <v>45814.0</v>
      </c>
      <c r="D1229" s="47" t="s">
        <v>22</v>
      </c>
      <c r="E1229" s="32" t="s">
        <v>2072</v>
      </c>
      <c r="F1229" s="34" t="s">
        <v>53</v>
      </c>
      <c r="G1229" s="34" t="s">
        <v>1213</v>
      </c>
      <c r="H1229" s="66"/>
      <c r="I1229" s="35" t="s">
        <v>27</v>
      </c>
      <c r="J1229" s="57"/>
      <c r="K1229" s="57"/>
      <c r="L1229" s="84"/>
    </row>
    <row r="1230">
      <c r="A1230" s="32" t="s">
        <v>3423</v>
      </c>
      <c r="B1230" s="32" t="s">
        <v>3424</v>
      </c>
      <c r="C1230" s="33">
        <v>45814.0</v>
      </c>
      <c r="D1230" s="69" t="s">
        <v>22</v>
      </c>
      <c r="E1230" s="32" t="s">
        <v>1525</v>
      </c>
      <c r="F1230" s="34" t="s">
        <v>53</v>
      </c>
      <c r="G1230" s="34" t="s">
        <v>342</v>
      </c>
      <c r="H1230" s="35" t="s">
        <v>26</v>
      </c>
      <c r="I1230" s="35" t="s">
        <v>27</v>
      </c>
      <c r="J1230" s="57"/>
      <c r="K1230" s="57"/>
      <c r="L1230" s="84"/>
    </row>
    <row r="1231">
      <c r="A1231" s="31" t="s">
        <v>3425</v>
      </c>
      <c r="B1231" s="32" t="s">
        <v>3426</v>
      </c>
      <c r="C1231" s="33">
        <v>45814.0</v>
      </c>
      <c r="D1231" s="34" t="s">
        <v>22</v>
      </c>
      <c r="E1231" s="32" t="s">
        <v>3427</v>
      </c>
      <c r="F1231" s="34" t="s">
        <v>24</v>
      </c>
      <c r="G1231" s="34" t="s">
        <v>96</v>
      </c>
      <c r="H1231" s="35" t="s">
        <v>26</v>
      </c>
      <c r="I1231" s="35" t="s">
        <v>27</v>
      </c>
      <c r="J1231" s="57"/>
      <c r="K1231" s="57"/>
      <c r="L1231" s="84"/>
    </row>
    <row r="1232">
      <c r="A1232" s="32" t="s">
        <v>3428</v>
      </c>
      <c r="B1232" s="32" t="s">
        <v>3429</v>
      </c>
      <c r="C1232" s="33">
        <v>45814.0</v>
      </c>
      <c r="D1232" s="34" t="s">
        <v>22</v>
      </c>
      <c r="E1232" s="32" t="s">
        <v>3430</v>
      </c>
      <c r="F1232" s="34" t="s">
        <v>53</v>
      </c>
      <c r="G1232" s="34" t="s">
        <v>599</v>
      </c>
      <c r="H1232" s="35" t="s">
        <v>26</v>
      </c>
      <c r="I1232" s="35" t="s">
        <v>27</v>
      </c>
      <c r="J1232" s="57"/>
      <c r="K1232" s="57"/>
      <c r="L1232" s="84"/>
    </row>
    <row r="1233">
      <c r="A1233" s="31" t="s">
        <v>3431</v>
      </c>
      <c r="B1233" s="32" t="s">
        <v>3431</v>
      </c>
      <c r="C1233" s="33">
        <v>45814.0</v>
      </c>
      <c r="D1233" s="47" t="s">
        <v>22</v>
      </c>
      <c r="E1233" s="32" t="s">
        <v>160</v>
      </c>
      <c r="F1233" s="34" t="s">
        <v>53</v>
      </c>
      <c r="G1233" s="34" t="s">
        <v>510</v>
      </c>
      <c r="H1233" s="35" t="s">
        <v>26</v>
      </c>
      <c r="I1233" s="35" t="s">
        <v>27</v>
      </c>
      <c r="J1233" s="57"/>
      <c r="K1233" s="57"/>
      <c r="L1233" s="84"/>
    </row>
    <row r="1234">
      <c r="A1234" s="32" t="s">
        <v>3432</v>
      </c>
      <c r="B1234" s="32" t="s">
        <v>3433</v>
      </c>
      <c r="C1234" s="33">
        <v>45814.0</v>
      </c>
      <c r="D1234" s="34" t="s">
        <v>22</v>
      </c>
      <c r="E1234" s="32" t="s">
        <v>61</v>
      </c>
      <c r="F1234" s="34" t="s">
        <v>24</v>
      </c>
      <c r="G1234" s="34" t="s">
        <v>225</v>
      </c>
      <c r="H1234" s="35" t="s">
        <v>26</v>
      </c>
      <c r="I1234" s="35" t="s">
        <v>27</v>
      </c>
      <c r="J1234" s="57"/>
      <c r="K1234" s="57"/>
      <c r="L1234" s="84"/>
    </row>
    <row r="1235">
      <c r="A1235" s="32" t="s">
        <v>3434</v>
      </c>
      <c r="B1235" s="32" t="s">
        <v>3435</v>
      </c>
      <c r="C1235" s="33">
        <v>45814.0</v>
      </c>
      <c r="D1235" s="34" t="s">
        <v>22</v>
      </c>
      <c r="E1235" s="32" t="s">
        <v>3436</v>
      </c>
      <c r="F1235" s="34" t="s">
        <v>53</v>
      </c>
      <c r="G1235" s="34" t="s">
        <v>627</v>
      </c>
      <c r="H1235" s="35" t="s">
        <v>26</v>
      </c>
      <c r="I1235" s="35" t="s">
        <v>27</v>
      </c>
      <c r="J1235" s="57"/>
      <c r="K1235" s="57"/>
      <c r="L1235" s="84"/>
    </row>
    <row r="1236">
      <c r="A1236" s="32" t="s">
        <v>3437</v>
      </c>
      <c r="B1236" s="32" t="s">
        <v>3438</v>
      </c>
      <c r="C1236" s="33">
        <v>45814.0</v>
      </c>
      <c r="D1236" s="34" t="s">
        <v>22</v>
      </c>
      <c r="E1236" s="32" t="s">
        <v>122</v>
      </c>
      <c r="F1236" s="34" t="s">
        <v>156</v>
      </c>
      <c r="G1236" s="34" t="s">
        <v>70</v>
      </c>
      <c r="H1236" s="35" t="s">
        <v>26</v>
      </c>
      <c r="I1236" s="35" t="s">
        <v>27</v>
      </c>
      <c r="J1236" s="35" t="s">
        <v>100</v>
      </c>
      <c r="K1236" s="57"/>
      <c r="L1236" s="84"/>
    </row>
    <row r="1237">
      <c r="A1237" s="32" t="s">
        <v>3439</v>
      </c>
      <c r="B1237" s="32" t="s">
        <v>3440</v>
      </c>
      <c r="C1237" s="33">
        <v>45814.0</v>
      </c>
      <c r="D1237" s="34" t="s">
        <v>22</v>
      </c>
      <c r="E1237" s="32" t="s">
        <v>61</v>
      </c>
      <c r="F1237" s="34" t="s">
        <v>24</v>
      </c>
      <c r="G1237" s="34" t="s">
        <v>3441</v>
      </c>
      <c r="H1237" s="35" t="s">
        <v>26</v>
      </c>
      <c r="I1237" s="35" t="s">
        <v>27</v>
      </c>
      <c r="J1237" s="57"/>
      <c r="K1237" s="57"/>
      <c r="L1237" s="84"/>
    </row>
    <row r="1238">
      <c r="A1238" s="32" t="s">
        <v>3442</v>
      </c>
      <c r="B1238" s="32" t="s">
        <v>3443</v>
      </c>
      <c r="C1238" s="33">
        <v>45814.0</v>
      </c>
      <c r="D1238" s="34" t="s">
        <v>22</v>
      </c>
      <c r="E1238" s="32" t="s">
        <v>556</v>
      </c>
      <c r="F1238" s="34" t="s">
        <v>156</v>
      </c>
      <c r="G1238" s="34" t="s">
        <v>514</v>
      </c>
      <c r="H1238" s="35" t="s">
        <v>26</v>
      </c>
      <c r="I1238" s="35" t="s">
        <v>27</v>
      </c>
      <c r="J1238" s="57"/>
      <c r="K1238" s="57"/>
      <c r="L1238" s="84"/>
    </row>
    <row r="1239">
      <c r="A1239" s="32" t="s">
        <v>3444</v>
      </c>
      <c r="B1239" s="32" t="s">
        <v>3445</v>
      </c>
      <c r="C1239" s="33">
        <v>45814.0</v>
      </c>
      <c r="D1239" s="34" t="s">
        <v>22</v>
      </c>
      <c r="E1239" s="32" t="s">
        <v>3446</v>
      </c>
      <c r="F1239" s="34" t="s">
        <v>156</v>
      </c>
      <c r="G1239" s="34" t="s">
        <v>725</v>
      </c>
      <c r="H1239" s="66"/>
      <c r="I1239" s="35" t="s">
        <v>27</v>
      </c>
      <c r="J1239" s="57"/>
      <c r="K1239" s="57"/>
      <c r="L1239" s="84"/>
    </row>
    <row r="1240">
      <c r="A1240" s="32" t="s">
        <v>3447</v>
      </c>
      <c r="B1240" s="32" t="s">
        <v>3154</v>
      </c>
      <c r="C1240" s="33">
        <v>45814.0</v>
      </c>
      <c r="D1240" s="34" t="s">
        <v>22</v>
      </c>
      <c r="E1240" s="32" t="s">
        <v>517</v>
      </c>
      <c r="F1240" s="34" t="s">
        <v>24</v>
      </c>
      <c r="G1240" s="34" t="s">
        <v>3448</v>
      </c>
      <c r="H1240" s="35" t="s">
        <v>26</v>
      </c>
      <c r="I1240" s="58" t="str">
        <f>HYPERLINK("https://open.spotify.com/album/5mqA0rfVlIEdpVJM9amZix", "S")</f>
        <v>S</v>
      </c>
      <c r="J1240" s="57"/>
      <c r="K1240" s="57"/>
      <c r="L1240" s="84"/>
    </row>
    <row r="1241">
      <c r="A1241" s="32" t="s">
        <v>3449</v>
      </c>
      <c r="B1241" s="32" t="s">
        <v>3450</v>
      </c>
      <c r="C1241" s="33">
        <v>45814.0</v>
      </c>
      <c r="D1241" s="34" t="s">
        <v>22</v>
      </c>
      <c r="E1241" s="32" t="s">
        <v>69</v>
      </c>
      <c r="F1241" s="34" t="s">
        <v>24</v>
      </c>
      <c r="G1241" s="34" t="s">
        <v>202</v>
      </c>
      <c r="H1241" s="35" t="s">
        <v>26</v>
      </c>
      <c r="I1241" s="34"/>
      <c r="J1241" s="57"/>
      <c r="K1241" s="57"/>
      <c r="L1241" s="84"/>
    </row>
    <row r="1242">
      <c r="A1242" s="32" t="s">
        <v>3451</v>
      </c>
      <c r="B1242" s="32" t="s">
        <v>3452</v>
      </c>
      <c r="C1242" s="33">
        <v>45814.0</v>
      </c>
      <c r="D1242" s="34" t="s">
        <v>22</v>
      </c>
      <c r="E1242" s="32" t="s">
        <v>84</v>
      </c>
      <c r="F1242" s="34" t="s">
        <v>24</v>
      </c>
      <c r="G1242" s="34" t="s">
        <v>1213</v>
      </c>
      <c r="H1242" s="35" t="s">
        <v>26</v>
      </c>
      <c r="I1242" s="35" t="s">
        <v>27</v>
      </c>
      <c r="J1242" s="57"/>
      <c r="K1242" s="57"/>
      <c r="L1242" s="84"/>
    </row>
    <row r="1243">
      <c r="A1243" s="32" t="s">
        <v>3453</v>
      </c>
      <c r="B1243" s="32" t="s">
        <v>3454</v>
      </c>
      <c r="C1243" s="33">
        <v>45814.0</v>
      </c>
      <c r="D1243" s="34" t="s">
        <v>22</v>
      </c>
      <c r="E1243" s="32" t="s">
        <v>73</v>
      </c>
      <c r="F1243" s="34" t="s">
        <v>53</v>
      </c>
      <c r="G1243" s="34" t="s">
        <v>1070</v>
      </c>
      <c r="H1243" s="35" t="s">
        <v>26</v>
      </c>
      <c r="I1243" s="35" t="s">
        <v>27</v>
      </c>
      <c r="J1243" s="35" t="s">
        <v>100</v>
      </c>
      <c r="K1243" s="57"/>
      <c r="L1243" s="84"/>
    </row>
    <row r="1244">
      <c r="A1244" s="31" t="s">
        <v>3455</v>
      </c>
      <c r="B1244" s="32" t="s">
        <v>3456</v>
      </c>
      <c r="C1244" s="33">
        <v>45814.0</v>
      </c>
      <c r="D1244" s="34" t="s">
        <v>22</v>
      </c>
      <c r="E1244" s="32" t="s">
        <v>122</v>
      </c>
      <c r="F1244" s="34" t="s">
        <v>156</v>
      </c>
      <c r="G1244" s="34" t="s">
        <v>2064</v>
      </c>
      <c r="H1244" s="66"/>
      <c r="I1244" s="35" t="s">
        <v>27</v>
      </c>
      <c r="J1244" s="57"/>
      <c r="K1244" s="57"/>
      <c r="L1244" s="84"/>
    </row>
    <row r="1245">
      <c r="A1245" s="31" t="s">
        <v>3457</v>
      </c>
      <c r="B1245" s="32" t="s">
        <v>3458</v>
      </c>
      <c r="C1245" s="33">
        <v>45814.0</v>
      </c>
      <c r="D1245" s="34" t="s">
        <v>22</v>
      </c>
      <c r="E1245" s="32" t="s">
        <v>3459</v>
      </c>
      <c r="F1245" s="34" t="s">
        <v>53</v>
      </c>
      <c r="G1245" s="34" t="s">
        <v>1856</v>
      </c>
      <c r="H1245" s="35" t="s">
        <v>26</v>
      </c>
      <c r="I1245" s="35" t="s">
        <v>27</v>
      </c>
      <c r="J1245" s="35" t="s">
        <v>100</v>
      </c>
      <c r="K1245" s="57"/>
      <c r="L1245" s="84"/>
    </row>
    <row r="1246">
      <c r="A1246" s="32" t="s">
        <v>3460</v>
      </c>
      <c r="B1246" s="32" t="s">
        <v>3461</v>
      </c>
      <c r="C1246" s="33">
        <v>45814.0</v>
      </c>
      <c r="D1246" s="34" t="s">
        <v>22</v>
      </c>
      <c r="E1246" s="32" t="s">
        <v>613</v>
      </c>
      <c r="F1246" s="34" t="s">
        <v>24</v>
      </c>
      <c r="G1246" s="34" t="s">
        <v>3462</v>
      </c>
      <c r="H1246" s="35" t="s">
        <v>26</v>
      </c>
      <c r="I1246" s="35" t="s">
        <v>27</v>
      </c>
      <c r="J1246" s="35" t="s">
        <v>100</v>
      </c>
      <c r="K1246" s="57"/>
      <c r="L1246" s="84"/>
    </row>
    <row r="1247">
      <c r="A1247" s="32" t="s">
        <v>3463</v>
      </c>
      <c r="B1247" s="32" t="s">
        <v>3464</v>
      </c>
      <c r="C1247" s="33">
        <v>45814.0</v>
      </c>
      <c r="D1247" s="34" t="s">
        <v>22</v>
      </c>
      <c r="E1247" s="32" t="s">
        <v>3465</v>
      </c>
      <c r="F1247" s="34" t="s">
        <v>24</v>
      </c>
      <c r="G1247" s="34" t="s">
        <v>3466</v>
      </c>
      <c r="H1247" s="35" t="s">
        <v>26</v>
      </c>
      <c r="I1247" s="35" t="s">
        <v>27</v>
      </c>
      <c r="J1247" s="57"/>
      <c r="K1247" s="57"/>
      <c r="L1247" s="84"/>
    </row>
    <row r="1248">
      <c r="A1248" s="32" t="s">
        <v>3467</v>
      </c>
      <c r="B1248" s="32" t="s">
        <v>3468</v>
      </c>
      <c r="C1248" s="33">
        <v>45814.0</v>
      </c>
      <c r="D1248" s="34" t="s">
        <v>22</v>
      </c>
      <c r="E1248" s="32" t="s">
        <v>61</v>
      </c>
      <c r="F1248" s="34" t="s">
        <v>24</v>
      </c>
      <c r="G1248" s="34" t="s">
        <v>202</v>
      </c>
      <c r="H1248" s="35" t="s">
        <v>26</v>
      </c>
      <c r="I1248" s="35" t="s">
        <v>27</v>
      </c>
      <c r="J1248" s="57"/>
      <c r="K1248" s="57"/>
      <c r="L1248" s="84"/>
    </row>
    <row r="1249">
      <c r="A1249" s="32" t="s">
        <v>3469</v>
      </c>
      <c r="B1249" s="32" t="s">
        <v>3470</v>
      </c>
      <c r="C1249" s="33">
        <v>45814.0</v>
      </c>
      <c r="D1249" s="34" t="s">
        <v>22</v>
      </c>
      <c r="E1249" s="32" t="s">
        <v>69</v>
      </c>
      <c r="F1249" s="34" t="s">
        <v>24</v>
      </c>
      <c r="G1249" s="34" t="s">
        <v>371</v>
      </c>
      <c r="H1249" s="35" t="s">
        <v>26</v>
      </c>
      <c r="I1249" s="35" t="s">
        <v>27</v>
      </c>
      <c r="J1249" s="57"/>
      <c r="K1249" s="57"/>
      <c r="L1249" s="84"/>
    </row>
    <row r="1250">
      <c r="A1250" s="32" t="s">
        <v>3471</v>
      </c>
      <c r="B1250" s="32" t="s">
        <v>3472</v>
      </c>
      <c r="C1250" s="33">
        <v>45814.0</v>
      </c>
      <c r="D1250" s="34" t="s">
        <v>22</v>
      </c>
      <c r="E1250" s="32" t="s">
        <v>3473</v>
      </c>
      <c r="F1250" s="34" t="s">
        <v>24</v>
      </c>
      <c r="G1250" s="34" t="s">
        <v>868</v>
      </c>
      <c r="H1250" s="35" t="s">
        <v>26</v>
      </c>
      <c r="I1250" s="35" t="s">
        <v>27</v>
      </c>
      <c r="J1250" s="35" t="s">
        <v>100</v>
      </c>
      <c r="K1250" s="57"/>
      <c r="L1250" s="84"/>
    </row>
    <row r="1251">
      <c r="A1251" s="32" t="s">
        <v>3474</v>
      </c>
      <c r="B1251" s="32" t="s">
        <v>3475</v>
      </c>
      <c r="C1251" s="33">
        <v>45814.0</v>
      </c>
      <c r="D1251" s="34" t="s">
        <v>22</v>
      </c>
      <c r="E1251" s="32" t="s">
        <v>3476</v>
      </c>
      <c r="F1251" s="34" t="s">
        <v>24</v>
      </c>
      <c r="G1251" s="34" t="s">
        <v>510</v>
      </c>
      <c r="H1251" s="35" t="s">
        <v>26</v>
      </c>
      <c r="I1251" s="58" t="str">
        <f>HYPERLINK("https://open.spotify.com/album/36AMxQrVP30iF3OVvhMG7n", "S")</f>
        <v>S</v>
      </c>
      <c r="J1251" s="35" t="s">
        <v>100</v>
      </c>
      <c r="K1251" s="57"/>
      <c r="L1251" s="84"/>
    </row>
    <row r="1252">
      <c r="A1252" s="32" t="s">
        <v>3477</v>
      </c>
      <c r="B1252" s="32" t="s">
        <v>3478</v>
      </c>
      <c r="C1252" s="33">
        <v>45814.0</v>
      </c>
      <c r="D1252" s="34" t="s">
        <v>22</v>
      </c>
      <c r="E1252" s="32" t="s">
        <v>513</v>
      </c>
      <c r="F1252" s="34" t="s">
        <v>156</v>
      </c>
      <c r="G1252" s="34" t="s">
        <v>526</v>
      </c>
      <c r="H1252" s="35" t="s">
        <v>26</v>
      </c>
      <c r="I1252" s="35" t="s">
        <v>27</v>
      </c>
      <c r="J1252" s="57"/>
      <c r="K1252" s="57"/>
      <c r="L1252" s="84"/>
    </row>
    <row r="1253">
      <c r="A1253" s="32" t="s">
        <v>3479</v>
      </c>
      <c r="B1253" s="32" t="s">
        <v>3480</v>
      </c>
      <c r="C1253" s="33">
        <v>45814.0</v>
      </c>
      <c r="D1253" s="34" t="s">
        <v>22</v>
      </c>
      <c r="E1253" s="32" t="s">
        <v>321</v>
      </c>
      <c r="F1253" s="34" t="s">
        <v>156</v>
      </c>
      <c r="G1253" s="34" t="s">
        <v>3481</v>
      </c>
      <c r="H1253" s="35" t="s">
        <v>26</v>
      </c>
      <c r="I1253" s="35" t="s">
        <v>27</v>
      </c>
      <c r="J1253" s="57"/>
      <c r="K1253" s="57"/>
      <c r="L1253" s="84"/>
    </row>
    <row r="1254">
      <c r="A1254" s="32" t="s">
        <v>3482</v>
      </c>
      <c r="B1254" s="32" t="s">
        <v>3483</v>
      </c>
      <c r="C1254" s="33">
        <v>45814.0</v>
      </c>
      <c r="D1254" s="34" t="s">
        <v>22</v>
      </c>
      <c r="E1254" s="32" t="s">
        <v>61</v>
      </c>
      <c r="F1254" s="34" t="s">
        <v>24</v>
      </c>
      <c r="G1254" s="34" t="s">
        <v>299</v>
      </c>
      <c r="H1254" s="35" t="s">
        <v>26</v>
      </c>
      <c r="I1254" s="35" t="s">
        <v>27</v>
      </c>
      <c r="J1254" s="57"/>
      <c r="K1254" s="57"/>
      <c r="L1254" s="84"/>
    </row>
    <row r="1255">
      <c r="A1255" s="32" t="s">
        <v>3484</v>
      </c>
      <c r="B1255" s="32" t="s">
        <v>3485</v>
      </c>
      <c r="C1255" s="33">
        <v>45814.0</v>
      </c>
      <c r="D1255" s="34" t="s">
        <v>22</v>
      </c>
      <c r="E1255" s="32" t="s">
        <v>1781</v>
      </c>
      <c r="F1255" s="34" t="s">
        <v>24</v>
      </c>
      <c r="G1255" s="34" t="s">
        <v>225</v>
      </c>
      <c r="H1255" s="35" t="s">
        <v>26</v>
      </c>
      <c r="I1255" s="35" t="s">
        <v>27</v>
      </c>
      <c r="J1255" s="35" t="s">
        <v>100</v>
      </c>
      <c r="K1255" s="57"/>
      <c r="L1255" s="84"/>
    </row>
    <row r="1256">
      <c r="A1256" s="32" t="s">
        <v>3486</v>
      </c>
      <c r="B1256" s="32" t="s">
        <v>3487</v>
      </c>
      <c r="C1256" s="33">
        <v>45814.0</v>
      </c>
      <c r="D1256" s="47" t="s">
        <v>22</v>
      </c>
      <c r="E1256" s="32" t="s">
        <v>176</v>
      </c>
      <c r="F1256" s="34" t="s">
        <v>156</v>
      </c>
      <c r="G1256" s="34" t="s">
        <v>177</v>
      </c>
      <c r="H1256" s="35" t="s">
        <v>26</v>
      </c>
      <c r="I1256" s="35" t="s">
        <v>27</v>
      </c>
      <c r="J1256" s="57"/>
      <c r="K1256" s="57"/>
      <c r="L1256" s="84"/>
    </row>
    <row r="1257">
      <c r="A1257" s="32" t="s">
        <v>3488</v>
      </c>
      <c r="B1257" s="32" t="s">
        <v>3489</v>
      </c>
      <c r="C1257" s="33">
        <v>45814.0</v>
      </c>
      <c r="D1257" s="47" t="s">
        <v>22</v>
      </c>
      <c r="E1257" s="32" t="s">
        <v>3490</v>
      </c>
      <c r="F1257" s="34" t="s">
        <v>53</v>
      </c>
      <c r="G1257" s="34" t="s">
        <v>2676</v>
      </c>
      <c r="H1257" s="35" t="s">
        <v>26</v>
      </c>
      <c r="I1257" s="58" t="str">
        <f>HYPERLINK("https://open.spotify.com/album/65zVzT03q67kIz7qd5tHNW", "S")</f>
        <v>S</v>
      </c>
      <c r="J1257" s="57"/>
      <c r="K1257" s="57"/>
      <c r="L1257" s="84"/>
    </row>
    <row r="1258">
      <c r="A1258" s="32" t="s">
        <v>3491</v>
      </c>
      <c r="B1258" s="32" t="s">
        <v>3492</v>
      </c>
      <c r="C1258" s="33">
        <v>45814.0</v>
      </c>
      <c r="D1258" s="34" t="s">
        <v>22</v>
      </c>
      <c r="E1258" s="32" t="s">
        <v>3493</v>
      </c>
      <c r="F1258" s="34" t="s">
        <v>24</v>
      </c>
      <c r="G1258" s="34" t="s">
        <v>460</v>
      </c>
      <c r="H1258" s="35" t="s">
        <v>26</v>
      </c>
      <c r="I1258" s="35" t="s">
        <v>27</v>
      </c>
      <c r="J1258" s="57"/>
      <c r="K1258" s="57"/>
      <c r="L1258" s="84"/>
    </row>
    <row r="1259">
      <c r="A1259" s="32" t="s">
        <v>3494</v>
      </c>
      <c r="B1259" s="32" t="s">
        <v>3495</v>
      </c>
      <c r="C1259" s="33">
        <v>45814.0</v>
      </c>
      <c r="D1259" s="34" t="s">
        <v>22</v>
      </c>
      <c r="E1259" s="32" t="s">
        <v>73</v>
      </c>
      <c r="F1259" s="34" t="s">
        <v>24</v>
      </c>
      <c r="G1259" s="34" t="s">
        <v>437</v>
      </c>
      <c r="H1259" s="35" t="s">
        <v>26</v>
      </c>
      <c r="I1259" s="35" t="s">
        <v>27</v>
      </c>
      <c r="J1259" s="35" t="s">
        <v>100</v>
      </c>
      <c r="K1259" s="57"/>
      <c r="L1259" s="84"/>
    </row>
    <row r="1260">
      <c r="A1260" s="32" t="s">
        <v>3496</v>
      </c>
      <c r="B1260" s="32" t="s">
        <v>3497</v>
      </c>
      <c r="C1260" s="33">
        <v>45814.0</v>
      </c>
      <c r="D1260" s="34" t="s">
        <v>22</v>
      </c>
      <c r="E1260" s="32" t="s">
        <v>466</v>
      </c>
      <c r="F1260" s="34" t="s">
        <v>53</v>
      </c>
      <c r="G1260" s="34" t="s">
        <v>3498</v>
      </c>
      <c r="H1260" s="35" t="s">
        <v>26</v>
      </c>
      <c r="I1260" s="35" t="s">
        <v>27</v>
      </c>
      <c r="J1260" s="35" t="s">
        <v>100</v>
      </c>
      <c r="K1260" s="57"/>
      <c r="L1260" s="84"/>
    </row>
    <row r="1261">
      <c r="A1261" s="32" t="s">
        <v>3499</v>
      </c>
      <c r="B1261" s="32" t="s">
        <v>3500</v>
      </c>
      <c r="C1261" s="33">
        <v>45814.0</v>
      </c>
      <c r="D1261" s="34" t="s">
        <v>22</v>
      </c>
      <c r="E1261" s="32" t="s">
        <v>355</v>
      </c>
      <c r="F1261" s="34" t="s">
        <v>24</v>
      </c>
      <c r="G1261" s="34" t="s">
        <v>3501</v>
      </c>
      <c r="H1261" s="35" t="s">
        <v>26</v>
      </c>
      <c r="I1261" s="35" t="s">
        <v>27</v>
      </c>
      <c r="J1261" s="57"/>
      <c r="K1261" s="57"/>
      <c r="L1261" s="84"/>
    </row>
    <row r="1262">
      <c r="A1262" s="32" t="s">
        <v>3502</v>
      </c>
      <c r="B1262" s="32" t="s">
        <v>3503</v>
      </c>
      <c r="C1262" s="33">
        <v>45814.0</v>
      </c>
      <c r="D1262" s="47" t="s">
        <v>22</v>
      </c>
      <c r="E1262" s="32" t="s">
        <v>73</v>
      </c>
      <c r="F1262" s="34" t="s">
        <v>24</v>
      </c>
      <c r="G1262" s="34" t="s">
        <v>199</v>
      </c>
      <c r="H1262" s="35" t="s">
        <v>26</v>
      </c>
      <c r="I1262" s="35" t="s">
        <v>27</v>
      </c>
      <c r="J1262" s="35" t="s">
        <v>100</v>
      </c>
      <c r="K1262" s="57"/>
      <c r="L1262" s="84"/>
    </row>
    <row r="1263">
      <c r="A1263" s="32" t="s">
        <v>3504</v>
      </c>
      <c r="B1263" s="32" t="s">
        <v>3505</v>
      </c>
      <c r="C1263" s="33">
        <v>45814.0</v>
      </c>
      <c r="D1263" s="47" t="s">
        <v>39</v>
      </c>
      <c r="E1263" s="32" t="s">
        <v>416</v>
      </c>
      <c r="F1263" s="34" t="s">
        <v>24</v>
      </c>
      <c r="G1263" s="34" t="s">
        <v>3506</v>
      </c>
      <c r="H1263" s="35" t="s">
        <v>26</v>
      </c>
      <c r="I1263" s="58" t="str">
        <f>HYPERLINK("https://open.spotify.com/album/5T6gtk7oxsptDlnfQNdigG", "S")</f>
        <v>S</v>
      </c>
      <c r="J1263" s="35" t="s">
        <v>100</v>
      </c>
      <c r="K1263" s="57"/>
      <c r="L1263" s="84"/>
    </row>
    <row r="1264">
      <c r="A1264" s="32" t="s">
        <v>3507</v>
      </c>
      <c r="B1264" s="32" t="s">
        <v>3508</v>
      </c>
      <c r="C1264" s="33">
        <v>45814.0</v>
      </c>
      <c r="D1264" s="34" t="s">
        <v>22</v>
      </c>
      <c r="E1264" s="32" t="s">
        <v>328</v>
      </c>
      <c r="F1264" s="34" t="s">
        <v>156</v>
      </c>
      <c r="G1264" s="34" t="s">
        <v>3509</v>
      </c>
      <c r="H1264" s="35" t="s">
        <v>26</v>
      </c>
      <c r="I1264" s="35" t="s">
        <v>27</v>
      </c>
      <c r="J1264" s="57"/>
      <c r="K1264" s="57"/>
      <c r="L1264" s="84"/>
    </row>
    <row r="1265">
      <c r="A1265" s="32" t="s">
        <v>3510</v>
      </c>
      <c r="B1265" s="32" t="s">
        <v>3511</v>
      </c>
      <c r="C1265" s="33">
        <v>45818.0</v>
      </c>
      <c r="D1265" s="34" t="s">
        <v>22</v>
      </c>
      <c r="E1265" s="32" t="s">
        <v>61</v>
      </c>
      <c r="F1265" s="34" t="s">
        <v>24</v>
      </c>
      <c r="G1265" s="34" t="s">
        <v>299</v>
      </c>
      <c r="H1265" s="35" t="s">
        <v>26</v>
      </c>
      <c r="I1265" s="36" t="str">
        <f>HYPERLINK("https://open.spotify.com/album/0w8y13quvFLwiFNvacqbZB", "S")</f>
        <v>S</v>
      </c>
      <c r="J1265" s="57"/>
      <c r="K1265" s="57"/>
      <c r="L1265" s="84"/>
    </row>
    <row r="1266">
      <c r="A1266" s="32" t="s">
        <v>3512</v>
      </c>
      <c r="B1266" s="32" t="s">
        <v>3513</v>
      </c>
      <c r="C1266" s="33">
        <v>45818.0</v>
      </c>
      <c r="D1266" s="34" t="s">
        <v>39</v>
      </c>
      <c r="E1266" s="32" t="s">
        <v>44</v>
      </c>
      <c r="F1266" s="34" t="s">
        <v>53</v>
      </c>
      <c r="G1266" s="34" t="s">
        <v>920</v>
      </c>
      <c r="H1266" s="35" t="s">
        <v>26</v>
      </c>
      <c r="I1266" s="57"/>
      <c r="J1266" s="57"/>
      <c r="K1266" s="57"/>
      <c r="L1266" s="84"/>
    </row>
    <row r="1267">
      <c r="A1267" s="32" t="s">
        <v>3514</v>
      </c>
      <c r="B1267" s="32" t="s">
        <v>3514</v>
      </c>
      <c r="C1267" s="33">
        <v>45819.0</v>
      </c>
      <c r="D1267" s="47" t="s">
        <v>39</v>
      </c>
      <c r="E1267" s="32" t="s">
        <v>44</v>
      </c>
      <c r="F1267" s="34" t="s">
        <v>24</v>
      </c>
      <c r="G1267" s="34" t="s">
        <v>213</v>
      </c>
      <c r="H1267" s="35" t="s">
        <v>26</v>
      </c>
      <c r="I1267" s="36" t="str">
        <f>HYPERLINK("https://open.spotify.com/album/6SeC6h8o2ZEbM98bD2hYqo", "S")</f>
        <v>S</v>
      </c>
      <c r="J1267" s="57"/>
      <c r="K1267" s="57"/>
      <c r="L1267" s="84"/>
    </row>
    <row r="1268">
      <c r="A1268" s="32" t="s">
        <v>3515</v>
      </c>
      <c r="B1268" s="32" t="s">
        <v>3516</v>
      </c>
      <c r="C1268" s="33">
        <v>45819.0</v>
      </c>
      <c r="D1268" s="34" t="s">
        <v>22</v>
      </c>
      <c r="E1268" s="32" t="s">
        <v>3517</v>
      </c>
      <c r="F1268" s="34" t="s">
        <v>53</v>
      </c>
      <c r="G1268" s="34" t="s">
        <v>892</v>
      </c>
      <c r="H1268" s="35" t="s">
        <v>26</v>
      </c>
      <c r="I1268" s="35" t="s">
        <v>27</v>
      </c>
      <c r="J1268" s="57"/>
      <c r="K1268" s="57"/>
      <c r="L1268" s="84"/>
    </row>
    <row r="1269">
      <c r="A1269" s="32" t="s">
        <v>3518</v>
      </c>
      <c r="B1269" s="32" t="s">
        <v>3519</v>
      </c>
      <c r="C1269" s="33">
        <v>45820.0</v>
      </c>
      <c r="D1269" s="34" t="s">
        <v>22</v>
      </c>
      <c r="E1269" s="32" t="s">
        <v>3520</v>
      </c>
      <c r="F1269" s="34" t="s">
        <v>156</v>
      </c>
      <c r="G1269" s="34" t="s">
        <v>202</v>
      </c>
      <c r="H1269" s="35" t="s">
        <v>26</v>
      </c>
      <c r="I1269" s="36" t="str">
        <f>HYPERLINK("https://open.spotify.com/album/4Qnmm9cNQa7uTTzSKLtY4d", "S")</f>
        <v>S</v>
      </c>
      <c r="J1269" s="57"/>
      <c r="K1269" s="57"/>
      <c r="L1269" s="84"/>
    </row>
    <row r="1270">
      <c r="A1270" s="32" t="s">
        <v>3521</v>
      </c>
      <c r="B1270" s="32" t="s">
        <v>3522</v>
      </c>
      <c r="C1270" s="33">
        <v>45821.0</v>
      </c>
      <c r="D1270" s="69" t="s">
        <v>22</v>
      </c>
      <c r="E1270" s="32" t="s">
        <v>3523</v>
      </c>
      <c r="F1270" s="34" t="s">
        <v>24</v>
      </c>
      <c r="G1270" s="34" t="s">
        <v>41</v>
      </c>
      <c r="H1270" s="35" t="s">
        <v>26</v>
      </c>
      <c r="I1270" s="66"/>
      <c r="J1270" s="57"/>
      <c r="K1270" s="57"/>
      <c r="L1270" s="84"/>
    </row>
    <row r="1271">
      <c r="A1271" s="32" t="s">
        <v>3524</v>
      </c>
      <c r="B1271" s="32" t="s">
        <v>1240</v>
      </c>
      <c r="C1271" s="33">
        <v>45821.0</v>
      </c>
      <c r="D1271" s="47" t="s">
        <v>39</v>
      </c>
      <c r="E1271" s="32" t="s">
        <v>3525</v>
      </c>
      <c r="F1271" s="34" t="s">
        <v>53</v>
      </c>
      <c r="G1271" s="34" t="s">
        <v>3526</v>
      </c>
      <c r="H1271" s="35" t="s">
        <v>26</v>
      </c>
      <c r="I1271" s="35" t="s">
        <v>27</v>
      </c>
      <c r="J1271" s="57"/>
      <c r="K1271" s="57"/>
      <c r="L1271" s="84"/>
    </row>
    <row r="1272">
      <c r="A1272" s="32" t="s">
        <v>3527</v>
      </c>
      <c r="B1272" s="32" t="s">
        <v>3528</v>
      </c>
      <c r="C1272" s="33">
        <v>45821.0</v>
      </c>
      <c r="D1272" s="34" t="s">
        <v>22</v>
      </c>
      <c r="E1272" s="32" t="s">
        <v>2104</v>
      </c>
      <c r="F1272" s="34" t="s">
        <v>53</v>
      </c>
      <c r="G1272" s="34" t="s">
        <v>342</v>
      </c>
      <c r="H1272" s="35" t="s">
        <v>26</v>
      </c>
      <c r="I1272" s="35" t="s">
        <v>27</v>
      </c>
      <c r="J1272" s="57"/>
      <c r="K1272" s="57"/>
      <c r="L1272" s="84"/>
    </row>
    <row r="1273">
      <c r="A1273" s="32" t="s">
        <v>3529</v>
      </c>
      <c r="B1273" s="32" t="s">
        <v>3530</v>
      </c>
      <c r="C1273" s="33">
        <v>45821.0</v>
      </c>
      <c r="D1273" s="34" t="s">
        <v>22</v>
      </c>
      <c r="E1273" s="32" t="s">
        <v>3102</v>
      </c>
      <c r="F1273" s="34" t="s">
        <v>24</v>
      </c>
      <c r="G1273" s="34" t="s">
        <v>202</v>
      </c>
      <c r="H1273" s="35" t="s">
        <v>26</v>
      </c>
      <c r="I1273" s="35" t="s">
        <v>27</v>
      </c>
      <c r="J1273" s="57"/>
      <c r="K1273" s="57"/>
      <c r="L1273" s="84"/>
    </row>
    <row r="1274">
      <c r="A1274" s="32" t="s">
        <v>3531</v>
      </c>
      <c r="B1274" s="32" t="s">
        <v>3532</v>
      </c>
      <c r="C1274" s="33">
        <v>45821.0</v>
      </c>
      <c r="D1274" s="34" t="s">
        <v>22</v>
      </c>
      <c r="E1274" s="32" t="s">
        <v>3533</v>
      </c>
      <c r="F1274" s="34" t="s">
        <v>53</v>
      </c>
      <c r="G1274" s="34" t="s">
        <v>375</v>
      </c>
      <c r="H1274" s="35" t="s">
        <v>26</v>
      </c>
      <c r="I1274" s="35" t="s">
        <v>27</v>
      </c>
      <c r="J1274" s="57"/>
      <c r="K1274" s="57"/>
      <c r="L1274" s="84"/>
    </row>
    <row r="1275">
      <c r="A1275" s="32" t="s">
        <v>3534</v>
      </c>
      <c r="B1275" s="32" t="s">
        <v>3535</v>
      </c>
      <c r="C1275" s="33">
        <v>45821.0</v>
      </c>
      <c r="D1275" s="47" t="s">
        <v>22</v>
      </c>
      <c r="E1275" s="32" t="s">
        <v>1458</v>
      </c>
      <c r="F1275" s="34" t="s">
        <v>156</v>
      </c>
      <c r="G1275" s="34" t="s">
        <v>693</v>
      </c>
      <c r="H1275" s="35" t="s">
        <v>26</v>
      </c>
      <c r="I1275" s="35" t="s">
        <v>27</v>
      </c>
      <c r="J1275" s="57"/>
      <c r="K1275" s="57"/>
      <c r="L1275" s="84"/>
    </row>
    <row r="1276">
      <c r="A1276" s="32" t="s">
        <v>3536</v>
      </c>
      <c r="B1276" s="32" t="s">
        <v>3537</v>
      </c>
      <c r="C1276" s="33">
        <v>45821.0</v>
      </c>
      <c r="D1276" s="69" t="s">
        <v>22</v>
      </c>
      <c r="E1276" s="32" t="s">
        <v>3538</v>
      </c>
      <c r="F1276" s="34" t="s">
        <v>24</v>
      </c>
      <c r="G1276" s="34" t="s">
        <v>169</v>
      </c>
      <c r="H1276" s="35" t="s">
        <v>26</v>
      </c>
      <c r="I1276" s="35" t="s">
        <v>27</v>
      </c>
      <c r="J1276" s="57"/>
      <c r="K1276" s="57"/>
      <c r="L1276" s="84"/>
    </row>
    <row r="1277">
      <c r="A1277" s="32" t="s">
        <v>3539</v>
      </c>
      <c r="B1277" s="32" t="s">
        <v>3540</v>
      </c>
      <c r="C1277" s="33">
        <v>45821.0</v>
      </c>
      <c r="D1277" s="34" t="s">
        <v>22</v>
      </c>
      <c r="E1277" s="32" t="s">
        <v>3541</v>
      </c>
      <c r="F1277" s="34" t="s">
        <v>24</v>
      </c>
      <c r="G1277" s="34" t="s">
        <v>1261</v>
      </c>
      <c r="H1277" s="35" t="s">
        <v>26</v>
      </c>
      <c r="I1277" s="35" t="s">
        <v>27</v>
      </c>
      <c r="J1277" s="57"/>
      <c r="K1277" s="57"/>
      <c r="L1277" s="84"/>
    </row>
    <row r="1278">
      <c r="A1278" s="32" t="s">
        <v>3542</v>
      </c>
      <c r="B1278" s="32" t="s">
        <v>3543</v>
      </c>
      <c r="C1278" s="33">
        <v>45821.0</v>
      </c>
      <c r="D1278" s="34" t="s">
        <v>39</v>
      </c>
      <c r="E1278" s="32" t="s">
        <v>1458</v>
      </c>
      <c r="F1278" s="34" t="s">
        <v>53</v>
      </c>
      <c r="G1278" s="34" t="s">
        <v>32</v>
      </c>
      <c r="H1278" s="35" t="s">
        <v>26</v>
      </c>
      <c r="I1278" s="35" t="s">
        <v>27</v>
      </c>
      <c r="J1278" s="57"/>
      <c r="K1278" s="57"/>
      <c r="L1278" s="84"/>
    </row>
    <row r="1279">
      <c r="A1279" s="32" t="s">
        <v>3544</v>
      </c>
      <c r="B1279" s="32" t="s">
        <v>3545</v>
      </c>
      <c r="C1279" s="33">
        <v>45821.0</v>
      </c>
      <c r="D1279" s="47" t="s">
        <v>22</v>
      </c>
      <c r="E1279" s="32" t="s">
        <v>3546</v>
      </c>
      <c r="F1279" s="34" t="s">
        <v>53</v>
      </c>
      <c r="G1279" s="34" t="s">
        <v>70</v>
      </c>
      <c r="H1279" s="35" t="s">
        <v>26</v>
      </c>
      <c r="I1279" s="35" t="s">
        <v>27</v>
      </c>
      <c r="J1279" s="35" t="s">
        <v>100</v>
      </c>
      <c r="K1279" s="57"/>
      <c r="L1279" s="84"/>
    </row>
    <row r="1280">
      <c r="A1280" s="32" t="s">
        <v>3547</v>
      </c>
      <c r="B1280" s="32" t="s">
        <v>3548</v>
      </c>
      <c r="C1280" s="33">
        <v>45821.0</v>
      </c>
      <c r="D1280" s="34" t="s">
        <v>22</v>
      </c>
      <c r="E1280" s="32" t="s">
        <v>3549</v>
      </c>
      <c r="F1280" s="34" t="s">
        <v>24</v>
      </c>
      <c r="G1280" s="34" t="s">
        <v>913</v>
      </c>
      <c r="H1280" s="35" t="s">
        <v>26</v>
      </c>
      <c r="I1280" s="35" t="s">
        <v>27</v>
      </c>
      <c r="J1280" s="57"/>
      <c r="K1280" s="57"/>
      <c r="L1280" s="84"/>
    </row>
    <row r="1281">
      <c r="A1281" s="32" t="s">
        <v>3550</v>
      </c>
      <c r="B1281" s="32" t="s">
        <v>3551</v>
      </c>
      <c r="C1281" s="33">
        <v>45821.0</v>
      </c>
      <c r="D1281" s="34" t="s">
        <v>22</v>
      </c>
      <c r="E1281" s="32" t="s">
        <v>263</v>
      </c>
      <c r="F1281" s="34" t="s">
        <v>31</v>
      </c>
      <c r="G1281" s="34" t="s">
        <v>868</v>
      </c>
      <c r="H1281" s="35" t="s">
        <v>26</v>
      </c>
      <c r="I1281" s="35" t="s">
        <v>27</v>
      </c>
      <c r="J1281" s="57"/>
      <c r="K1281" s="57"/>
      <c r="L1281" s="84"/>
    </row>
    <row r="1282">
      <c r="A1282" s="32" t="s">
        <v>3552</v>
      </c>
      <c r="B1282" s="32" t="s">
        <v>3553</v>
      </c>
      <c r="C1282" s="33">
        <v>45821.0</v>
      </c>
      <c r="D1282" s="34" t="s">
        <v>22</v>
      </c>
      <c r="E1282" s="32" t="s">
        <v>3554</v>
      </c>
      <c r="F1282" s="34" t="s">
        <v>156</v>
      </c>
      <c r="G1282" s="34" t="s">
        <v>892</v>
      </c>
      <c r="H1282" s="35" t="s">
        <v>26</v>
      </c>
      <c r="I1282" s="58" t="str">
        <f>HYPERLINK("https://open.spotify.com/album/2bQrx9ANa90lSlBcpE7L9A", "S")</f>
        <v>S</v>
      </c>
      <c r="J1282" s="57"/>
      <c r="K1282" s="57"/>
      <c r="L1282" s="84"/>
    </row>
    <row r="1283">
      <c r="A1283" s="31" t="s">
        <v>3555</v>
      </c>
      <c r="B1283" s="32" t="s">
        <v>3556</v>
      </c>
      <c r="C1283" s="33">
        <v>45821.0</v>
      </c>
      <c r="D1283" s="34" t="s">
        <v>22</v>
      </c>
      <c r="E1283" s="32" t="s">
        <v>3557</v>
      </c>
      <c r="F1283" s="34" t="s">
        <v>53</v>
      </c>
      <c r="G1283" s="34" t="s">
        <v>96</v>
      </c>
      <c r="H1283" s="35" t="s">
        <v>26</v>
      </c>
      <c r="I1283" s="35" t="s">
        <v>27</v>
      </c>
      <c r="J1283" s="57"/>
      <c r="K1283" s="57"/>
      <c r="L1283" s="84"/>
    </row>
    <row r="1284">
      <c r="A1284" s="32" t="s">
        <v>3558</v>
      </c>
      <c r="B1284" s="32" t="s">
        <v>3559</v>
      </c>
      <c r="C1284" s="33">
        <v>45821.0</v>
      </c>
      <c r="D1284" s="34" t="s">
        <v>22</v>
      </c>
      <c r="E1284" s="32" t="s">
        <v>2560</v>
      </c>
      <c r="F1284" s="34" t="s">
        <v>53</v>
      </c>
      <c r="G1284" s="34" t="s">
        <v>3560</v>
      </c>
      <c r="H1284" s="35" t="s">
        <v>26</v>
      </c>
      <c r="I1284" s="35" t="s">
        <v>27</v>
      </c>
      <c r="J1284" s="35" t="s">
        <v>100</v>
      </c>
      <c r="K1284" s="57"/>
      <c r="L1284" s="84"/>
    </row>
    <row r="1285">
      <c r="A1285" s="32" t="s">
        <v>3561</v>
      </c>
      <c r="B1285" s="32" t="s">
        <v>3562</v>
      </c>
      <c r="C1285" s="33">
        <v>45821.0</v>
      </c>
      <c r="D1285" s="34" t="s">
        <v>22</v>
      </c>
      <c r="E1285" s="32" t="s">
        <v>122</v>
      </c>
      <c r="F1285" s="34" t="s">
        <v>156</v>
      </c>
      <c r="G1285" s="34" t="s">
        <v>526</v>
      </c>
      <c r="H1285" s="35" t="s">
        <v>26</v>
      </c>
      <c r="I1285" s="35" t="s">
        <v>27</v>
      </c>
      <c r="J1285" s="57"/>
      <c r="K1285" s="57"/>
      <c r="L1285" s="84"/>
    </row>
    <row r="1286">
      <c r="A1286" s="32" t="s">
        <v>3563</v>
      </c>
      <c r="B1286" s="32" t="s">
        <v>3564</v>
      </c>
      <c r="C1286" s="33">
        <v>45821.0</v>
      </c>
      <c r="D1286" s="47" t="s">
        <v>22</v>
      </c>
      <c r="E1286" s="32" t="s">
        <v>928</v>
      </c>
      <c r="F1286" s="34" t="s">
        <v>156</v>
      </c>
      <c r="G1286" s="34" t="s">
        <v>526</v>
      </c>
      <c r="H1286" s="35" t="s">
        <v>26</v>
      </c>
      <c r="I1286" s="35" t="s">
        <v>27</v>
      </c>
      <c r="J1286" s="57"/>
      <c r="K1286" s="57"/>
      <c r="L1286" s="84"/>
    </row>
    <row r="1287">
      <c r="A1287" s="32" t="s">
        <v>3565</v>
      </c>
      <c r="B1287" s="32" t="s">
        <v>3043</v>
      </c>
      <c r="C1287" s="33">
        <v>45821.0</v>
      </c>
      <c r="D1287" s="34" t="s">
        <v>22</v>
      </c>
      <c r="E1287" s="32" t="s">
        <v>3566</v>
      </c>
      <c r="F1287" s="34" t="s">
        <v>156</v>
      </c>
      <c r="G1287" s="34" t="s">
        <v>423</v>
      </c>
      <c r="H1287" s="35" t="s">
        <v>26</v>
      </c>
      <c r="I1287" s="35" t="s">
        <v>27</v>
      </c>
      <c r="J1287" s="35" t="s">
        <v>100</v>
      </c>
      <c r="K1287" s="57"/>
      <c r="L1287" s="84"/>
    </row>
    <row r="1288">
      <c r="A1288" s="32" t="s">
        <v>3567</v>
      </c>
      <c r="B1288" s="32" t="s">
        <v>3568</v>
      </c>
      <c r="C1288" s="33">
        <v>45821.0</v>
      </c>
      <c r="D1288" s="34" t="s">
        <v>22</v>
      </c>
      <c r="E1288" s="32" t="s">
        <v>3569</v>
      </c>
      <c r="F1288" s="34" t="s">
        <v>24</v>
      </c>
      <c r="G1288" s="34" t="s">
        <v>1453</v>
      </c>
      <c r="H1288" s="35" t="s">
        <v>26</v>
      </c>
      <c r="I1288" s="35" t="s">
        <v>27</v>
      </c>
      <c r="J1288" s="57"/>
      <c r="K1288" s="57"/>
      <c r="L1288" s="84"/>
    </row>
    <row r="1289">
      <c r="A1289" s="31" t="s">
        <v>3570</v>
      </c>
      <c r="B1289" s="32" t="s">
        <v>3571</v>
      </c>
      <c r="C1289" s="33">
        <v>45821.0</v>
      </c>
      <c r="D1289" s="34" t="s">
        <v>22</v>
      </c>
      <c r="E1289" s="32" t="s">
        <v>3572</v>
      </c>
      <c r="F1289" s="34" t="s">
        <v>53</v>
      </c>
      <c r="G1289" s="34" t="s">
        <v>454</v>
      </c>
      <c r="H1289" s="35" t="s">
        <v>26</v>
      </c>
      <c r="I1289" s="35" t="s">
        <v>27</v>
      </c>
      <c r="J1289" s="57"/>
      <c r="K1289" s="57"/>
      <c r="L1289" s="84"/>
    </row>
    <row r="1290">
      <c r="A1290" s="31" t="s">
        <v>3573</v>
      </c>
      <c r="B1290" s="32" t="s">
        <v>3574</v>
      </c>
      <c r="C1290" s="33">
        <v>45821.0</v>
      </c>
      <c r="D1290" s="34" t="s">
        <v>22</v>
      </c>
      <c r="E1290" s="32" t="s">
        <v>328</v>
      </c>
      <c r="F1290" s="34" t="s">
        <v>156</v>
      </c>
      <c r="G1290" s="34" t="s">
        <v>1392</v>
      </c>
      <c r="H1290" s="35" t="s">
        <v>26</v>
      </c>
      <c r="I1290" s="35" t="s">
        <v>27</v>
      </c>
      <c r="J1290" s="57"/>
      <c r="K1290" s="57"/>
      <c r="L1290" s="84"/>
    </row>
    <row r="1291">
      <c r="A1291" s="32" t="s">
        <v>3575</v>
      </c>
      <c r="B1291" s="32" t="s">
        <v>3576</v>
      </c>
      <c r="C1291" s="33">
        <v>45821.0</v>
      </c>
      <c r="D1291" s="34" t="s">
        <v>22</v>
      </c>
      <c r="E1291" s="32" t="s">
        <v>3577</v>
      </c>
      <c r="F1291" s="34" t="s">
        <v>24</v>
      </c>
      <c r="G1291" s="34" t="s">
        <v>868</v>
      </c>
      <c r="H1291" s="35" t="s">
        <v>26</v>
      </c>
      <c r="I1291" s="35" t="s">
        <v>27</v>
      </c>
      <c r="J1291" s="35" t="s">
        <v>100</v>
      </c>
      <c r="K1291" s="57"/>
      <c r="L1291" s="84"/>
    </row>
    <row r="1292">
      <c r="A1292" s="32" t="s">
        <v>3578</v>
      </c>
      <c r="B1292" s="32" t="s">
        <v>3579</v>
      </c>
      <c r="C1292" s="33">
        <v>45821.0</v>
      </c>
      <c r="D1292" s="34" t="s">
        <v>22</v>
      </c>
      <c r="E1292" s="32" t="s">
        <v>61</v>
      </c>
      <c r="F1292" s="34" t="s">
        <v>24</v>
      </c>
      <c r="G1292" s="34" t="s">
        <v>199</v>
      </c>
      <c r="H1292" s="35" t="s">
        <v>26</v>
      </c>
      <c r="I1292" s="35" t="s">
        <v>27</v>
      </c>
      <c r="J1292" s="35" t="s">
        <v>100</v>
      </c>
      <c r="K1292" s="57"/>
      <c r="L1292" s="84"/>
    </row>
    <row r="1293">
      <c r="A1293" s="32" t="s">
        <v>3580</v>
      </c>
      <c r="B1293" s="32" t="s">
        <v>3581</v>
      </c>
      <c r="C1293" s="33">
        <v>45821.0</v>
      </c>
      <c r="D1293" s="47" t="s">
        <v>22</v>
      </c>
      <c r="E1293" s="32" t="s">
        <v>1264</v>
      </c>
      <c r="F1293" s="34" t="s">
        <v>156</v>
      </c>
      <c r="G1293" s="34" t="s">
        <v>3582</v>
      </c>
      <c r="H1293" s="35" t="s">
        <v>26</v>
      </c>
      <c r="I1293" s="35" t="s">
        <v>27</v>
      </c>
      <c r="J1293" s="35" t="s">
        <v>100</v>
      </c>
      <c r="K1293" s="57"/>
      <c r="L1293" s="84"/>
    </row>
    <row r="1294">
      <c r="A1294" s="32" t="s">
        <v>3583</v>
      </c>
      <c r="B1294" s="32" t="s">
        <v>3584</v>
      </c>
      <c r="C1294" s="33">
        <v>45821.0</v>
      </c>
      <c r="D1294" s="47" t="s">
        <v>22</v>
      </c>
      <c r="E1294" s="32" t="s">
        <v>3585</v>
      </c>
      <c r="F1294" s="34" t="s">
        <v>53</v>
      </c>
      <c r="G1294" s="34" t="s">
        <v>3586</v>
      </c>
      <c r="H1294" s="35" t="s">
        <v>26</v>
      </c>
      <c r="I1294" s="35" t="s">
        <v>27</v>
      </c>
      <c r="J1294" s="35" t="s">
        <v>100</v>
      </c>
      <c r="K1294" s="57"/>
      <c r="L1294" s="84"/>
    </row>
    <row r="1295">
      <c r="A1295" s="32" t="s">
        <v>3587</v>
      </c>
      <c r="B1295" s="32" t="s">
        <v>3588</v>
      </c>
      <c r="C1295" s="33">
        <v>45821.0</v>
      </c>
      <c r="D1295" s="34" t="s">
        <v>22</v>
      </c>
      <c r="E1295" s="32" t="s">
        <v>3589</v>
      </c>
      <c r="F1295" s="34" t="s">
        <v>156</v>
      </c>
      <c r="G1295" s="34" t="s">
        <v>336</v>
      </c>
      <c r="H1295" s="35" t="s">
        <v>26</v>
      </c>
      <c r="I1295" s="35" t="s">
        <v>27</v>
      </c>
      <c r="J1295" s="35" t="s">
        <v>100</v>
      </c>
      <c r="K1295" s="57"/>
      <c r="L1295" s="84"/>
    </row>
    <row r="1296">
      <c r="A1296" s="32" t="s">
        <v>3590</v>
      </c>
      <c r="B1296" s="32" t="s">
        <v>3590</v>
      </c>
      <c r="C1296" s="33">
        <v>45821.0</v>
      </c>
      <c r="D1296" s="47" t="s">
        <v>22</v>
      </c>
      <c r="E1296" s="32" t="s">
        <v>3591</v>
      </c>
      <c r="F1296" s="34" t="s">
        <v>53</v>
      </c>
      <c r="G1296" s="34" t="s">
        <v>3592</v>
      </c>
      <c r="H1296" s="35" t="s">
        <v>26</v>
      </c>
      <c r="I1296" s="35" t="s">
        <v>27</v>
      </c>
      <c r="J1296" s="57"/>
      <c r="K1296" s="57"/>
      <c r="L1296" s="84"/>
    </row>
    <row r="1297">
      <c r="A1297" s="32" t="s">
        <v>3593</v>
      </c>
      <c r="B1297" s="32" t="s">
        <v>3594</v>
      </c>
      <c r="C1297" s="33">
        <v>45821.0</v>
      </c>
      <c r="D1297" s="34" t="s">
        <v>22</v>
      </c>
      <c r="E1297" s="32" t="s">
        <v>3595</v>
      </c>
      <c r="F1297" s="34" t="s">
        <v>24</v>
      </c>
      <c r="G1297" s="34" t="s">
        <v>3596</v>
      </c>
      <c r="H1297" s="35" t="s">
        <v>26</v>
      </c>
      <c r="I1297" s="35" t="s">
        <v>27</v>
      </c>
      <c r="J1297" s="57"/>
      <c r="K1297" s="57"/>
      <c r="L1297" s="84"/>
    </row>
    <row r="1298">
      <c r="A1298" s="32" t="s">
        <v>3597</v>
      </c>
      <c r="B1298" s="32" t="s">
        <v>3598</v>
      </c>
      <c r="C1298" s="33">
        <v>45821.0</v>
      </c>
      <c r="D1298" s="34" t="s">
        <v>22</v>
      </c>
      <c r="E1298" s="32" t="s">
        <v>3599</v>
      </c>
      <c r="F1298" s="34" t="s">
        <v>24</v>
      </c>
      <c r="G1298" s="34" t="s">
        <v>532</v>
      </c>
      <c r="H1298" s="35" t="s">
        <v>26</v>
      </c>
      <c r="I1298" s="35" t="s">
        <v>27</v>
      </c>
      <c r="J1298" s="57"/>
      <c r="K1298" s="57"/>
      <c r="L1298" s="84"/>
    </row>
    <row r="1299">
      <c r="A1299" s="32" t="s">
        <v>3600</v>
      </c>
      <c r="B1299" s="32" t="s">
        <v>3601</v>
      </c>
      <c r="C1299" s="33">
        <v>45821.0</v>
      </c>
      <c r="D1299" s="34" t="s">
        <v>22</v>
      </c>
      <c r="E1299" s="32" t="s">
        <v>1458</v>
      </c>
      <c r="F1299" s="34" t="s">
        <v>53</v>
      </c>
      <c r="G1299" s="34" t="s">
        <v>299</v>
      </c>
      <c r="H1299" s="35" t="s">
        <v>26</v>
      </c>
      <c r="I1299" s="35" t="s">
        <v>27</v>
      </c>
      <c r="J1299" s="35" t="s">
        <v>100</v>
      </c>
      <c r="K1299" s="57"/>
      <c r="L1299" s="84"/>
    </row>
    <row r="1300">
      <c r="A1300" s="32" t="s">
        <v>3602</v>
      </c>
      <c r="B1300" s="32" t="s">
        <v>3603</v>
      </c>
      <c r="C1300" s="33">
        <v>45821.0</v>
      </c>
      <c r="D1300" s="34" t="s">
        <v>39</v>
      </c>
      <c r="E1300" s="32" t="s">
        <v>1766</v>
      </c>
      <c r="F1300" s="34" t="s">
        <v>53</v>
      </c>
      <c r="G1300" s="34" t="s">
        <v>302</v>
      </c>
      <c r="H1300" s="35" t="s">
        <v>26</v>
      </c>
      <c r="I1300" s="35" t="s">
        <v>27</v>
      </c>
      <c r="J1300" s="57"/>
      <c r="K1300" s="57"/>
      <c r="L1300" s="84"/>
    </row>
    <row r="1301">
      <c r="A1301" s="32" t="s">
        <v>3604</v>
      </c>
      <c r="B1301" s="32" t="s">
        <v>3605</v>
      </c>
      <c r="C1301" s="33">
        <v>45821.0</v>
      </c>
      <c r="D1301" s="34" t="s">
        <v>22</v>
      </c>
      <c r="E1301" s="32" t="s">
        <v>3606</v>
      </c>
      <c r="F1301" s="34" t="s">
        <v>24</v>
      </c>
      <c r="G1301" s="34" t="s">
        <v>199</v>
      </c>
      <c r="H1301" s="35" t="s">
        <v>26</v>
      </c>
      <c r="I1301" s="35" t="s">
        <v>27</v>
      </c>
      <c r="J1301" s="35" t="s">
        <v>100</v>
      </c>
      <c r="K1301" s="57"/>
      <c r="L1301" s="84"/>
    </row>
    <row r="1302">
      <c r="A1302" s="32" t="s">
        <v>3607</v>
      </c>
      <c r="B1302" s="32" t="s">
        <v>3607</v>
      </c>
      <c r="C1302" s="33">
        <v>45821.0</v>
      </c>
      <c r="D1302" s="34" t="s">
        <v>22</v>
      </c>
      <c r="E1302" s="32" t="s">
        <v>3608</v>
      </c>
      <c r="F1302" s="34" t="s">
        <v>53</v>
      </c>
      <c r="G1302" s="34" t="s">
        <v>1856</v>
      </c>
      <c r="H1302" s="35" t="s">
        <v>26</v>
      </c>
      <c r="I1302" s="35" t="s">
        <v>27</v>
      </c>
      <c r="J1302" s="35" t="s">
        <v>100</v>
      </c>
      <c r="K1302" s="57"/>
      <c r="L1302" s="84"/>
    </row>
    <row r="1303">
      <c r="A1303" s="32" t="s">
        <v>3609</v>
      </c>
      <c r="B1303" s="32" t="s">
        <v>3610</v>
      </c>
      <c r="C1303" s="33">
        <v>45821.0</v>
      </c>
      <c r="D1303" s="34" t="s">
        <v>22</v>
      </c>
      <c r="E1303" s="32" t="s">
        <v>160</v>
      </c>
      <c r="F1303" s="34" t="s">
        <v>24</v>
      </c>
      <c r="G1303" s="34" t="s">
        <v>257</v>
      </c>
      <c r="H1303" s="35" t="s">
        <v>26</v>
      </c>
      <c r="I1303" s="35" t="s">
        <v>27</v>
      </c>
      <c r="J1303" s="57"/>
      <c r="K1303" s="57"/>
      <c r="L1303" s="84"/>
    </row>
    <row r="1304">
      <c r="A1304" s="32" t="s">
        <v>488</v>
      </c>
      <c r="B1304" s="32" t="s">
        <v>3611</v>
      </c>
      <c r="C1304" s="33">
        <v>45821.0</v>
      </c>
      <c r="D1304" s="34" t="s">
        <v>22</v>
      </c>
      <c r="E1304" s="32" t="s">
        <v>490</v>
      </c>
      <c r="F1304" s="34" t="s">
        <v>31</v>
      </c>
      <c r="G1304" s="34" t="s">
        <v>491</v>
      </c>
      <c r="H1304" s="35" t="s">
        <v>26</v>
      </c>
      <c r="I1304" s="35" t="s">
        <v>27</v>
      </c>
      <c r="J1304" s="35" t="s">
        <v>100</v>
      </c>
      <c r="K1304" s="57"/>
      <c r="L1304" s="84"/>
    </row>
    <row r="1305">
      <c r="A1305" s="32" t="s">
        <v>3612</v>
      </c>
      <c r="B1305" s="32" t="s">
        <v>3613</v>
      </c>
      <c r="C1305" s="33">
        <v>45821.0</v>
      </c>
      <c r="D1305" s="34" t="s">
        <v>22</v>
      </c>
      <c r="E1305" s="32" t="s">
        <v>513</v>
      </c>
      <c r="F1305" s="34" t="s">
        <v>156</v>
      </c>
      <c r="G1305" s="34" t="s">
        <v>3614</v>
      </c>
      <c r="H1305" s="35" t="s">
        <v>26</v>
      </c>
      <c r="I1305" s="34"/>
      <c r="J1305" s="35" t="s">
        <v>100</v>
      </c>
      <c r="K1305" s="57"/>
      <c r="L1305" s="84"/>
    </row>
    <row r="1306">
      <c r="A1306" s="32" t="s">
        <v>3615</v>
      </c>
      <c r="B1306" s="32" t="s">
        <v>3616</v>
      </c>
      <c r="C1306" s="33">
        <v>45821.0</v>
      </c>
      <c r="D1306" s="34" t="s">
        <v>22</v>
      </c>
      <c r="E1306" s="32" t="s">
        <v>2192</v>
      </c>
      <c r="F1306" s="34" t="s">
        <v>156</v>
      </c>
      <c r="G1306" s="34" t="s">
        <v>202</v>
      </c>
      <c r="H1306" s="35" t="s">
        <v>26</v>
      </c>
      <c r="I1306" s="35" t="s">
        <v>27</v>
      </c>
      <c r="J1306" s="57"/>
      <c r="K1306" s="57"/>
      <c r="L1306" s="84"/>
    </row>
    <row r="1307">
      <c r="A1307" s="32" t="s">
        <v>3617</v>
      </c>
      <c r="B1307" s="32" t="s">
        <v>3618</v>
      </c>
      <c r="C1307" s="33">
        <v>45821.0</v>
      </c>
      <c r="D1307" s="34" t="s">
        <v>22</v>
      </c>
      <c r="E1307" s="32" t="s">
        <v>370</v>
      </c>
      <c r="F1307" s="34" t="s">
        <v>53</v>
      </c>
      <c r="G1307" s="34" t="s">
        <v>3619</v>
      </c>
      <c r="H1307" s="35" t="s">
        <v>26</v>
      </c>
      <c r="I1307" s="35" t="s">
        <v>27</v>
      </c>
      <c r="J1307" s="57"/>
      <c r="K1307" s="57"/>
      <c r="L1307" s="84"/>
    </row>
    <row r="1308">
      <c r="A1308" s="32" t="s">
        <v>3620</v>
      </c>
      <c r="B1308" s="32" t="s">
        <v>3621</v>
      </c>
      <c r="C1308" s="33">
        <v>45821.0</v>
      </c>
      <c r="D1308" s="34" t="s">
        <v>22</v>
      </c>
      <c r="E1308" s="32" t="s">
        <v>3622</v>
      </c>
      <c r="F1308" s="34" t="s">
        <v>24</v>
      </c>
      <c r="G1308" s="34" t="s">
        <v>213</v>
      </c>
      <c r="H1308" s="35" t="s">
        <v>26</v>
      </c>
      <c r="I1308" s="35" t="s">
        <v>27</v>
      </c>
      <c r="J1308" s="57"/>
      <c r="K1308" s="57"/>
      <c r="L1308" s="84"/>
    </row>
    <row r="1309">
      <c r="A1309" s="32" t="s">
        <v>3623</v>
      </c>
      <c r="B1309" s="32" t="s">
        <v>3624</v>
      </c>
      <c r="C1309" s="33">
        <v>45821.0</v>
      </c>
      <c r="D1309" s="34" t="s">
        <v>22</v>
      </c>
      <c r="E1309" s="32" t="s">
        <v>3625</v>
      </c>
      <c r="F1309" s="34" t="s">
        <v>24</v>
      </c>
      <c r="G1309" s="34" t="s">
        <v>1404</v>
      </c>
      <c r="H1309" s="35" t="s">
        <v>26</v>
      </c>
      <c r="I1309" s="36" t="str">
        <f>HYPERLINK("https://open.spotify.com/album/4rcGKwEXeOjyJYk9VhwKJX", "S")</f>
        <v>S</v>
      </c>
      <c r="J1309" s="57"/>
      <c r="K1309" s="57"/>
      <c r="L1309" s="84"/>
    </row>
    <row r="1310">
      <c r="A1310" s="32" t="s">
        <v>3626</v>
      </c>
      <c r="B1310" s="32" t="s">
        <v>3627</v>
      </c>
      <c r="C1310" s="33">
        <v>45822.0</v>
      </c>
      <c r="D1310" s="47" t="s">
        <v>22</v>
      </c>
      <c r="E1310" s="32" t="s">
        <v>73</v>
      </c>
      <c r="F1310" s="34" t="s">
        <v>53</v>
      </c>
      <c r="G1310" s="34" t="s">
        <v>41</v>
      </c>
      <c r="H1310" s="35" t="s">
        <v>26</v>
      </c>
      <c r="I1310" s="35" t="s">
        <v>27</v>
      </c>
      <c r="J1310" s="57"/>
      <c r="K1310" s="57"/>
      <c r="L1310" s="84"/>
    </row>
    <row r="1311">
      <c r="A1311" s="32" t="s">
        <v>931</v>
      </c>
      <c r="B1311" s="32" t="s">
        <v>3628</v>
      </c>
      <c r="C1311" s="33">
        <v>45822.0</v>
      </c>
      <c r="D1311" s="34" t="s">
        <v>39</v>
      </c>
      <c r="E1311" s="32" t="s">
        <v>3629</v>
      </c>
      <c r="F1311" s="34" t="s">
        <v>24</v>
      </c>
      <c r="G1311" s="34" t="s">
        <v>933</v>
      </c>
      <c r="H1311" s="35" t="s">
        <v>26</v>
      </c>
      <c r="I1311" s="36" t="str">
        <f>HYPERLINK("https://open.spotify.com/album/1ex8HdZnfehTL2pjRIkKkA", "S")</f>
        <v>S</v>
      </c>
      <c r="J1311" s="57"/>
      <c r="K1311" s="57"/>
      <c r="L1311" s="84"/>
    </row>
    <row r="1312">
      <c r="A1312" s="32" t="s">
        <v>3630</v>
      </c>
      <c r="B1312" s="32" t="s">
        <v>3631</v>
      </c>
      <c r="C1312" s="33">
        <v>45822.0</v>
      </c>
      <c r="D1312" s="34" t="s">
        <v>39</v>
      </c>
      <c r="E1312" s="32" t="s">
        <v>722</v>
      </c>
      <c r="F1312" s="34" t="s">
        <v>24</v>
      </c>
      <c r="G1312" s="34" t="s">
        <v>1028</v>
      </c>
      <c r="H1312" s="35" t="s">
        <v>26</v>
      </c>
      <c r="I1312" s="35" t="s">
        <v>27</v>
      </c>
      <c r="J1312" s="57"/>
      <c r="K1312" s="57"/>
      <c r="L1312" s="84"/>
    </row>
    <row r="1313">
      <c r="A1313" s="32" t="s">
        <v>3632</v>
      </c>
      <c r="B1313" s="32" t="s">
        <v>3633</v>
      </c>
      <c r="C1313" s="33">
        <v>45823.0</v>
      </c>
      <c r="D1313" s="34" t="s">
        <v>22</v>
      </c>
      <c r="E1313" s="32" t="s">
        <v>3634</v>
      </c>
      <c r="F1313" s="34" t="s">
        <v>24</v>
      </c>
      <c r="G1313" s="34" t="s">
        <v>32</v>
      </c>
      <c r="H1313" s="35" t="s">
        <v>26</v>
      </c>
      <c r="I1313" s="36" t="str">
        <f>HYPERLINK("https://open.spotify.com/album/3pgnHmOKiOw54KFfnQI95F", "S")</f>
        <v>S</v>
      </c>
      <c r="J1313" s="57"/>
      <c r="K1313" s="57"/>
      <c r="L1313" s="84"/>
    </row>
    <row r="1314">
      <c r="A1314" s="32" t="s">
        <v>3635</v>
      </c>
      <c r="B1314" s="32" t="s">
        <v>3636</v>
      </c>
      <c r="C1314" s="33">
        <v>45824.0</v>
      </c>
      <c r="D1314" s="34" t="s">
        <v>22</v>
      </c>
      <c r="E1314" s="32" t="s">
        <v>3637</v>
      </c>
      <c r="F1314" s="34" t="s">
        <v>53</v>
      </c>
      <c r="G1314" s="34" t="s">
        <v>32</v>
      </c>
      <c r="H1314" s="35" t="s">
        <v>26</v>
      </c>
      <c r="I1314" s="35" t="s">
        <v>27</v>
      </c>
      <c r="J1314" s="57"/>
      <c r="K1314" s="57"/>
      <c r="L1314" s="84"/>
    </row>
    <row r="1315">
      <c r="A1315" s="32" t="s">
        <v>3638</v>
      </c>
      <c r="B1315" s="32" t="s">
        <v>3639</v>
      </c>
      <c r="C1315" s="33">
        <v>45824.0</v>
      </c>
      <c r="D1315" s="34" t="s">
        <v>22</v>
      </c>
      <c r="E1315" s="32" t="s">
        <v>613</v>
      </c>
      <c r="F1315" s="34" t="s">
        <v>24</v>
      </c>
      <c r="G1315" s="34" t="s">
        <v>522</v>
      </c>
      <c r="H1315" s="35" t="s">
        <v>26</v>
      </c>
      <c r="I1315" s="36" t="str">
        <f>HYPERLINK("https://open.spotify.com/album/4SYfO5kQf769xOoSjsNuEj", "S")</f>
        <v>S</v>
      </c>
      <c r="J1315" s="57"/>
      <c r="K1315" s="57"/>
      <c r="L1315" s="84"/>
    </row>
    <row r="1316">
      <c r="A1316" s="32" t="s">
        <v>3640</v>
      </c>
      <c r="B1316" s="32" t="s">
        <v>3641</v>
      </c>
      <c r="C1316" s="33">
        <v>45824.0</v>
      </c>
      <c r="D1316" s="34" t="s">
        <v>22</v>
      </c>
      <c r="E1316" s="32" t="s">
        <v>2107</v>
      </c>
      <c r="F1316" s="34" t="s">
        <v>53</v>
      </c>
      <c r="G1316" s="34" t="s">
        <v>119</v>
      </c>
      <c r="H1316" s="35" t="s">
        <v>26</v>
      </c>
      <c r="I1316" s="35" t="s">
        <v>27</v>
      </c>
      <c r="J1316" s="57"/>
      <c r="K1316" s="57"/>
      <c r="L1316" s="84"/>
    </row>
    <row r="1317">
      <c r="A1317" s="32" t="s">
        <v>3642</v>
      </c>
      <c r="B1317" s="32" t="s">
        <v>3643</v>
      </c>
      <c r="C1317" s="33">
        <v>45825.0</v>
      </c>
      <c r="D1317" s="34" t="s">
        <v>39</v>
      </c>
      <c r="E1317" s="32" t="s">
        <v>328</v>
      </c>
      <c r="F1317" s="34" t="s">
        <v>31</v>
      </c>
      <c r="G1317" s="34" t="s">
        <v>322</v>
      </c>
      <c r="H1317" s="35" t="s">
        <v>26</v>
      </c>
      <c r="I1317" s="57"/>
      <c r="J1317" s="57"/>
      <c r="K1317" s="57"/>
      <c r="L1317" s="84"/>
    </row>
    <row r="1318">
      <c r="A1318" s="32" t="s">
        <v>3644</v>
      </c>
      <c r="B1318" s="32" t="s">
        <v>3645</v>
      </c>
      <c r="C1318" s="33">
        <v>45825.0</v>
      </c>
      <c r="D1318" s="47" t="s">
        <v>39</v>
      </c>
      <c r="E1318" s="32" t="s">
        <v>3646</v>
      </c>
      <c r="F1318" s="34" t="s">
        <v>53</v>
      </c>
      <c r="G1318" s="34" t="s">
        <v>1808</v>
      </c>
      <c r="H1318" s="35" t="s">
        <v>26</v>
      </c>
      <c r="I1318" s="36" t="str">
        <f>HYPERLINK("https://open.spotify.com/album/1jdJKZ4vYwbi5B4eCttRFQ", "S")</f>
        <v>S</v>
      </c>
      <c r="J1318" s="57"/>
      <c r="K1318" s="57"/>
      <c r="L1318" s="84"/>
    </row>
    <row r="1319">
      <c r="A1319" s="32" t="s">
        <v>3647</v>
      </c>
      <c r="B1319" s="32" t="s">
        <v>3648</v>
      </c>
      <c r="C1319" s="33">
        <v>45826.0</v>
      </c>
      <c r="D1319" s="34" t="s">
        <v>39</v>
      </c>
      <c r="E1319" s="32" t="s">
        <v>263</v>
      </c>
      <c r="F1319" s="34" t="s">
        <v>24</v>
      </c>
      <c r="G1319" s="34" t="s">
        <v>3649</v>
      </c>
      <c r="H1319" s="35" t="s">
        <v>26</v>
      </c>
      <c r="I1319" s="57"/>
      <c r="J1319" s="57"/>
      <c r="K1319" s="57"/>
      <c r="L1319" s="84"/>
    </row>
    <row r="1320">
      <c r="A1320" s="32" t="s">
        <v>3650</v>
      </c>
      <c r="B1320" s="32" t="s">
        <v>3651</v>
      </c>
      <c r="C1320" s="33">
        <v>45827.0</v>
      </c>
      <c r="D1320" s="34" t="s">
        <v>22</v>
      </c>
      <c r="E1320" s="32" t="s">
        <v>122</v>
      </c>
      <c r="F1320" s="34" t="s">
        <v>53</v>
      </c>
      <c r="G1320" s="34" t="s">
        <v>3652</v>
      </c>
      <c r="H1320" s="35" t="s">
        <v>26</v>
      </c>
      <c r="I1320" s="36" t="str">
        <f>HYPERLINK("https://open.spotify.com/album/5u6giqEp6JhR6KTdsWvNNH", "S")</f>
        <v>S</v>
      </c>
      <c r="J1320" s="57"/>
      <c r="K1320" s="57"/>
      <c r="L1320" s="84"/>
    </row>
    <row r="1321">
      <c r="A1321" s="32" t="s">
        <v>3653</v>
      </c>
      <c r="B1321" s="32" t="s">
        <v>3654</v>
      </c>
      <c r="C1321" s="33">
        <v>45827.0</v>
      </c>
      <c r="D1321" s="47" t="s">
        <v>39</v>
      </c>
      <c r="E1321" s="32" t="s">
        <v>2940</v>
      </c>
      <c r="F1321" s="34" t="s">
        <v>24</v>
      </c>
      <c r="G1321" s="34" t="s">
        <v>3655</v>
      </c>
      <c r="H1321" s="35" t="s">
        <v>26</v>
      </c>
      <c r="I1321" s="35" t="s">
        <v>27</v>
      </c>
      <c r="J1321" s="57"/>
      <c r="K1321" s="57"/>
      <c r="L1321" s="84"/>
    </row>
    <row r="1322">
      <c r="A1322" s="32" t="s">
        <v>3656</v>
      </c>
      <c r="B1322" s="32" t="s">
        <v>3657</v>
      </c>
      <c r="C1322" s="33">
        <v>45827.0</v>
      </c>
      <c r="D1322" s="34" t="s">
        <v>22</v>
      </c>
      <c r="E1322" s="32" t="s">
        <v>556</v>
      </c>
      <c r="F1322" s="34" t="s">
        <v>156</v>
      </c>
      <c r="G1322" s="34" t="s">
        <v>3658</v>
      </c>
      <c r="H1322" s="35" t="s">
        <v>26</v>
      </c>
      <c r="I1322" s="35" t="s">
        <v>27</v>
      </c>
      <c r="J1322" s="57"/>
      <c r="K1322" s="57"/>
      <c r="L1322" s="84"/>
    </row>
    <row r="1323">
      <c r="A1323" s="32" t="s">
        <v>3659</v>
      </c>
      <c r="B1323" s="32" t="s">
        <v>3660</v>
      </c>
      <c r="C1323" s="33">
        <v>45828.0</v>
      </c>
      <c r="D1323" s="34" t="s">
        <v>39</v>
      </c>
      <c r="E1323" s="32" t="s">
        <v>1444</v>
      </c>
      <c r="F1323" s="34" t="s">
        <v>24</v>
      </c>
      <c r="G1323" s="34" t="s">
        <v>2387</v>
      </c>
      <c r="H1323" s="35" t="s">
        <v>26</v>
      </c>
      <c r="I1323" s="35" t="s">
        <v>27</v>
      </c>
      <c r="J1323" s="57"/>
      <c r="K1323" s="57"/>
      <c r="L1323" s="84"/>
    </row>
    <row r="1324">
      <c r="A1324" s="32" t="s">
        <v>3661</v>
      </c>
      <c r="B1324" s="32" t="s">
        <v>3662</v>
      </c>
      <c r="C1324" s="33">
        <v>45828.0</v>
      </c>
      <c r="D1324" s="34" t="s">
        <v>22</v>
      </c>
      <c r="E1324" s="32" t="s">
        <v>69</v>
      </c>
      <c r="F1324" s="34" t="s">
        <v>53</v>
      </c>
      <c r="G1324" s="34" t="s">
        <v>1147</v>
      </c>
      <c r="H1324" s="35" t="s">
        <v>26</v>
      </c>
      <c r="I1324" s="35" t="s">
        <v>27</v>
      </c>
      <c r="J1324" s="57"/>
      <c r="K1324" s="57"/>
      <c r="L1324" s="84"/>
    </row>
    <row r="1325">
      <c r="A1325" s="32" t="s">
        <v>3663</v>
      </c>
      <c r="B1325" s="32" t="s">
        <v>3664</v>
      </c>
      <c r="C1325" s="33">
        <v>45828.0</v>
      </c>
      <c r="D1325" s="47" t="s">
        <v>22</v>
      </c>
      <c r="E1325" s="32" t="s">
        <v>770</v>
      </c>
      <c r="F1325" s="34" t="s">
        <v>24</v>
      </c>
      <c r="G1325" s="34" t="s">
        <v>712</v>
      </c>
      <c r="H1325" s="35" t="s">
        <v>26</v>
      </c>
      <c r="I1325" s="35" t="s">
        <v>27</v>
      </c>
      <c r="J1325" s="57"/>
      <c r="K1325" s="57"/>
      <c r="L1325" s="84"/>
    </row>
    <row r="1326">
      <c r="A1326" s="32" t="s">
        <v>3665</v>
      </c>
      <c r="B1326" s="32" t="s">
        <v>3666</v>
      </c>
      <c r="C1326" s="33">
        <v>45828.0</v>
      </c>
      <c r="D1326" s="34" t="s">
        <v>22</v>
      </c>
      <c r="E1326" s="32" t="s">
        <v>3667</v>
      </c>
      <c r="F1326" s="34" t="s">
        <v>24</v>
      </c>
      <c r="G1326" s="34" t="s">
        <v>1340</v>
      </c>
      <c r="H1326" s="35" t="s">
        <v>26</v>
      </c>
      <c r="I1326" s="35" t="s">
        <v>27</v>
      </c>
      <c r="J1326" s="57"/>
      <c r="K1326" s="57"/>
      <c r="L1326" s="84"/>
    </row>
    <row r="1327">
      <c r="A1327" s="32" t="s">
        <v>3668</v>
      </c>
      <c r="B1327" s="32" t="s">
        <v>3669</v>
      </c>
      <c r="C1327" s="33">
        <v>45828.0</v>
      </c>
      <c r="D1327" s="34" t="s">
        <v>22</v>
      </c>
      <c r="E1327" s="32" t="s">
        <v>73</v>
      </c>
      <c r="F1327" s="34" t="s">
        <v>24</v>
      </c>
      <c r="G1327" s="34" t="s">
        <v>257</v>
      </c>
      <c r="H1327" s="35" t="s">
        <v>26</v>
      </c>
      <c r="I1327" s="35" t="s">
        <v>27</v>
      </c>
      <c r="J1327" s="57"/>
      <c r="K1327" s="57"/>
      <c r="L1327" s="84"/>
    </row>
    <row r="1328">
      <c r="A1328" s="32" t="s">
        <v>3670</v>
      </c>
      <c r="B1328" s="32" t="s">
        <v>3671</v>
      </c>
      <c r="C1328" s="33">
        <v>45828.0</v>
      </c>
      <c r="D1328" s="34" t="s">
        <v>39</v>
      </c>
      <c r="E1328" s="32" t="s">
        <v>73</v>
      </c>
      <c r="F1328" s="34" t="s">
        <v>24</v>
      </c>
      <c r="G1328" s="34" t="s">
        <v>218</v>
      </c>
      <c r="H1328" s="35" t="s">
        <v>26</v>
      </c>
      <c r="I1328" s="35" t="s">
        <v>27</v>
      </c>
      <c r="J1328" s="57"/>
      <c r="K1328" s="57"/>
      <c r="L1328" s="84"/>
    </row>
    <row r="1329">
      <c r="A1329" s="32" t="s">
        <v>3672</v>
      </c>
      <c r="B1329" s="32" t="s">
        <v>3673</v>
      </c>
      <c r="C1329" s="33">
        <v>45828.0</v>
      </c>
      <c r="D1329" s="34" t="s">
        <v>22</v>
      </c>
      <c r="E1329" s="32" t="s">
        <v>325</v>
      </c>
      <c r="F1329" s="34" t="s">
        <v>156</v>
      </c>
      <c r="G1329" s="34" t="s">
        <v>96</v>
      </c>
      <c r="H1329" s="35" t="s">
        <v>26</v>
      </c>
      <c r="I1329" s="35" t="s">
        <v>27</v>
      </c>
      <c r="J1329" s="57"/>
      <c r="K1329" s="57"/>
      <c r="L1329" s="84"/>
    </row>
    <row r="1330">
      <c r="A1330" s="32" t="s">
        <v>3674</v>
      </c>
      <c r="B1330" s="32" t="s">
        <v>3675</v>
      </c>
      <c r="C1330" s="33">
        <v>45828.0</v>
      </c>
      <c r="D1330" s="34" t="s">
        <v>22</v>
      </c>
      <c r="E1330" s="32" t="s">
        <v>750</v>
      </c>
      <c r="F1330" s="34" t="s">
        <v>53</v>
      </c>
      <c r="G1330" s="34" t="s">
        <v>1070</v>
      </c>
      <c r="H1330" s="35" t="s">
        <v>26</v>
      </c>
      <c r="I1330" s="35" t="s">
        <v>27</v>
      </c>
      <c r="J1330" s="57"/>
      <c r="K1330" s="57"/>
      <c r="L1330" s="84"/>
    </row>
    <row r="1331">
      <c r="A1331" s="32" t="s">
        <v>3676</v>
      </c>
      <c r="B1331" s="32" t="s">
        <v>3677</v>
      </c>
      <c r="C1331" s="33">
        <v>45828.0</v>
      </c>
      <c r="D1331" s="47" t="s">
        <v>22</v>
      </c>
      <c r="E1331" s="32" t="s">
        <v>355</v>
      </c>
      <c r="F1331" s="34" t="s">
        <v>24</v>
      </c>
      <c r="G1331" s="34" t="s">
        <v>1808</v>
      </c>
      <c r="H1331" s="35" t="s">
        <v>26</v>
      </c>
      <c r="I1331" s="35" t="s">
        <v>27</v>
      </c>
      <c r="J1331" s="57"/>
      <c r="K1331" s="57"/>
      <c r="L1331" s="84"/>
    </row>
    <row r="1332">
      <c r="A1332" s="32" t="s">
        <v>3678</v>
      </c>
      <c r="B1332" s="32" t="s">
        <v>3679</v>
      </c>
      <c r="C1332" s="33">
        <v>45828.0</v>
      </c>
      <c r="D1332" s="34" t="s">
        <v>22</v>
      </c>
      <c r="E1332" s="32" t="s">
        <v>473</v>
      </c>
      <c r="F1332" s="34" t="s">
        <v>53</v>
      </c>
      <c r="G1332" s="34" t="s">
        <v>3680</v>
      </c>
      <c r="H1332" s="35" t="s">
        <v>26</v>
      </c>
      <c r="I1332" s="35" t="s">
        <v>27</v>
      </c>
      <c r="J1332" s="35" t="s">
        <v>100</v>
      </c>
      <c r="K1332" s="57"/>
      <c r="L1332" s="84"/>
    </row>
    <row r="1333">
      <c r="A1333" s="32" t="s">
        <v>3681</v>
      </c>
      <c r="B1333" s="32" t="s">
        <v>3682</v>
      </c>
      <c r="C1333" s="33">
        <v>45828.0</v>
      </c>
      <c r="D1333" s="34" t="s">
        <v>22</v>
      </c>
      <c r="E1333" s="32" t="s">
        <v>3683</v>
      </c>
      <c r="F1333" s="34" t="s">
        <v>53</v>
      </c>
      <c r="G1333" s="34" t="s">
        <v>202</v>
      </c>
      <c r="H1333" s="35" t="s">
        <v>26</v>
      </c>
      <c r="I1333" s="35" t="s">
        <v>27</v>
      </c>
      <c r="J1333" s="57"/>
      <c r="K1333" s="57"/>
      <c r="L1333" s="84"/>
    </row>
    <row r="1334">
      <c r="A1334" s="32" t="s">
        <v>3684</v>
      </c>
      <c r="B1334" s="32" t="s">
        <v>3685</v>
      </c>
      <c r="C1334" s="33">
        <v>45828.0</v>
      </c>
      <c r="D1334" s="34" t="s">
        <v>22</v>
      </c>
      <c r="E1334" s="32" t="s">
        <v>44</v>
      </c>
      <c r="F1334" s="34" t="s">
        <v>24</v>
      </c>
      <c r="G1334" s="34" t="s">
        <v>3686</v>
      </c>
      <c r="H1334" s="35" t="s">
        <v>26</v>
      </c>
      <c r="I1334" s="35" t="s">
        <v>27</v>
      </c>
      <c r="J1334" s="57"/>
      <c r="K1334" s="57"/>
      <c r="L1334" s="84"/>
    </row>
    <row r="1335">
      <c r="A1335" s="32" t="s">
        <v>3687</v>
      </c>
      <c r="B1335" s="32" t="s">
        <v>3688</v>
      </c>
      <c r="C1335" s="33">
        <v>45828.0</v>
      </c>
      <c r="D1335" s="34" t="s">
        <v>22</v>
      </c>
      <c r="E1335" s="32" t="s">
        <v>1138</v>
      </c>
      <c r="F1335" s="34" t="s">
        <v>24</v>
      </c>
      <c r="G1335" s="34" t="s">
        <v>177</v>
      </c>
      <c r="H1335" s="35" t="s">
        <v>26</v>
      </c>
      <c r="I1335" s="35" t="s">
        <v>27</v>
      </c>
      <c r="J1335" s="35" t="s">
        <v>100</v>
      </c>
      <c r="K1335" s="57"/>
      <c r="L1335" s="84"/>
    </row>
    <row r="1336">
      <c r="A1336" s="32" t="s">
        <v>3689</v>
      </c>
      <c r="B1336" s="32" t="s">
        <v>3690</v>
      </c>
      <c r="C1336" s="33">
        <v>45828.0</v>
      </c>
      <c r="D1336" s="34" t="s">
        <v>22</v>
      </c>
      <c r="E1336" s="32" t="s">
        <v>2215</v>
      </c>
      <c r="F1336" s="34" t="s">
        <v>24</v>
      </c>
      <c r="G1336" s="34" t="s">
        <v>1098</v>
      </c>
      <c r="H1336" s="35" t="s">
        <v>26</v>
      </c>
      <c r="I1336" s="35" t="s">
        <v>27</v>
      </c>
      <c r="J1336" s="35" t="s">
        <v>100</v>
      </c>
      <c r="K1336" s="57"/>
      <c r="L1336" s="84"/>
    </row>
    <row r="1337">
      <c r="A1337" s="32" t="s">
        <v>3691</v>
      </c>
      <c r="B1337" s="32" t="s">
        <v>3692</v>
      </c>
      <c r="C1337" s="33">
        <v>45828.0</v>
      </c>
      <c r="D1337" s="34" t="s">
        <v>22</v>
      </c>
      <c r="E1337" s="32" t="s">
        <v>2265</v>
      </c>
      <c r="F1337" s="34" t="s">
        <v>156</v>
      </c>
      <c r="G1337" s="34" t="s">
        <v>442</v>
      </c>
      <c r="H1337" s="35" t="s">
        <v>26</v>
      </c>
      <c r="I1337" s="35" t="s">
        <v>27</v>
      </c>
      <c r="J1337" s="57"/>
      <c r="K1337" s="57"/>
      <c r="L1337" s="84"/>
    </row>
    <row r="1338">
      <c r="A1338" s="32" t="s">
        <v>3693</v>
      </c>
      <c r="B1338" s="32" t="s">
        <v>3694</v>
      </c>
      <c r="C1338" s="33">
        <v>45828.0</v>
      </c>
      <c r="D1338" s="34" t="s">
        <v>22</v>
      </c>
      <c r="E1338" s="32" t="s">
        <v>3695</v>
      </c>
      <c r="F1338" s="34" t="s">
        <v>53</v>
      </c>
      <c r="G1338" s="34" t="s">
        <v>3696</v>
      </c>
      <c r="H1338" s="35" t="s">
        <v>26</v>
      </c>
      <c r="I1338" s="35" t="s">
        <v>27</v>
      </c>
      <c r="J1338" s="57"/>
      <c r="K1338" s="57"/>
      <c r="L1338" s="84"/>
    </row>
    <row r="1339">
      <c r="A1339" s="32" t="s">
        <v>3697</v>
      </c>
      <c r="B1339" s="32" t="s">
        <v>3698</v>
      </c>
      <c r="C1339" s="33">
        <v>45828.0</v>
      </c>
      <c r="D1339" s="34" t="s">
        <v>22</v>
      </c>
      <c r="E1339" s="32" t="s">
        <v>73</v>
      </c>
      <c r="F1339" s="34" t="s">
        <v>24</v>
      </c>
      <c r="G1339" s="34" t="s">
        <v>199</v>
      </c>
      <c r="H1339" s="35" t="s">
        <v>26</v>
      </c>
      <c r="I1339" s="35" t="s">
        <v>27</v>
      </c>
      <c r="J1339" s="35" t="s">
        <v>100</v>
      </c>
      <c r="K1339" s="57"/>
      <c r="L1339" s="84"/>
    </row>
    <row r="1340">
      <c r="A1340" s="32" t="s">
        <v>3699</v>
      </c>
      <c r="B1340" s="32" t="s">
        <v>3700</v>
      </c>
      <c r="C1340" s="33">
        <v>45828.0</v>
      </c>
      <c r="D1340" s="34" t="s">
        <v>22</v>
      </c>
      <c r="E1340" s="32" t="s">
        <v>3701</v>
      </c>
      <c r="F1340" s="34" t="s">
        <v>24</v>
      </c>
      <c r="G1340" s="34" t="s">
        <v>3702</v>
      </c>
      <c r="H1340" s="35" t="s">
        <v>26</v>
      </c>
      <c r="I1340" s="35" t="s">
        <v>27</v>
      </c>
      <c r="J1340" s="57"/>
      <c r="K1340" s="57"/>
      <c r="L1340" s="84"/>
    </row>
    <row r="1341">
      <c r="A1341" s="32" t="s">
        <v>3703</v>
      </c>
      <c r="B1341" s="32" t="s">
        <v>3704</v>
      </c>
      <c r="C1341" s="33">
        <v>45828.0</v>
      </c>
      <c r="D1341" s="34" t="s">
        <v>22</v>
      </c>
      <c r="E1341" s="32" t="s">
        <v>3705</v>
      </c>
      <c r="F1341" s="34" t="s">
        <v>156</v>
      </c>
      <c r="G1341" s="34" t="s">
        <v>70</v>
      </c>
      <c r="H1341" s="35" t="s">
        <v>26</v>
      </c>
      <c r="I1341" s="58" t="str">
        <f>HYPERLINK("https://open.spotify.com/album/4rddU9l421XyMPlx3H4o2J", "S")</f>
        <v>S</v>
      </c>
      <c r="J1341" s="57"/>
      <c r="K1341" s="57"/>
      <c r="L1341" s="84"/>
    </row>
    <row r="1342">
      <c r="A1342" s="32" t="s">
        <v>3706</v>
      </c>
      <c r="B1342" s="32" t="s">
        <v>3707</v>
      </c>
      <c r="C1342" s="33">
        <v>45828.0</v>
      </c>
      <c r="D1342" s="34" t="s">
        <v>22</v>
      </c>
      <c r="E1342" s="32" t="s">
        <v>3708</v>
      </c>
      <c r="F1342" s="34" t="s">
        <v>24</v>
      </c>
      <c r="G1342" s="34" t="s">
        <v>2472</v>
      </c>
      <c r="H1342" s="35" t="s">
        <v>26</v>
      </c>
      <c r="I1342" s="35" t="s">
        <v>27</v>
      </c>
      <c r="J1342" s="57"/>
      <c r="K1342" s="57"/>
      <c r="L1342" s="84"/>
    </row>
    <row r="1343">
      <c r="A1343" s="32" t="s">
        <v>3709</v>
      </c>
      <c r="B1343" s="32" t="s">
        <v>3710</v>
      </c>
      <c r="C1343" s="33">
        <v>45828.0</v>
      </c>
      <c r="D1343" s="34" t="s">
        <v>22</v>
      </c>
      <c r="E1343" s="32" t="s">
        <v>3711</v>
      </c>
      <c r="F1343" s="34" t="s">
        <v>24</v>
      </c>
      <c r="G1343" s="34" t="s">
        <v>3712</v>
      </c>
      <c r="H1343" s="35" t="s">
        <v>26</v>
      </c>
      <c r="I1343" s="35" t="s">
        <v>27</v>
      </c>
      <c r="J1343" s="57"/>
      <c r="K1343" s="57"/>
      <c r="L1343" s="84"/>
    </row>
    <row r="1344">
      <c r="A1344" s="32" t="s">
        <v>3713</v>
      </c>
      <c r="B1344" s="32" t="s">
        <v>3714</v>
      </c>
      <c r="C1344" s="33">
        <v>45828.0</v>
      </c>
      <c r="D1344" s="47" t="s">
        <v>22</v>
      </c>
      <c r="E1344" s="32" t="s">
        <v>335</v>
      </c>
      <c r="F1344" s="34" t="s">
        <v>24</v>
      </c>
      <c r="G1344" s="34" t="s">
        <v>2212</v>
      </c>
      <c r="H1344" s="35" t="s">
        <v>26</v>
      </c>
      <c r="I1344" s="35" t="s">
        <v>27</v>
      </c>
      <c r="J1344" s="57"/>
      <c r="K1344" s="57"/>
      <c r="L1344" s="84"/>
    </row>
    <row r="1345">
      <c r="A1345" s="32" t="s">
        <v>3715</v>
      </c>
      <c r="B1345" s="32" t="s">
        <v>3716</v>
      </c>
      <c r="C1345" s="33">
        <v>45828.0</v>
      </c>
      <c r="D1345" s="34" t="s">
        <v>22</v>
      </c>
      <c r="E1345" s="32" t="s">
        <v>3006</v>
      </c>
      <c r="F1345" s="34" t="s">
        <v>24</v>
      </c>
      <c r="G1345" s="34" t="s">
        <v>225</v>
      </c>
      <c r="H1345" s="35" t="s">
        <v>26</v>
      </c>
      <c r="I1345" s="35" t="s">
        <v>27</v>
      </c>
      <c r="J1345" s="57"/>
      <c r="K1345" s="57"/>
      <c r="L1345" s="84"/>
    </row>
    <row r="1346">
      <c r="A1346" s="32" t="s">
        <v>3717</v>
      </c>
      <c r="B1346" s="32" t="s">
        <v>3718</v>
      </c>
      <c r="C1346" s="33">
        <v>45828.0</v>
      </c>
      <c r="D1346" s="34" t="s">
        <v>22</v>
      </c>
      <c r="E1346" s="32" t="s">
        <v>3719</v>
      </c>
      <c r="F1346" s="34" t="s">
        <v>156</v>
      </c>
      <c r="G1346" s="34" t="s">
        <v>892</v>
      </c>
      <c r="H1346" s="35" t="s">
        <v>26</v>
      </c>
      <c r="I1346" s="35" t="s">
        <v>27</v>
      </c>
      <c r="J1346" s="57"/>
      <c r="K1346" s="57"/>
      <c r="L1346" s="84"/>
    </row>
    <row r="1347">
      <c r="A1347" s="32" t="s">
        <v>3720</v>
      </c>
      <c r="B1347" s="32" t="s">
        <v>3721</v>
      </c>
      <c r="C1347" s="33">
        <v>45828.0</v>
      </c>
      <c r="D1347" s="47" t="s">
        <v>39</v>
      </c>
      <c r="E1347" s="32" t="s">
        <v>3722</v>
      </c>
      <c r="F1347" s="34" t="s">
        <v>53</v>
      </c>
      <c r="G1347" s="34" t="s">
        <v>253</v>
      </c>
      <c r="H1347" s="35" t="s">
        <v>26</v>
      </c>
      <c r="I1347" s="35" t="s">
        <v>27</v>
      </c>
      <c r="J1347" s="57"/>
      <c r="K1347" s="57"/>
      <c r="L1347" s="84"/>
    </row>
    <row r="1348">
      <c r="A1348" s="32" t="s">
        <v>3723</v>
      </c>
      <c r="B1348" s="32" t="s">
        <v>3724</v>
      </c>
      <c r="C1348" s="33">
        <v>45828.0</v>
      </c>
      <c r="D1348" s="34" t="s">
        <v>39</v>
      </c>
      <c r="E1348" s="32" t="s">
        <v>73</v>
      </c>
      <c r="F1348" s="34" t="s">
        <v>24</v>
      </c>
      <c r="G1348" s="34" t="s">
        <v>712</v>
      </c>
      <c r="H1348" s="35" t="s">
        <v>26</v>
      </c>
      <c r="I1348" s="57"/>
      <c r="J1348" s="57"/>
      <c r="K1348" s="57"/>
      <c r="L1348" s="84"/>
    </row>
    <row r="1349">
      <c r="A1349" s="32" t="s">
        <v>3725</v>
      </c>
      <c r="B1349" s="32" t="s">
        <v>3726</v>
      </c>
      <c r="C1349" s="33">
        <v>45828.0</v>
      </c>
      <c r="D1349" s="34" t="s">
        <v>39</v>
      </c>
      <c r="E1349" s="32" t="s">
        <v>73</v>
      </c>
      <c r="F1349" s="34" t="s">
        <v>24</v>
      </c>
      <c r="G1349" s="34" t="s">
        <v>41</v>
      </c>
      <c r="H1349" s="35" t="s">
        <v>26</v>
      </c>
      <c r="I1349" s="35" t="s">
        <v>27</v>
      </c>
      <c r="J1349" s="57"/>
      <c r="K1349" s="57"/>
      <c r="L1349" s="84"/>
    </row>
    <row r="1350">
      <c r="A1350" s="32" t="s">
        <v>3727</v>
      </c>
      <c r="B1350" s="32" t="s">
        <v>3728</v>
      </c>
      <c r="C1350" s="33">
        <v>45828.0</v>
      </c>
      <c r="D1350" s="34" t="s">
        <v>22</v>
      </c>
      <c r="E1350" s="32" t="s">
        <v>745</v>
      </c>
      <c r="F1350" s="34" t="s">
        <v>24</v>
      </c>
      <c r="G1350" s="34" t="s">
        <v>1683</v>
      </c>
      <c r="H1350" s="35" t="s">
        <v>26</v>
      </c>
      <c r="I1350" s="35" t="s">
        <v>27</v>
      </c>
      <c r="J1350" s="57"/>
      <c r="K1350" s="57"/>
      <c r="L1350" s="84"/>
    </row>
    <row r="1351">
      <c r="A1351" s="32" t="s">
        <v>3729</v>
      </c>
      <c r="B1351" s="32" t="s">
        <v>3730</v>
      </c>
      <c r="C1351" s="33">
        <v>45828.0</v>
      </c>
      <c r="D1351" s="69" t="s">
        <v>22</v>
      </c>
      <c r="E1351" s="32" t="s">
        <v>2099</v>
      </c>
      <c r="F1351" s="34" t="s">
        <v>53</v>
      </c>
      <c r="G1351" s="34" t="s">
        <v>3731</v>
      </c>
      <c r="H1351" s="35" t="s">
        <v>26</v>
      </c>
      <c r="I1351" s="66"/>
      <c r="J1351" s="57"/>
      <c r="K1351" s="57"/>
      <c r="L1351" s="84"/>
    </row>
    <row r="1352">
      <c r="A1352" s="32" t="s">
        <v>3732</v>
      </c>
      <c r="B1352" s="32" t="s">
        <v>3733</v>
      </c>
      <c r="C1352" s="33">
        <v>45828.0</v>
      </c>
      <c r="D1352" s="47" t="s">
        <v>39</v>
      </c>
      <c r="E1352" s="32" t="s">
        <v>73</v>
      </c>
      <c r="F1352" s="34" t="s">
        <v>24</v>
      </c>
      <c r="G1352" s="34" t="s">
        <v>605</v>
      </c>
      <c r="H1352" s="35" t="s">
        <v>26</v>
      </c>
      <c r="I1352" s="36" t="str">
        <f>HYPERLINK("https://open.spotify.com/album/6yissWBIkSiR3flMDz7sZo", "S")</f>
        <v>S</v>
      </c>
      <c r="J1352" s="57"/>
      <c r="K1352" s="57"/>
      <c r="L1352" s="84"/>
    </row>
    <row r="1353">
      <c r="A1353" s="32" t="s">
        <v>3734</v>
      </c>
      <c r="B1353" s="32" t="s">
        <v>3735</v>
      </c>
      <c r="C1353" s="33">
        <v>45828.0</v>
      </c>
      <c r="D1353" s="34" t="s">
        <v>39</v>
      </c>
      <c r="E1353" s="32" t="s">
        <v>160</v>
      </c>
      <c r="F1353" s="34" t="s">
        <v>24</v>
      </c>
      <c r="G1353" s="34" t="s">
        <v>225</v>
      </c>
      <c r="H1353" s="66"/>
      <c r="I1353" s="35" t="s">
        <v>27</v>
      </c>
      <c r="J1353" s="57"/>
      <c r="K1353" s="57"/>
      <c r="L1353" s="84"/>
    </row>
    <row r="1354">
      <c r="A1354" s="32" t="s">
        <v>3736</v>
      </c>
      <c r="B1354" s="32" t="s">
        <v>3737</v>
      </c>
      <c r="C1354" s="33">
        <v>45829.0</v>
      </c>
      <c r="D1354" s="34" t="s">
        <v>22</v>
      </c>
      <c r="E1354" s="32" t="s">
        <v>122</v>
      </c>
      <c r="F1354" s="34" t="s">
        <v>156</v>
      </c>
      <c r="G1354" s="34" t="s">
        <v>32</v>
      </c>
      <c r="H1354" s="35" t="s">
        <v>26</v>
      </c>
      <c r="I1354" s="35" t="s">
        <v>27</v>
      </c>
      <c r="J1354" s="57"/>
      <c r="K1354" s="57"/>
      <c r="L1354" s="84"/>
    </row>
    <row r="1355">
      <c r="A1355" s="32" t="s">
        <v>3738</v>
      </c>
      <c r="B1355" s="32" t="s">
        <v>3739</v>
      </c>
      <c r="C1355" s="33">
        <v>45829.0</v>
      </c>
      <c r="D1355" s="47" t="s">
        <v>39</v>
      </c>
      <c r="E1355" s="32" t="s">
        <v>945</v>
      </c>
      <c r="F1355" s="34" t="s">
        <v>156</v>
      </c>
      <c r="G1355" s="34" t="s">
        <v>670</v>
      </c>
      <c r="H1355" s="35" t="s">
        <v>26</v>
      </c>
      <c r="I1355" s="57"/>
      <c r="J1355" s="57"/>
      <c r="K1355" s="57"/>
      <c r="L1355" s="84"/>
    </row>
    <row r="1356">
      <c r="A1356" s="32" t="s">
        <v>3740</v>
      </c>
      <c r="B1356" s="32" t="s">
        <v>3741</v>
      </c>
      <c r="C1356" s="33">
        <v>45829.0</v>
      </c>
      <c r="D1356" s="34" t="s">
        <v>22</v>
      </c>
      <c r="E1356" s="32" t="s">
        <v>61</v>
      </c>
      <c r="F1356" s="34" t="s">
        <v>24</v>
      </c>
      <c r="G1356" s="34" t="s">
        <v>3742</v>
      </c>
      <c r="H1356" s="35" t="s">
        <v>26</v>
      </c>
      <c r="I1356" s="36" t="str">
        <f>HYPERLINK("https://open.spotify.com/album/5fkyQPlh49vM5eMtj1JpqA", "S")</f>
        <v>S</v>
      </c>
      <c r="J1356" s="57"/>
      <c r="K1356" s="57"/>
      <c r="L1356" s="84"/>
    </row>
    <row r="1357">
      <c r="A1357" s="32" t="s">
        <v>3743</v>
      </c>
      <c r="B1357" s="32" t="s">
        <v>3744</v>
      </c>
      <c r="C1357" s="33">
        <v>45830.0</v>
      </c>
      <c r="D1357" s="47" t="s">
        <v>22</v>
      </c>
      <c r="E1357" s="32" t="s">
        <v>370</v>
      </c>
      <c r="F1357" s="34" t="s">
        <v>53</v>
      </c>
      <c r="G1357" s="34" t="s">
        <v>442</v>
      </c>
      <c r="H1357" s="35" t="s">
        <v>26</v>
      </c>
      <c r="I1357" s="35" t="s">
        <v>27</v>
      </c>
      <c r="J1357" s="35" t="s">
        <v>100</v>
      </c>
      <c r="K1357" s="57"/>
      <c r="L1357" s="84"/>
    </row>
    <row r="1358">
      <c r="A1358" s="32" t="s">
        <v>3745</v>
      </c>
      <c r="B1358" s="32" t="s">
        <v>3746</v>
      </c>
      <c r="C1358" s="33">
        <v>45831.0</v>
      </c>
      <c r="D1358" s="47" t="s">
        <v>22</v>
      </c>
      <c r="E1358" s="32" t="s">
        <v>3585</v>
      </c>
      <c r="F1358" s="34" t="s">
        <v>24</v>
      </c>
      <c r="G1358" s="34" t="s">
        <v>670</v>
      </c>
      <c r="H1358" s="35" t="s">
        <v>26</v>
      </c>
      <c r="I1358" s="36" t="str">
        <f>HYPERLINK("https://open.spotify.com/album/261kfHqZnnQ4hPQsZ5H1je", "S")</f>
        <v>S</v>
      </c>
      <c r="J1358" s="57"/>
      <c r="K1358" s="57"/>
      <c r="L1358" s="84"/>
    </row>
    <row r="1359">
      <c r="A1359" s="32" t="s">
        <v>3747</v>
      </c>
      <c r="B1359" s="32" t="s">
        <v>3748</v>
      </c>
      <c r="C1359" s="33">
        <v>45831.0</v>
      </c>
      <c r="D1359" s="34" t="s">
        <v>22</v>
      </c>
      <c r="E1359" s="32" t="s">
        <v>1471</v>
      </c>
      <c r="F1359" s="34" t="s">
        <v>156</v>
      </c>
      <c r="G1359" s="34" t="s">
        <v>169</v>
      </c>
      <c r="H1359" s="35" t="s">
        <v>26</v>
      </c>
      <c r="I1359" s="36" t="str">
        <f>HYPERLINK("https://open.spotify.com/album/2KcDTzr3qk1nL5KClxHAUt", "S")</f>
        <v>S</v>
      </c>
      <c r="J1359" s="57"/>
      <c r="K1359" s="57"/>
      <c r="L1359" s="84"/>
    </row>
    <row r="1360">
      <c r="A1360" s="32" t="s">
        <v>3749</v>
      </c>
      <c r="B1360" s="32" t="s">
        <v>3750</v>
      </c>
      <c r="C1360" s="33">
        <v>45832.0</v>
      </c>
      <c r="D1360" s="34" t="s">
        <v>39</v>
      </c>
      <c r="E1360" s="32" t="s">
        <v>2338</v>
      </c>
      <c r="F1360" s="34" t="s">
        <v>53</v>
      </c>
      <c r="G1360" s="34" t="s">
        <v>693</v>
      </c>
      <c r="H1360" s="35" t="s">
        <v>26</v>
      </c>
      <c r="I1360" s="35" t="s">
        <v>27</v>
      </c>
      <c r="J1360" s="57"/>
      <c r="K1360" s="57"/>
      <c r="L1360" s="84"/>
    </row>
    <row r="1361">
      <c r="A1361" s="32" t="s">
        <v>3751</v>
      </c>
      <c r="B1361" s="32" t="s">
        <v>3752</v>
      </c>
      <c r="C1361" s="33">
        <v>45834.0</v>
      </c>
      <c r="D1361" s="34" t="s">
        <v>39</v>
      </c>
      <c r="E1361" s="32" t="s">
        <v>3114</v>
      </c>
      <c r="F1361" s="34" t="s">
        <v>24</v>
      </c>
      <c r="G1361" s="34" t="s">
        <v>54</v>
      </c>
      <c r="H1361" s="35" t="s">
        <v>26</v>
      </c>
      <c r="I1361" s="57"/>
      <c r="J1361" s="57"/>
      <c r="K1361" s="57"/>
      <c r="L1361" s="84"/>
    </row>
    <row r="1362">
      <c r="A1362" s="32" t="s">
        <v>3753</v>
      </c>
      <c r="B1362" s="32" t="s">
        <v>3754</v>
      </c>
      <c r="C1362" s="33">
        <v>45834.0</v>
      </c>
      <c r="D1362" s="69" t="s">
        <v>22</v>
      </c>
      <c r="E1362" s="32" t="s">
        <v>3755</v>
      </c>
      <c r="F1362" s="34" t="s">
        <v>53</v>
      </c>
      <c r="G1362" s="34" t="s">
        <v>3756</v>
      </c>
      <c r="H1362" s="35" t="s">
        <v>26</v>
      </c>
      <c r="I1362" s="35" t="s">
        <v>27</v>
      </c>
      <c r="J1362" s="35" t="s">
        <v>100</v>
      </c>
      <c r="K1362" s="57"/>
      <c r="L1362" s="84"/>
    </row>
    <row r="1363">
      <c r="A1363" s="32" t="s">
        <v>3757</v>
      </c>
      <c r="B1363" s="32" t="s">
        <v>3758</v>
      </c>
      <c r="C1363" s="33">
        <v>45834.0</v>
      </c>
      <c r="D1363" s="34" t="s">
        <v>39</v>
      </c>
      <c r="E1363" s="32" t="s">
        <v>521</v>
      </c>
      <c r="F1363" s="34" t="s">
        <v>24</v>
      </c>
      <c r="G1363" s="34" t="s">
        <v>3277</v>
      </c>
      <c r="H1363" s="35" t="s">
        <v>26</v>
      </c>
      <c r="I1363" s="35" t="s">
        <v>27</v>
      </c>
      <c r="J1363" s="57"/>
      <c r="K1363" s="57"/>
      <c r="L1363" s="84"/>
    </row>
    <row r="1364">
      <c r="A1364" s="32" t="s">
        <v>3759</v>
      </c>
      <c r="B1364" s="32" t="s">
        <v>3760</v>
      </c>
      <c r="C1364" s="33">
        <v>45835.0</v>
      </c>
      <c r="D1364" s="34" t="s">
        <v>39</v>
      </c>
      <c r="E1364" s="32" t="s">
        <v>3761</v>
      </c>
      <c r="F1364" s="34" t="s">
        <v>53</v>
      </c>
      <c r="G1364" s="34" t="s">
        <v>96</v>
      </c>
      <c r="H1364" s="35" t="s">
        <v>26</v>
      </c>
      <c r="I1364" s="35" t="s">
        <v>27</v>
      </c>
      <c r="J1364" s="35" t="s">
        <v>100</v>
      </c>
      <c r="K1364" s="57"/>
      <c r="L1364" s="84"/>
    </row>
    <row r="1365">
      <c r="A1365" s="32" t="s">
        <v>3762</v>
      </c>
      <c r="B1365" s="32" t="s">
        <v>3763</v>
      </c>
      <c r="C1365" s="33">
        <v>45835.0</v>
      </c>
      <c r="D1365" s="34" t="s">
        <v>22</v>
      </c>
      <c r="E1365" s="32" t="s">
        <v>1285</v>
      </c>
      <c r="F1365" s="34" t="s">
        <v>156</v>
      </c>
      <c r="G1365" s="34" t="s">
        <v>199</v>
      </c>
      <c r="H1365" s="35" t="s">
        <v>26</v>
      </c>
      <c r="I1365" s="35" t="s">
        <v>27</v>
      </c>
      <c r="J1365" s="57"/>
      <c r="K1365" s="57"/>
      <c r="L1365" s="84"/>
    </row>
    <row r="1366">
      <c r="A1366" s="32" t="s">
        <v>3764</v>
      </c>
      <c r="B1366" s="32" t="s">
        <v>3765</v>
      </c>
      <c r="C1366" s="33">
        <v>45835.0</v>
      </c>
      <c r="D1366" s="47" t="s">
        <v>22</v>
      </c>
      <c r="E1366" s="32" t="s">
        <v>256</v>
      </c>
      <c r="F1366" s="34" t="s">
        <v>24</v>
      </c>
      <c r="G1366" s="34" t="s">
        <v>2081</v>
      </c>
      <c r="H1366" s="35" t="s">
        <v>26</v>
      </c>
      <c r="I1366" s="35" t="s">
        <v>27</v>
      </c>
      <c r="J1366" s="57"/>
      <c r="K1366" s="57"/>
      <c r="L1366" s="84"/>
    </row>
    <row r="1367">
      <c r="A1367" s="32" t="s">
        <v>3766</v>
      </c>
      <c r="B1367" s="32" t="s">
        <v>3767</v>
      </c>
      <c r="C1367" s="33">
        <v>45835.0</v>
      </c>
      <c r="D1367" s="47" t="s">
        <v>22</v>
      </c>
      <c r="E1367" s="32" t="s">
        <v>1264</v>
      </c>
      <c r="F1367" s="34" t="s">
        <v>156</v>
      </c>
      <c r="G1367" s="34" t="s">
        <v>161</v>
      </c>
      <c r="H1367" s="35" t="s">
        <v>26</v>
      </c>
      <c r="I1367" s="35" t="s">
        <v>27</v>
      </c>
      <c r="J1367" s="57"/>
      <c r="K1367" s="57"/>
      <c r="L1367" s="84"/>
    </row>
    <row r="1368">
      <c r="A1368" s="32" t="s">
        <v>3768</v>
      </c>
      <c r="B1368" s="32" t="s">
        <v>3769</v>
      </c>
      <c r="C1368" s="33">
        <v>45835.0</v>
      </c>
      <c r="D1368" s="34" t="s">
        <v>22</v>
      </c>
      <c r="E1368" s="32" t="s">
        <v>284</v>
      </c>
      <c r="F1368" s="34" t="s">
        <v>24</v>
      </c>
      <c r="G1368" s="34" t="s">
        <v>221</v>
      </c>
      <c r="H1368" s="35" t="s">
        <v>26</v>
      </c>
      <c r="I1368" s="35" t="s">
        <v>27</v>
      </c>
      <c r="J1368" s="57"/>
      <c r="K1368" s="57"/>
      <c r="L1368" s="84"/>
    </row>
    <row r="1369">
      <c r="A1369" s="32" t="s">
        <v>3770</v>
      </c>
      <c r="B1369" s="32" t="s">
        <v>3771</v>
      </c>
      <c r="C1369" s="33">
        <v>45835.0</v>
      </c>
      <c r="D1369" s="34" t="s">
        <v>39</v>
      </c>
      <c r="E1369" s="32" t="s">
        <v>122</v>
      </c>
      <c r="F1369" s="34" t="s">
        <v>31</v>
      </c>
      <c r="G1369" s="34" t="s">
        <v>1213</v>
      </c>
      <c r="H1369" s="35" t="s">
        <v>26</v>
      </c>
      <c r="I1369" s="35" t="s">
        <v>27</v>
      </c>
      <c r="J1369" s="57"/>
      <c r="K1369" s="57"/>
      <c r="L1369" s="84"/>
    </row>
    <row r="1370">
      <c r="A1370" s="32" t="s">
        <v>3772</v>
      </c>
      <c r="B1370" s="32" t="s">
        <v>3773</v>
      </c>
      <c r="C1370" s="33">
        <v>45835.0</v>
      </c>
      <c r="D1370" s="47" t="s">
        <v>39</v>
      </c>
      <c r="E1370" s="32" t="s">
        <v>3774</v>
      </c>
      <c r="F1370" s="34" t="s">
        <v>24</v>
      </c>
      <c r="G1370" s="34" t="s">
        <v>41</v>
      </c>
      <c r="H1370" s="35" t="s">
        <v>26</v>
      </c>
      <c r="I1370" s="35" t="s">
        <v>27</v>
      </c>
      <c r="J1370" s="57"/>
      <c r="K1370" s="57"/>
      <c r="L1370" s="84"/>
    </row>
    <row r="1371">
      <c r="A1371" s="32" t="s">
        <v>3775</v>
      </c>
      <c r="B1371" s="32" t="s">
        <v>3776</v>
      </c>
      <c r="C1371" s="33">
        <v>45835.0</v>
      </c>
      <c r="D1371" s="34" t="s">
        <v>22</v>
      </c>
      <c r="E1371" s="32" t="s">
        <v>3777</v>
      </c>
      <c r="F1371" s="34" t="s">
        <v>53</v>
      </c>
      <c r="G1371" s="34" t="s">
        <v>884</v>
      </c>
      <c r="H1371" s="35" t="s">
        <v>26</v>
      </c>
      <c r="I1371" s="35" t="s">
        <v>27</v>
      </c>
      <c r="J1371" s="57"/>
      <c r="K1371" s="57"/>
      <c r="L1371" s="84"/>
    </row>
    <row r="1372">
      <c r="A1372" s="32" t="s">
        <v>3778</v>
      </c>
      <c r="B1372" s="32" t="s">
        <v>3779</v>
      </c>
      <c r="C1372" s="33">
        <v>45835.0</v>
      </c>
      <c r="D1372" s="34" t="s">
        <v>22</v>
      </c>
      <c r="E1372" s="32" t="s">
        <v>3780</v>
      </c>
      <c r="F1372" s="34" t="s">
        <v>53</v>
      </c>
      <c r="G1372" s="34" t="s">
        <v>202</v>
      </c>
      <c r="H1372" s="35" t="s">
        <v>26</v>
      </c>
      <c r="I1372" s="36" t="str">
        <f>HYPERLINK("https://open.spotify.com/album/3owwg8vhkOjLIhV2RyRy1K", "S")</f>
        <v>S</v>
      </c>
      <c r="J1372" s="57"/>
      <c r="K1372" s="57"/>
      <c r="L1372" s="84"/>
    </row>
    <row r="1373">
      <c r="A1373" s="32" t="s">
        <v>3781</v>
      </c>
      <c r="B1373" s="32" t="s">
        <v>3782</v>
      </c>
      <c r="C1373" s="33">
        <v>45835.0</v>
      </c>
      <c r="D1373" s="34" t="s">
        <v>22</v>
      </c>
      <c r="E1373" s="32" t="s">
        <v>3783</v>
      </c>
      <c r="F1373" s="34" t="s">
        <v>31</v>
      </c>
      <c r="G1373" s="34" t="s">
        <v>892</v>
      </c>
      <c r="H1373" s="35" t="s">
        <v>26</v>
      </c>
      <c r="I1373" s="35" t="s">
        <v>27</v>
      </c>
      <c r="J1373" s="35" t="s">
        <v>100</v>
      </c>
      <c r="K1373" s="57"/>
      <c r="L1373" s="84"/>
    </row>
    <row r="1374">
      <c r="A1374" s="32" t="s">
        <v>3784</v>
      </c>
      <c r="B1374" s="32" t="s">
        <v>3785</v>
      </c>
      <c r="C1374" s="33">
        <v>45835.0</v>
      </c>
      <c r="D1374" s="34" t="s">
        <v>22</v>
      </c>
      <c r="E1374" s="32" t="s">
        <v>3786</v>
      </c>
      <c r="F1374" s="34" t="s">
        <v>24</v>
      </c>
      <c r="G1374" s="34" t="s">
        <v>1673</v>
      </c>
      <c r="H1374" s="35" t="s">
        <v>26</v>
      </c>
      <c r="I1374" s="58" t="str">
        <f>HYPERLINK("https://open.spotify.com/album/2T1gQ4ODig3Oaf7Q0vOeaE", "S")</f>
        <v>S</v>
      </c>
      <c r="J1374" s="57"/>
      <c r="K1374" s="57"/>
      <c r="L1374" s="84"/>
    </row>
    <row r="1375">
      <c r="A1375" s="32" t="s">
        <v>3787</v>
      </c>
      <c r="B1375" s="32" t="s">
        <v>3788</v>
      </c>
      <c r="C1375" s="33">
        <v>45835.0</v>
      </c>
      <c r="D1375" s="47" t="s">
        <v>22</v>
      </c>
      <c r="E1375" s="32" t="s">
        <v>73</v>
      </c>
      <c r="F1375" s="34" t="s">
        <v>24</v>
      </c>
      <c r="G1375" s="34" t="s">
        <v>221</v>
      </c>
      <c r="H1375" s="35" t="s">
        <v>26</v>
      </c>
      <c r="I1375" s="58" t="str">
        <f>HYPERLINK("https://open.spotify.com/album/0dwuub3uY3rDeH1gSEQGLn", "S")</f>
        <v>S</v>
      </c>
      <c r="J1375" s="57"/>
      <c r="K1375" s="57"/>
      <c r="L1375" s="84"/>
    </row>
    <row r="1376">
      <c r="A1376" s="32" t="s">
        <v>3789</v>
      </c>
      <c r="B1376" s="32" t="s">
        <v>3790</v>
      </c>
      <c r="C1376" s="33">
        <v>45835.0</v>
      </c>
      <c r="D1376" s="34" t="s">
        <v>22</v>
      </c>
      <c r="E1376" s="32" t="s">
        <v>98</v>
      </c>
      <c r="F1376" s="34" t="s">
        <v>24</v>
      </c>
      <c r="G1376" s="34" t="s">
        <v>2322</v>
      </c>
      <c r="H1376" s="35" t="s">
        <v>26</v>
      </c>
      <c r="I1376" s="35" t="s">
        <v>27</v>
      </c>
      <c r="J1376" s="57"/>
      <c r="K1376" s="57"/>
      <c r="L1376" s="84"/>
    </row>
    <row r="1377">
      <c r="A1377" s="32" t="s">
        <v>3791</v>
      </c>
      <c r="B1377" s="32" t="s">
        <v>3792</v>
      </c>
      <c r="C1377" s="33">
        <v>45835.0</v>
      </c>
      <c r="D1377" s="34" t="s">
        <v>22</v>
      </c>
      <c r="E1377" s="32" t="s">
        <v>122</v>
      </c>
      <c r="F1377" s="34" t="s">
        <v>156</v>
      </c>
      <c r="G1377" s="34" t="s">
        <v>62</v>
      </c>
      <c r="H1377" s="35" t="s">
        <v>26</v>
      </c>
      <c r="I1377" s="35" t="s">
        <v>27</v>
      </c>
      <c r="J1377" s="35" t="s">
        <v>100</v>
      </c>
      <c r="K1377" s="57"/>
      <c r="L1377" s="84"/>
    </row>
    <row r="1378">
      <c r="A1378" s="32" t="s">
        <v>3793</v>
      </c>
      <c r="B1378" s="32" t="s">
        <v>3794</v>
      </c>
      <c r="C1378" s="33">
        <v>45835.0</v>
      </c>
      <c r="D1378" s="69" t="s">
        <v>22</v>
      </c>
      <c r="E1378" s="32" t="s">
        <v>1444</v>
      </c>
      <c r="F1378" s="34" t="s">
        <v>24</v>
      </c>
      <c r="G1378" s="34" t="s">
        <v>3795</v>
      </c>
      <c r="H1378" s="35" t="s">
        <v>26</v>
      </c>
      <c r="I1378" s="35" t="s">
        <v>27</v>
      </c>
      <c r="J1378" s="57"/>
      <c r="K1378" s="57"/>
      <c r="L1378" s="84"/>
    </row>
    <row r="1379">
      <c r="A1379" s="32" t="s">
        <v>3796</v>
      </c>
      <c r="B1379" s="32" t="s">
        <v>3797</v>
      </c>
      <c r="C1379" s="33">
        <v>45835.0</v>
      </c>
      <c r="D1379" s="34" t="s">
        <v>22</v>
      </c>
      <c r="E1379" s="32" t="s">
        <v>3798</v>
      </c>
      <c r="F1379" s="34" t="s">
        <v>24</v>
      </c>
      <c r="G1379" s="34" t="s">
        <v>1374</v>
      </c>
      <c r="H1379" s="35" t="s">
        <v>26</v>
      </c>
      <c r="I1379" s="35" t="s">
        <v>27</v>
      </c>
      <c r="J1379" s="57"/>
      <c r="K1379" s="57"/>
      <c r="L1379" s="84"/>
    </row>
    <row r="1380">
      <c r="A1380" s="32" t="s">
        <v>3799</v>
      </c>
      <c r="B1380" s="32" t="s">
        <v>3800</v>
      </c>
      <c r="C1380" s="33">
        <v>45835.0</v>
      </c>
      <c r="D1380" s="34" t="s">
        <v>22</v>
      </c>
      <c r="E1380" s="32" t="s">
        <v>989</v>
      </c>
      <c r="F1380" s="34" t="s">
        <v>31</v>
      </c>
      <c r="G1380" s="34" t="s">
        <v>292</v>
      </c>
      <c r="H1380" s="35" t="s">
        <v>26</v>
      </c>
      <c r="I1380" s="34"/>
      <c r="J1380" s="57"/>
      <c r="K1380" s="57"/>
      <c r="L1380" s="84"/>
    </row>
    <row r="1381">
      <c r="A1381" s="32" t="s">
        <v>3801</v>
      </c>
      <c r="B1381" s="32" t="s">
        <v>3802</v>
      </c>
      <c r="C1381" s="33">
        <v>45835.0</v>
      </c>
      <c r="D1381" s="34" t="s">
        <v>22</v>
      </c>
      <c r="E1381" s="32" t="s">
        <v>2762</v>
      </c>
      <c r="F1381" s="34" t="s">
        <v>24</v>
      </c>
      <c r="G1381" s="34" t="s">
        <v>447</v>
      </c>
      <c r="H1381" s="35" t="s">
        <v>26</v>
      </c>
      <c r="I1381" s="35" t="s">
        <v>27</v>
      </c>
      <c r="J1381" s="57"/>
      <c r="K1381" s="57"/>
      <c r="L1381" s="84"/>
    </row>
    <row r="1382">
      <c r="A1382" s="32" t="s">
        <v>3803</v>
      </c>
      <c r="B1382" s="32" t="s">
        <v>3804</v>
      </c>
      <c r="C1382" s="33">
        <v>45835.0</v>
      </c>
      <c r="D1382" s="34" t="s">
        <v>22</v>
      </c>
      <c r="E1382" s="32" t="s">
        <v>3114</v>
      </c>
      <c r="F1382" s="34" t="s">
        <v>24</v>
      </c>
      <c r="G1382" s="34" t="s">
        <v>1673</v>
      </c>
      <c r="H1382" s="35" t="s">
        <v>26</v>
      </c>
      <c r="I1382" s="35" t="s">
        <v>27</v>
      </c>
      <c r="J1382" s="35" t="s">
        <v>100</v>
      </c>
      <c r="K1382" s="57"/>
      <c r="L1382" s="84"/>
    </row>
    <row r="1383">
      <c r="A1383" s="32" t="s">
        <v>3805</v>
      </c>
      <c r="B1383" s="32" t="s">
        <v>3805</v>
      </c>
      <c r="C1383" s="33">
        <v>45835.0</v>
      </c>
      <c r="D1383" s="69" t="s">
        <v>22</v>
      </c>
      <c r="E1383" s="32" t="s">
        <v>3806</v>
      </c>
      <c r="F1383" s="34" t="s">
        <v>156</v>
      </c>
      <c r="G1383" s="34" t="s">
        <v>514</v>
      </c>
      <c r="H1383" s="35" t="s">
        <v>26</v>
      </c>
      <c r="I1383" s="58" t="str">
        <f>HYPERLINK("https://open.spotify.com/album/1U8CDWJHoWbFcCPjDkVWeP", "S")</f>
        <v>S</v>
      </c>
      <c r="J1383" s="57"/>
      <c r="K1383" s="57"/>
      <c r="L1383" s="84"/>
    </row>
    <row r="1384">
      <c r="A1384" s="32" t="s">
        <v>3807</v>
      </c>
      <c r="B1384" s="32" t="s">
        <v>3808</v>
      </c>
      <c r="C1384" s="33">
        <v>45835.0</v>
      </c>
      <c r="D1384" s="34" t="s">
        <v>22</v>
      </c>
      <c r="E1384" s="32" t="s">
        <v>284</v>
      </c>
      <c r="F1384" s="34" t="s">
        <v>24</v>
      </c>
      <c r="G1384" s="34" t="s">
        <v>199</v>
      </c>
      <c r="H1384" s="35" t="s">
        <v>26</v>
      </c>
      <c r="I1384" s="35" t="s">
        <v>27</v>
      </c>
      <c r="J1384" s="57"/>
      <c r="K1384" s="57"/>
      <c r="L1384" s="84"/>
    </row>
    <row r="1385">
      <c r="A1385" s="32" t="s">
        <v>3809</v>
      </c>
      <c r="B1385" s="32" t="s">
        <v>3810</v>
      </c>
      <c r="C1385" s="33">
        <v>45835.0</v>
      </c>
      <c r="D1385" s="34" t="s">
        <v>22</v>
      </c>
      <c r="E1385" s="32" t="s">
        <v>3811</v>
      </c>
      <c r="F1385" s="34" t="s">
        <v>53</v>
      </c>
      <c r="G1385" s="34" t="s">
        <v>199</v>
      </c>
      <c r="H1385" s="35" t="s">
        <v>26</v>
      </c>
      <c r="I1385" s="35" t="s">
        <v>27</v>
      </c>
      <c r="J1385" s="57"/>
      <c r="K1385" s="57"/>
      <c r="L1385" s="84"/>
    </row>
    <row r="1386">
      <c r="A1386" s="32" t="s">
        <v>3812</v>
      </c>
      <c r="B1386" s="32" t="s">
        <v>2877</v>
      </c>
      <c r="C1386" s="33">
        <v>45835.0</v>
      </c>
      <c r="D1386" s="34" t="s">
        <v>22</v>
      </c>
      <c r="E1386" s="32" t="s">
        <v>3813</v>
      </c>
      <c r="F1386" s="34" t="s">
        <v>53</v>
      </c>
      <c r="G1386" s="34" t="s">
        <v>646</v>
      </c>
      <c r="H1386" s="35" t="s">
        <v>26</v>
      </c>
      <c r="I1386" s="35" t="s">
        <v>27</v>
      </c>
      <c r="J1386" s="57"/>
      <c r="K1386" s="57"/>
      <c r="L1386" s="84"/>
    </row>
    <row r="1387">
      <c r="A1387" s="32" t="s">
        <v>3814</v>
      </c>
      <c r="B1387" s="32" t="s">
        <v>3815</v>
      </c>
      <c r="C1387" s="33">
        <v>45835.0</v>
      </c>
      <c r="D1387" s="34" t="s">
        <v>22</v>
      </c>
      <c r="E1387" s="32" t="s">
        <v>613</v>
      </c>
      <c r="F1387" s="34" t="s">
        <v>24</v>
      </c>
      <c r="G1387" s="34" t="s">
        <v>202</v>
      </c>
      <c r="H1387" s="35" t="s">
        <v>26</v>
      </c>
      <c r="I1387" s="35" t="s">
        <v>27</v>
      </c>
      <c r="J1387" s="57"/>
      <c r="K1387" s="57"/>
      <c r="L1387" s="84"/>
    </row>
    <row r="1388">
      <c r="A1388" s="32" t="s">
        <v>3816</v>
      </c>
      <c r="B1388" s="32" t="s">
        <v>3817</v>
      </c>
      <c r="C1388" s="33">
        <v>45835.0</v>
      </c>
      <c r="D1388" s="34" t="s">
        <v>39</v>
      </c>
      <c r="E1388" s="32" t="s">
        <v>61</v>
      </c>
      <c r="F1388" s="34" t="s">
        <v>24</v>
      </c>
      <c r="G1388" s="34" t="s">
        <v>1098</v>
      </c>
      <c r="H1388" s="35" t="s">
        <v>26</v>
      </c>
      <c r="I1388" s="35" t="s">
        <v>27</v>
      </c>
      <c r="J1388" s="35" t="s">
        <v>100</v>
      </c>
      <c r="K1388" s="57"/>
      <c r="L1388" s="84"/>
    </row>
    <row r="1389">
      <c r="A1389" s="32" t="s">
        <v>3818</v>
      </c>
      <c r="B1389" s="32" t="s">
        <v>3819</v>
      </c>
      <c r="C1389" s="33">
        <v>45835.0</v>
      </c>
      <c r="D1389" s="34" t="s">
        <v>22</v>
      </c>
      <c r="E1389" s="32" t="s">
        <v>613</v>
      </c>
      <c r="F1389" s="34" t="s">
        <v>24</v>
      </c>
      <c r="G1389" s="34" t="s">
        <v>3441</v>
      </c>
      <c r="H1389" s="35" t="s">
        <v>26</v>
      </c>
      <c r="I1389" s="35" t="s">
        <v>27</v>
      </c>
      <c r="J1389" s="57"/>
      <c r="K1389" s="57"/>
      <c r="L1389" s="84"/>
    </row>
    <row r="1390">
      <c r="A1390" s="32" t="s">
        <v>3820</v>
      </c>
      <c r="B1390" s="32" t="s">
        <v>3821</v>
      </c>
      <c r="C1390" s="33">
        <v>45835.0</v>
      </c>
      <c r="D1390" s="34" t="s">
        <v>22</v>
      </c>
      <c r="E1390" s="32" t="s">
        <v>1049</v>
      </c>
      <c r="F1390" s="34" t="s">
        <v>24</v>
      </c>
      <c r="G1390" s="34" t="s">
        <v>3822</v>
      </c>
      <c r="H1390" s="35" t="s">
        <v>26</v>
      </c>
      <c r="I1390" s="35" t="s">
        <v>27</v>
      </c>
      <c r="J1390" s="35" t="s">
        <v>100</v>
      </c>
      <c r="K1390" s="57"/>
      <c r="L1390" s="84"/>
    </row>
    <row r="1391">
      <c r="A1391" s="32" t="s">
        <v>3823</v>
      </c>
      <c r="B1391" s="32" t="s">
        <v>3824</v>
      </c>
      <c r="C1391" s="33">
        <v>45835.0</v>
      </c>
      <c r="D1391" s="34" t="s">
        <v>22</v>
      </c>
      <c r="E1391" s="32" t="s">
        <v>355</v>
      </c>
      <c r="F1391" s="34" t="s">
        <v>24</v>
      </c>
      <c r="G1391" s="34" t="s">
        <v>342</v>
      </c>
      <c r="H1391" s="35" t="s">
        <v>26</v>
      </c>
      <c r="I1391" s="35" t="s">
        <v>27</v>
      </c>
      <c r="J1391" s="35" t="s">
        <v>100</v>
      </c>
      <c r="K1391" s="57"/>
      <c r="L1391" s="84"/>
    </row>
    <row r="1392">
      <c r="A1392" s="32" t="s">
        <v>3825</v>
      </c>
      <c r="B1392" s="32" t="s">
        <v>3826</v>
      </c>
      <c r="C1392" s="33">
        <v>45835.0</v>
      </c>
      <c r="D1392" s="34" t="s">
        <v>22</v>
      </c>
      <c r="E1392" s="32" t="s">
        <v>613</v>
      </c>
      <c r="F1392" s="34" t="s">
        <v>24</v>
      </c>
      <c r="G1392" s="34" t="s">
        <v>299</v>
      </c>
      <c r="H1392" s="35" t="s">
        <v>26</v>
      </c>
      <c r="I1392" s="35" t="s">
        <v>27</v>
      </c>
      <c r="J1392" s="35" t="s">
        <v>100</v>
      </c>
      <c r="K1392" s="57"/>
      <c r="L1392" s="84"/>
    </row>
    <row r="1393">
      <c r="A1393" s="32" t="s">
        <v>3827</v>
      </c>
      <c r="B1393" s="32" t="s">
        <v>3828</v>
      </c>
      <c r="C1393" s="33">
        <v>45835.0</v>
      </c>
      <c r="D1393" s="34" t="s">
        <v>22</v>
      </c>
      <c r="E1393" s="32" t="s">
        <v>328</v>
      </c>
      <c r="F1393" s="34" t="s">
        <v>53</v>
      </c>
      <c r="G1393" s="34" t="s">
        <v>442</v>
      </c>
      <c r="H1393" s="35" t="s">
        <v>26</v>
      </c>
      <c r="I1393" s="35" t="s">
        <v>27</v>
      </c>
      <c r="J1393" s="35" t="s">
        <v>100</v>
      </c>
      <c r="K1393" s="57"/>
      <c r="L1393" s="84"/>
    </row>
    <row r="1394">
      <c r="A1394" s="32" t="s">
        <v>3829</v>
      </c>
      <c r="B1394" s="32" t="s">
        <v>3830</v>
      </c>
      <c r="C1394" s="33">
        <v>45835.0</v>
      </c>
      <c r="D1394" s="47" t="s">
        <v>22</v>
      </c>
      <c r="E1394" s="32" t="s">
        <v>184</v>
      </c>
      <c r="F1394" s="34" t="s">
        <v>24</v>
      </c>
      <c r="G1394" s="34" t="s">
        <v>104</v>
      </c>
      <c r="H1394" s="35" t="s">
        <v>26</v>
      </c>
      <c r="I1394" s="35" t="s">
        <v>27</v>
      </c>
      <c r="J1394" s="57"/>
      <c r="K1394" s="57"/>
      <c r="L1394" s="84"/>
    </row>
    <row r="1395">
      <c r="A1395" s="32" t="s">
        <v>3831</v>
      </c>
      <c r="B1395" s="32" t="s">
        <v>1171</v>
      </c>
      <c r="C1395" s="33">
        <v>45835.0</v>
      </c>
      <c r="D1395" s="34" t="s">
        <v>22</v>
      </c>
      <c r="E1395" s="32" t="s">
        <v>176</v>
      </c>
      <c r="F1395" s="34" t="s">
        <v>156</v>
      </c>
      <c r="G1395" s="34" t="s">
        <v>450</v>
      </c>
      <c r="H1395" s="35" t="s">
        <v>26</v>
      </c>
      <c r="I1395" s="35" t="s">
        <v>27</v>
      </c>
      <c r="J1395" s="35" t="s">
        <v>100</v>
      </c>
      <c r="K1395" s="57"/>
      <c r="L1395" s="84"/>
    </row>
    <row r="1396">
      <c r="A1396" s="32" t="s">
        <v>3832</v>
      </c>
      <c r="B1396" s="32" t="s">
        <v>3832</v>
      </c>
      <c r="C1396" s="33">
        <v>45835.0</v>
      </c>
      <c r="D1396" s="47" t="s">
        <v>22</v>
      </c>
      <c r="E1396" s="32" t="s">
        <v>3833</v>
      </c>
      <c r="F1396" s="34" t="s">
        <v>24</v>
      </c>
      <c r="G1396" s="34" t="s">
        <v>213</v>
      </c>
      <c r="H1396" s="35" t="s">
        <v>26</v>
      </c>
      <c r="I1396" s="58" t="str">
        <f>HYPERLINK("https://open.spotify.com/album/7mnjYeMPUAITEgkrHmLCdA", "S")</f>
        <v>S</v>
      </c>
      <c r="J1396" s="57"/>
      <c r="K1396" s="57"/>
      <c r="L1396" s="84"/>
    </row>
    <row r="1397">
      <c r="A1397" s="32" t="s">
        <v>3834</v>
      </c>
      <c r="B1397" s="32" t="s">
        <v>3835</v>
      </c>
      <c r="C1397" s="33">
        <v>45835.0</v>
      </c>
      <c r="D1397" s="34" t="s">
        <v>22</v>
      </c>
      <c r="E1397" s="32" t="s">
        <v>176</v>
      </c>
      <c r="F1397" s="34" t="s">
        <v>53</v>
      </c>
      <c r="G1397" s="34" t="s">
        <v>299</v>
      </c>
      <c r="H1397" s="35" t="s">
        <v>26</v>
      </c>
      <c r="I1397" s="35" t="s">
        <v>27</v>
      </c>
      <c r="J1397" s="35" t="s">
        <v>100</v>
      </c>
      <c r="K1397" s="57"/>
      <c r="L1397" s="84"/>
    </row>
    <row r="1398">
      <c r="A1398" s="32" t="s">
        <v>3836</v>
      </c>
      <c r="B1398" s="32" t="s">
        <v>3837</v>
      </c>
      <c r="C1398" s="33">
        <v>45835.0</v>
      </c>
      <c r="D1398" s="34" t="s">
        <v>22</v>
      </c>
      <c r="E1398" s="32" t="s">
        <v>61</v>
      </c>
      <c r="F1398" s="34" t="s">
        <v>24</v>
      </c>
      <c r="G1398" s="34" t="s">
        <v>510</v>
      </c>
      <c r="H1398" s="35" t="s">
        <v>26</v>
      </c>
      <c r="I1398" s="58" t="str">
        <f>HYPERLINK("https://open.spotify.com/album/13uew483wzKCrLiUKKBT9g", "S")</f>
        <v>S</v>
      </c>
      <c r="J1398" s="57"/>
      <c r="K1398" s="57"/>
      <c r="L1398" s="84"/>
    </row>
    <row r="1399">
      <c r="A1399" s="32" t="s">
        <v>3838</v>
      </c>
      <c r="B1399" s="32" t="s">
        <v>3839</v>
      </c>
      <c r="C1399" s="33">
        <v>45835.0</v>
      </c>
      <c r="D1399" s="34" t="s">
        <v>22</v>
      </c>
      <c r="E1399" s="32" t="s">
        <v>1138</v>
      </c>
      <c r="F1399" s="34" t="s">
        <v>24</v>
      </c>
      <c r="G1399" s="34" t="s">
        <v>3840</v>
      </c>
      <c r="H1399" s="35" t="s">
        <v>26</v>
      </c>
      <c r="I1399" s="34"/>
      <c r="J1399" s="57"/>
      <c r="K1399" s="57"/>
      <c r="L1399" s="84"/>
    </row>
    <row r="1400">
      <c r="A1400" s="32" t="s">
        <v>3841</v>
      </c>
      <c r="B1400" s="32" t="s">
        <v>3842</v>
      </c>
      <c r="C1400" s="33">
        <v>45835.0</v>
      </c>
      <c r="D1400" s="34" t="s">
        <v>22</v>
      </c>
      <c r="E1400" s="32" t="s">
        <v>1073</v>
      </c>
      <c r="F1400" s="34" t="s">
        <v>24</v>
      </c>
      <c r="G1400" s="34" t="s">
        <v>96</v>
      </c>
      <c r="H1400" s="35" t="s">
        <v>26</v>
      </c>
      <c r="I1400" s="35" t="s">
        <v>27</v>
      </c>
      <c r="J1400" s="57"/>
      <c r="K1400" s="57"/>
      <c r="L1400" s="84"/>
    </row>
    <row r="1401">
      <c r="A1401" s="32" t="s">
        <v>3843</v>
      </c>
      <c r="B1401" s="32" t="s">
        <v>3844</v>
      </c>
      <c r="C1401" s="33">
        <v>45835.0</v>
      </c>
      <c r="D1401" s="47" t="s">
        <v>22</v>
      </c>
      <c r="E1401" s="32" t="s">
        <v>3845</v>
      </c>
      <c r="F1401" s="34" t="s">
        <v>24</v>
      </c>
      <c r="G1401" s="34" t="s">
        <v>1127</v>
      </c>
      <c r="H1401" s="35" t="s">
        <v>26</v>
      </c>
      <c r="I1401" s="58" t="str">
        <f>HYPERLINK("https://open.spotify.com/album/6QKAs4rGixZCso53ouyJgq", "S")</f>
        <v>S</v>
      </c>
      <c r="J1401" s="57"/>
      <c r="K1401" s="57"/>
      <c r="L1401" s="84"/>
    </row>
    <row r="1402">
      <c r="A1402" s="32" t="s">
        <v>3846</v>
      </c>
      <c r="B1402" s="32" t="s">
        <v>3847</v>
      </c>
      <c r="C1402" s="33">
        <v>45835.0</v>
      </c>
      <c r="D1402" s="34" t="s">
        <v>22</v>
      </c>
      <c r="E1402" s="32" t="s">
        <v>3848</v>
      </c>
      <c r="F1402" s="34" t="s">
        <v>156</v>
      </c>
      <c r="G1402" s="34" t="s">
        <v>539</v>
      </c>
      <c r="H1402" s="35" t="s">
        <v>26</v>
      </c>
      <c r="I1402" s="35" t="s">
        <v>27</v>
      </c>
      <c r="J1402" s="57"/>
      <c r="K1402" s="57"/>
      <c r="L1402" s="84"/>
    </row>
    <row r="1403">
      <c r="A1403" s="32" t="s">
        <v>3849</v>
      </c>
      <c r="B1403" s="32" t="s">
        <v>3850</v>
      </c>
      <c r="C1403" s="33">
        <v>45835.0</v>
      </c>
      <c r="D1403" s="34" t="s">
        <v>22</v>
      </c>
      <c r="E1403" s="32" t="s">
        <v>1264</v>
      </c>
      <c r="F1403" s="34" t="s">
        <v>156</v>
      </c>
      <c r="G1403" s="34" t="s">
        <v>3851</v>
      </c>
      <c r="H1403" s="35" t="s">
        <v>26</v>
      </c>
      <c r="I1403" s="35" t="s">
        <v>27</v>
      </c>
      <c r="J1403" s="57"/>
      <c r="K1403" s="57"/>
      <c r="L1403" s="84"/>
    </row>
    <row r="1404">
      <c r="A1404" s="32" t="s">
        <v>3852</v>
      </c>
      <c r="B1404" s="32" t="s">
        <v>3853</v>
      </c>
      <c r="C1404" s="33">
        <v>45835.0</v>
      </c>
      <c r="D1404" s="34" t="s">
        <v>22</v>
      </c>
      <c r="E1404" s="32" t="s">
        <v>328</v>
      </c>
      <c r="F1404" s="34" t="s">
        <v>156</v>
      </c>
      <c r="G1404" s="34" t="s">
        <v>3854</v>
      </c>
      <c r="H1404" s="35" t="s">
        <v>26</v>
      </c>
      <c r="I1404" s="35" t="s">
        <v>27</v>
      </c>
      <c r="J1404" s="57"/>
      <c r="K1404" s="57"/>
      <c r="L1404" s="84"/>
    </row>
    <row r="1405">
      <c r="A1405" s="32" t="s">
        <v>3855</v>
      </c>
      <c r="B1405" s="32" t="s">
        <v>3856</v>
      </c>
      <c r="C1405" s="33">
        <v>45835.0</v>
      </c>
      <c r="D1405" s="47" t="s">
        <v>39</v>
      </c>
      <c r="E1405" s="32" t="s">
        <v>122</v>
      </c>
      <c r="F1405" s="34" t="s">
        <v>53</v>
      </c>
      <c r="G1405" s="34" t="s">
        <v>3857</v>
      </c>
      <c r="H1405" s="35" t="s">
        <v>26</v>
      </c>
      <c r="I1405" s="35" t="s">
        <v>27</v>
      </c>
      <c r="J1405" s="35" t="s">
        <v>100</v>
      </c>
      <c r="K1405" s="57"/>
      <c r="L1405" s="84"/>
    </row>
    <row r="1406">
      <c r="A1406" s="32" t="s">
        <v>3858</v>
      </c>
      <c r="B1406" s="32" t="s">
        <v>3859</v>
      </c>
      <c r="C1406" s="33">
        <v>45835.0</v>
      </c>
      <c r="D1406" s="47" t="s">
        <v>22</v>
      </c>
      <c r="E1406" s="32" t="s">
        <v>632</v>
      </c>
      <c r="F1406" s="34" t="s">
        <v>24</v>
      </c>
      <c r="G1406" s="34" t="s">
        <v>1683</v>
      </c>
      <c r="H1406" s="35" t="s">
        <v>26</v>
      </c>
      <c r="I1406" s="35" t="s">
        <v>27</v>
      </c>
      <c r="J1406" s="57"/>
      <c r="K1406" s="57"/>
      <c r="L1406" s="84"/>
    </row>
    <row r="1407">
      <c r="A1407" s="32" t="s">
        <v>3860</v>
      </c>
      <c r="B1407" s="32" t="s">
        <v>3861</v>
      </c>
      <c r="C1407" s="33">
        <v>45836.0</v>
      </c>
      <c r="D1407" s="34" t="s">
        <v>39</v>
      </c>
      <c r="E1407" s="32" t="s">
        <v>61</v>
      </c>
      <c r="F1407" s="34" t="s">
        <v>24</v>
      </c>
      <c r="G1407" s="34" t="s">
        <v>539</v>
      </c>
      <c r="H1407" s="35" t="s">
        <v>26</v>
      </c>
      <c r="I1407" s="36" t="str">
        <f>HYPERLINK("https://open.spotify.com/album/0TFMzFgS1mv6cJVTJmroLT", "S")</f>
        <v>S</v>
      </c>
      <c r="J1407" s="57"/>
      <c r="K1407" s="57"/>
      <c r="L1407" s="84"/>
    </row>
    <row r="1408">
      <c r="A1408" s="32" t="s">
        <v>3862</v>
      </c>
      <c r="B1408" s="32" t="s">
        <v>3863</v>
      </c>
      <c r="C1408" s="33">
        <v>45836.0</v>
      </c>
      <c r="D1408" s="34" t="s">
        <v>39</v>
      </c>
      <c r="E1408" s="32" t="s">
        <v>160</v>
      </c>
      <c r="F1408" s="34" t="s">
        <v>24</v>
      </c>
      <c r="G1408" s="34" t="s">
        <v>1315</v>
      </c>
      <c r="H1408" s="35" t="s">
        <v>26</v>
      </c>
      <c r="I1408" s="35" t="s">
        <v>27</v>
      </c>
      <c r="J1408" s="57"/>
      <c r="K1408" s="57"/>
      <c r="L1408" s="84"/>
    </row>
    <row r="1409">
      <c r="A1409" s="32" t="s">
        <v>3864</v>
      </c>
      <c r="B1409" s="32" t="s">
        <v>3865</v>
      </c>
      <c r="C1409" s="33">
        <v>45838.0</v>
      </c>
      <c r="D1409" s="47" t="s">
        <v>22</v>
      </c>
      <c r="E1409" s="32" t="s">
        <v>3866</v>
      </c>
      <c r="F1409" s="34" t="s">
        <v>53</v>
      </c>
      <c r="G1409" s="34" t="s">
        <v>3372</v>
      </c>
      <c r="H1409" s="35" t="s">
        <v>26</v>
      </c>
      <c r="I1409" s="36" t="str">
        <f>HYPERLINK("https://open.spotify.com/album/47zmFON2NKa0abP3TjNBfO", "S")</f>
        <v>S</v>
      </c>
      <c r="J1409" s="57"/>
      <c r="K1409" s="57"/>
      <c r="L1409" s="84"/>
    </row>
    <row r="1410">
      <c r="A1410" s="32" t="s">
        <v>3867</v>
      </c>
      <c r="B1410" s="32" t="s">
        <v>2235</v>
      </c>
      <c r="C1410" s="33">
        <v>45838.0</v>
      </c>
      <c r="D1410" s="34" t="s">
        <v>22</v>
      </c>
      <c r="E1410" s="32" t="s">
        <v>453</v>
      </c>
      <c r="F1410" s="34" t="s">
        <v>156</v>
      </c>
      <c r="G1410" s="34" t="s">
        <v>199</v>
      </c>
      <c r="H1410" s="35" t="s">
        <v>26</v>
      </c>
      <c r="I1410" s="36" t="str">
        <f>HYPERLINK("https://open.spotify.com/album/6q1CUaR7pMQWyI66h7Rk4l", "S")</f>
        <v>S</v>
      </c>
      <c r="J1410" s="57"/>
      <c r="K1410" s="57"/>
      <c r="L1410" s="84"/>
    </row>
    <row r="1411">
      <c r="A1411" s="32" t="s">
        <v>3868</v>
      </c>
      <c r="B1411" s="32" t="s">
        <v>3869</v>
      </c>
      <c r="C1411" s="33">
        <v>45838.0</v>
      </c>
      <c r="D1411" s="34" t="s">
        <v>22</v>
      </c>
      <c r="E1411" s="32" t="s">
        <v>111</v>
      </c>
      <c r="F1411" s="34" t="s">
        <v>24</v>
      </c>
      <c r="G1411" s="34" t="s">
        <v>423</v>
      </c>
      <c r="H1411" s="35" t="s">
        <v>26</v>
      </c>
      <c r="I1411" s="36" t="str">
        <f>HYPERLINK("https://open.spotify.com/album/2gFIofTxlWxyq2CCONwpXE", "S")</f>
        <v>S</v>
      </c>
      <c r="J1411" s="57"/>
      <c r="K1411" s="57"/>
      <c r="L1411" s="84"/>
    </row>
    <row r="1412">
      <c r="A1412" s="32" t="s">
        <v>931</v>
      </c>
      <c r="B1412" s="32" t="s">
        <v>3870</v>
      </c>
      <c r="C1412" s="33">
        <v>45838.0</v>
      </c>
      <c r="D1412" s="34" t="s">
        <v>22</v>
      </c>
      <c r="E1412" s="32" t="s">
        <v>355</v>
      </c>
      <c r="F1412" s="34" t="s">
        <v>24</v>
      </c>
      <c r="G1412" s="34" t="s">
        <v>933</v>
      </c>
      <c r="H1412" s="35" t="s">
        <v>26</v>
      </c>
      <c r="I1412" s="66"/>
      <c r="J1412" s="57"/>
      <c r="K1412" s="57"/>
      <c r="L1412" s="84"/>
    </row>
    <row r="1413">
      <c r="A1413" s="32" t="s">
        <v>3871</v>
      </c>
      <c r="B1413" s="32" t="s">
        <v>3872</v>
      </c>
      <c r="C1413" s="33">
        <v>45838.0</v>
      </c>
      <c r="D1413" s="34" t="s">
        <v>22</v>
      </c>
      <c r="E1413" s="32" t="s">
        <v>180</v>
      </c>
      <c r="F1413" s="34" t="s">
        <v>24</v>
      </c>
      <c r="G1413" s="34" t="s">
        <v>41</v>
      </c>
      <c r="H1413" s="35" t="s">
        <v>26</v>
      </c>
      <c r="I1413" s="66"/>
      <c r="J1413" s="57"/>
      <c r="K1413" s="57"/>
      <c r="L1413" s="84"/>
    </row>
    <row r="1414">
      <c r="A1414" s="32" t="s">
        <v>3873</v>
      </c>
      <c r="B1414" s="32" t="s">
        <v>3874</v>
      </c>
      <c r="C1414" s="33">
        <v>45839.0</v>
      </c>
      <c r="D1414" s="47" t="s">
        <v>39</v>
      </c>
      <c r="E1414" s="32" t="s">
        <v>770</v>
      </c>
      <c r="F1414" s="34" t="s">
        <v>24</v>
      </c>
      <c r="G1414" s="34" t="s">
        <v>702</v>
      </c>
      <c r="H1414" s="35" t="s">
        <v>26</v>
      </c>
      <c r="I1414" s="35" t="s">
        <v>27</v>
      </c>
      <c r="J1414" s="57"/>
      <c r="K1414" s="57"/>
      <c r="L1414" s="84"/>
    </row>
    <row r="1415">
      <c r="A1415" s="32" t="s">
        <v>3875</v>
      </c>
      <c r="B1415" s="32" t="s">
        <v>3876</v>
      </c>
      <c r="C1415" s="33">
        <v>45840.0</v>
      </c>
      <c r="D1415" s="34" t="s">
        <v>22</v>
      </c>
      <c r="E1415" s="32" t="s">
        <v>3250</v>
      </c>
      <c r="F1415" s="34" t="s">
        <v>31</v>
      </c>
      <c r="G1415" s="34" t="s">
        <v>365</v>
      </c>
      <c r="H1415" s="35" t="s">
        <v>26</v>
      </c>
      <c r="I1415" s="66"/>
      <c r="J1415" s="57"/>
      <c r="K1415" s="57"/>
      <c r="L1415" s="84"/>
    </row>
    <row r="1416">
      <c r="A1416" s="32" t="s">
        <v>3877</v>
      </c>
      <c r="B1416" s="32" t="s">
        <v>3878</v>
      </c>
      <c r="C1416" s="33">
        <v>45841.0</v>
      </c>
      <c r="D1416" s="34" t="s">
        <v>22</v>
      </c>
      <c r="E1416" s="32" t="s">
        <v>436</v>
      </c>
      <c r="F1416" s="34" t="s">
        <v>31</v>
      </c>
      <c r="G1416" s="34" t="s">
        <v>3879</v>
      </c>
      <c r="H1416" s="35" t="s">
        <v>26</v>
      </c>
      <c r="I1416" s="36" t="str">
        <f>HYPERLINK("https://open.spotify.com/album/3YeUKw40mMESOsY14ozCAj", "S")</f>
        <v>S</v>
      </c>
      <c r="J1416" s="57"/>
      <c r="K1416" s="57"/>
      <c r="L1416" s="84"/>
    </row>
    <row r="1417">
      <c r="A1417" s="32" t="s">
        <v>3880</v>
      </c>
      <c r="B1417" s="32" t="s">
        <v>3881</v>
      </c>
      <c r="C1417" s="33">
        <v>45841.0</v>
      </c>
      <c r="D1417" s="47" t="s">
        <v>22</v>
      </c>
      <c r="E1417" s="32" t="s">
        <v>3882</v>
      </c>
      <c r="F1417" s="34" t="s">
        <v>24</v>
      </c>
      <c r="G1417" s="34" t="s">
        <v>41</v>
      </c>
      <c r="H1417" s="35" t="s">
        <v>26</v>
      </c>
      <c r="I1417" s="57"/>
      <c r="J1417" s="57"/>
      <c r="K1417" s="57"/>
      <c r="L1417" s="84"/>
    </row>
    <row r="1418">
      <c r="A1418" s="32" t="s">
        <v>3883</v>
      </c>
      <c r="B1418" s="32" t="s">
        <v>3884</v>
      </c>
      <c r="C1418" s="33">
        <v>45842.0</v>
      </c>
      <c r="D1418" s="34" t="s">
        <v>22</v>
      </c>
      <c r="E1418" s="32" t="s">
        <v>126</v>
      </c>
      <c r="F1418" s="34" t="s">
        <v>53</v>
      </c>
      <c r="G1418" s="34" t="s">
        <v>1835</v>
      </c>
      <c r="H1418" s="35" t="s">
        <v>26</v>
      </c>
      <c r="I1418" s="35" t="s">
        <v>27</v>
      </c>
      <c r="J1418" s="57"/>
      <c r="K1418" s="57"/>
      <c r="L1418" s="84"/>
    </row>
    <row r="1419">
      <c r="A1419" s="32" t="s">
        <v>3885</v>
      </c>
      <c r="B1419" s="32" t="s">
        <v>3886</v>
      </c>
      <c r="C1419" s="33">
        <v>45842.0</v>
      </c>
      <c r="D1419" s="47" t="s">
        <v>22</v>
      </c>
      <c r="E1419" s="32" t="s">
        <v>416</v>
      </c>
      <c r="F1419" s="34" t="s">
        <v>53</v>
      </c>
      <c r="G1419" s="34" t="s">
        <v>627</v>
      </c>
      <c r="H1419" s="35" t="s">
        <v>26</v>
      </c>
      <c r="I1419" s="35" t="s">
        <v>27</v>
      </c>
      <c r="J1419" s="57"/>
      <c r="K1419" s="57"/>
      <c r="L1419" s="84"/>
    </row>
    <row r="1420">
      <c r="A1420" s="32" t="s">
        <v>3887</v>
      </c>
      <c r="B1420" s="32" t="s">
        <v>3888</v>
      </c>
      <c r="C1420" s="33">
        <v>45842.0</v>
      </c>
      <c r="D1420" s="34" t="s">
        <v>22</v>
      </c>
      <c r="E1420" s="32" t="s">
        <v>355</v>
      </c>
      <c r="F1420" s="34" t="s">
        <v>24</v>
      </c>
      <c r="G1420" s="34" t="s">
        <v>1245</v>
      </c>
      <c r="H1420" s="35" t="s">
        <v>26</v>
      </c>
      <c r="I1420" s="35" t="s">
        <v>27</v>
      </c>
      <c r="J1420" s="57"/>
      <c r="K1420" s="57"/>
      <c r="L1420" s="84"/>
    </row>
    <row r="1421">
      <c r="A1421" s="32" t="s">
        <v>3889</v>
      </c>
      <c r="B1421" s="32" t="s">
        <v>3890</v>
      </c>
      <c r="C1421" s="33">
        <v>45842.0</v>
      </c>
      <c r="D1421" s="34" t="s">
        <v>22</v>
      </c>
      <c r="E1421" s="32" t="s">
        <v>1031</v>
      </c>
      <c r="F1421" s="34" t="s">
        <v>156</v>
      </c>
      <c r="G1421" s="34" t="s">
        <v>3891</v>
      </c>
      <c r="H1421" s="35" t="s">
        <v>26</v>
      </c>
      <c r="I1421" s="35" t="s">
        <v>27</v>
      </c>
      <c r="J1421" s="57"/>
      <c r="K1421" s="57"/>
      <c r="L1421" s="84"/>
    </row>
    <row r="1422">
      <c r="A1422" s="32" t="s">
        <v>3892</v>
      </c>
      <c r="B1422" s="32" t="s">
        <v>3893</v>
      </c>
      <c r="C1422" s="33">
        <v>45842.0</v>
      </c>
      <c r="D1422" s="34" t="s">
        <v>22</v>
      </c>
      <c r="E1422" s="32" t="s">
        <v>3894</v>
      </c>
      <c r="F1422" s="34" t="s">
        <v>31</v>
      </c>
      <c r="G1422" s="34" t="s">
        <v>41</v>
      </c>
      <c r="H1422" s="35" t="s">
        <v>26</v>
      </c>
      <c r="I1422" s="35" t="s">
        <v>27</v>
      </c>
      <c r="J1422" s="57"/>
      <c r="K1422" s="57"/>
      <c r="L1422" s="84"/>
    </row>
    <row r="1423">
      <c r="A1423" s="32" t="s">
        <v>3895</v>
      </c>
      <c r="B1423" s="32" t="s">
        <v>3896</v>
      </c>
      <c r="C1423" s="33">
        <v>45842.0</v>
      </c>
      <c r="D1423" s="47" t="s">
        <v>22</v>
      </c>
      <c r="E1423" s="32" t="s">
        <v>2273</v>
      </c>
      <c r="F1423" s="34" t="s">
        <v>24</v>
      </c>
      <c r="G1423" s="34" t="s">
        <v>3897</v>
      </c>
      <c r="H1423" s="35" t="s">
        <v>26</v>
      </c>
      <c r="I1423" s="35" t="s">
        <v>27</v>
      </c>
      <c r="J1423" s="57"/>
      <c r="K1423" s="57"/>
      <c r="L1423" s="84"/>
    </row>
    <row r="1424">
      <c r="A1424" s="32" t="s">
        <v>3898</v>
      </c>
      <c r="B1424" s="32" t="s">
        <v>3899</v>
      </c>
      <c r="C1424" s="33">
        <v>45842.0</v>
      </c>
      <c r="D1424" s="34" t="s">
        <v>39</v>
      </c>
      <c r="E1424" s="32" t="s">
        <v>252</v>
      </c>
      <c r="F1424" s="34" t="s">
        <v>156</v>
      </c>
      <c r="G1424" s="34" t="s">
        <v>2644</v>
      </c>
      <c r="H1424" s="35" t="s">
        <v>26</v>
      </c>
      <c r="I1424" s="35" t="s">
        <v>27</v>
      </c>
      <c r="J1424" s="35" t="s">
        <v>100</v>
      </c>
      <c r="K1424" s="57"/>
      <c r="L1424" s="84"/>
    </row>
    <row r="1425">
      <c r="A1425" s="32" t="s">
        <v>3900</v>
      </c>
      <c r="B1425" s="32" t="s">
        <v>3901</v>
      </c>
      <c r="C1425" s="33">
        <v>45842.0</v>
      </c>
      <c r="D1425" s="34" t="s">
        <v>22</v>
      </c>
      <c r="E1425" s="32" t="s">
        <v>263</v>
      </c>
      <c r="F1425" s="34" t="s">
        <v>24</v>
      </c>
      <c r="G1425" s="34" t="s">
        <v>3902</v>
      </c>
      <c r="H1425" s="35" t="s">
        <v>26</v>
      </c>
      <c r="I1425" s="35" t="s">
        <v>27</v>
      </c>
      <c r="J1425" s="57"/>
      <c r="K1425" s="57"/>
      <c r="L1425" s="84"/>
    </row>
    <row r="1426">
      <c r="A1426" s="32" t="s">
        <v>3903</v>
      </c>
      <c r="B1426" s="32" t="s">
        <v>3904</v>
      </c>
      <c r="C1426" s="33">
        <v>45842.0</v>
      </c>
      <c r="D1426" s="34" t="s">
        <v>22</v>
      </c>
      <c r="E1426" s="32" t="s">
        <v>889</v>
      </c>
      <c r="F1426" s="34" t="s">
        <v>156</v>
      </c>
      <c r="G1426" s="34" t="s">
        <v>892</v>
      </c>
      <c r="H1426" s="35" t="s">
        <v>26</v>
      </c>
      <c r="I1426" s="58" t="str">
        <f>HYPERLINK("https://open.spotify.com/album/2zRdaBuqzYsVVyrjsSdTP5", "S")</f>
        <v>S</v>
      </c>
      <c r="J1426" s="57"/>
      <c r="K1426" s="57"/>
      <c r="L1426" s="84"/>
    </row>
    <row r="1427">
      <c r="A1427" s="32" t="s">
        <v>3905</v>
      </c>
      <c r="B1427" s="32" t="s">
        <v>3906</v>
      </c>
      <c r="C1427" s="33">
        <v>45842.0</v>
      </c>
      <c r="D1427" s="34" t="s">
        <v>22</v>
      </c>
      <c r="E1427" s="32" t="s">
        <v>3907</v>
      </c>
      <c r="F1427" s="34" t="s">
        <v>24</v>
      </c>
      <c r="G1427" s="34" t="s">
        <v>3908</v>
      </c>
      <c r="H1427" s="35" t="s">
        <v>26</v>
      </c>
      <c r="I1427" s="35" t="s">
        <v>27</v>
      </c>
      <c r="J1427" s="57"/>
      <c r="K1427" s="57"/>
      <c r="L1427" s="84"/>
    </row>
    <row r="1428">
      <c r="A1428" s="32" t="s">
        <v>3909</v>
      </c>
      <c r="B1428" s="32" t="s">
        <v>3910</v>
      </c>
      <c r="C1428" s="33">
        <v>45842.0</v>
      </c>
      <c r="D1428" s="34" t="s">
        <v>22</v>
      </c>
      <c r="E1428" s="32" t="s">
        <v>1850</v>
      </c>
      <c r="F1428" s="34" t="s">
        <v>24</v>
      </c>
      <c r="G1428" s="34" t="s">
        <v>3911</v>
      </c>
      <c r="H1428" s="35" t="s">
        <v>26</v>
      </c>
      <c r="I1428" s="58" t="str">
        <f>HYPERLINK("https://open.spotify.com/album/6nHzByu9WE2595cvqUvKQf", "S")</f>
        <v>S</v>
      </c>
      <c r="J1428" s="57"/>
      <c r="K1428" s="57"/>
      <c r="L1428" s="84"/>
    </row>
    <row r="1429">
      <c r="A1429" s="32" t="s">
        <v>3912</v>
      </c>
      <c r="B1429" s="32" t="s">
        <v>3913</v>
      </c>
      <c r="C1429" s="33">
        <v>45842.0</v>
      </c>
      <c r="D1429" s="34" t="s">
        <v>22</v>
      </c>
      <c r="E1429" s="32" t="s">
        <v>61</v>
      </c>
      <c r="F1429" s="34" t="s">
        <v>24</v>
      </c>
      <c r="G1429" s="34" t="s">
        <v>1201</v>
      </c>
      <c r="H1429" s="35" t="s">
        <v>26</v>
      </c>
      <c r="I1429" s="58" t="str">
        <f>HYPERLINK("https://open.spotify.com/album/4eFGRtunSh4TI32G7GyfAQ", "S")</f>
        <v>S</v>
      </c>
      <c r="J1429" s="57"/>
      <c r="K1429" s="57"/>
      <c r="L1429" s="84"/>
    </row>
    <row r="1430">
      <c r="A1430" s="32" t="s">
        <v>3914</v>
      </c>
      <c r="B1430" s="32" t="s">
        <v>3915</v>
      </c>
      <c r="C1430" s="33">
        <v>45842.0</v>
      </c>
      <c r="D1430" s="34" t="s">
        <v>39</v>
      </c>
      <c r="E1430" s="32" t="s">
        <v>1138</v>
      </c>
      <c r="F1430" s="34" t="s">
        <v>24</v>
      </c>
      <c r="G1430" s="34" t="s">
        <v>336</v>
      </c>
      <c r="H1430" s="35" t="s">
        <v>26</v>
      </c>
      <c r="I1430" s="35" t="s">
        <v>27</v>
      </c>
      <c r="J1430" s="57"/>
      <c r="K1430" s="57"/>
      <c r="L1430" s="84"/>
    </row>
    <row r="1431">
      <c r="A1431" s="32" t="s">
        <v>3916</v>
      </c>
      <c r="B1431" s="32" t="s">
        <v>3917</v>
      </c>
      <c r="C1431" s="33">
        <v>45842.0</v>
      </c>
      <c r="D1431" s="34" t="s">
        <v>39</v>
      </c>
      <c r="E1431" s="32" t="s">
        <v>77</v>
      </c>
      <c r="F1431" s="34" t="s">
        <v>53</v>
      </c>
      <c r="G1431" s="34" t="s">
        <v>660</v>
      </c>
      <c r="H1431" s="35" t="s">
        <v>26</v>
      </c>
      <c r="I1431" s="35" t="s">
        <v>27</v>
      </c>
      <c r="J1431" s="57"/>
      <c r="K1431" s="57"/>
      <c r="L1431" s="84"/>
    </row>
    <row r="1432">
      <c r="A1432" s="32" t="s">
        <v>3918</v>
      </c>
      <c r="B1432" s="32" t="s">
        <v>3919</v>
      </c>
      <c r="C1432" s="33">
        <v>45842.0</v>
      </c>
      <c r="D1432" s="34" t="s">
        <v>22</v>
      </c>
      <c r="E1432" s="32" t="s">
        <v>3920</v>
      </c>
      <c r="F1432" s="34" t="s">
        <v>24</v>
      </c>
      <c r="G1432" s="34" t="s">
        <v>1881</v>
      </c>
      <c r="H1432" s="35" t="s">
        <v>26</v>
      </c>
      <c r="I1432" s="34"/>
      <c r="J1432" s="57"/>
      <c r="K1432" s="57"/>
      <c r="L1432" s="84"/>
    </row>
    <row r="1433">
      <c r="A1433" s="32" t="s">
        <v>3921</v>
      </c>
      <c r="B1433" s="32" t="s">
        <v>3922</v>
      </c>
      <c r="C1433" s="33">
        <v>45842.0</v>
      </c>
      <c r="D1433" s="34" t="s">
        <v>39</v>
      </c>
      <c r="E1433" s="32" t="s">
        <v>3923</v>
      </c>
      <c r="F1433" s="34" t="s">
        <v>24</v>
      </c>
      <c r="G1433" s="34" t="s">
        <v>892</v>
      </c>
      <c r="H1433" s="35" t="s">
        <v>26</v>
      </c>
      <c r="I1433" s="35" t="s">
        <v>27</v>
      </c>
      <c r="J1433" s="57"/>
      <c r="K1433" s="57"/>
      <c r="L1433" s="84"/>
    </row>
    <row r="1434">
      <c r="A1434" s="32" t="s">
        <v>2207</v>
      </c>
      <c r="B1434" s="32" t="s">
        <v>3924</v>
      </c>
      <c r="C1434" s="33">
        <v>45842.0</v>
      </c>
      <c r="D1434" s="34" t="s">
        <v>22</v>
      </c>
      <c r="E1434" s="32" t="s">
        <v>44</v>
      </c>
      <c r="F1434" s="34" t="s">
        <v>24</v>
      </c>
      <c r="G1434" s="34" t="s">
        <v>933</v>
      </c>
      <c r="H1434" s="35" t="s">
        <v>26</v>
      </c>
      <c r="I1434" s="36" t="str">
        <f>HYPERLINK("https://open.spotify.com/album/2MptuqX9WGLtc1sVvlUDIW", "S")</f>
        <v>S</v>
      </c>
      <c r="J1434" s="57"/>
      <c r="K1434" s="57"/>
      <c r="L1434" s="84"/>
    </row>
    <row r="1435">
      <c r="A1435" s="32" t="s">
        <v>2207</v>
      </c>
      <c r="B1435" s="32" t="s">
        <v>3925</v>
      </c>
      <c r="C1435" s="33">
        <v>45842.0</v>
      </c>
      <c r="D1435" s="34" t="s">
        <v>22</v>
      </c>
      <c r="E1435" s="32" t="s">
        <v>44</v>
      </c>
      <c r="F1435" s="34" t="s">
        <v>24</v>
      </c>
      <c r="G1435" s="34" t="s">
        <v>933</v>
      </c>
      <c r="H1435" s="35" t="s">
        <v>26</v>
      </c>
      <c r="I1435" s="36" t="str">
        <f>HYPERLINK("https://open.spotify.com/album/754R5T7XTstZinW8Srr2Zi", "S")</f>
        <v>S</v>
      </c>
      <c r="J1435" s="57"/>
      <c r="K1435" s="57"/>
      <c r="L1435" s="84"/>
    </row>
    <row r="1436">
      <c r="A1436" s="32" t="s">
        <v>3926</v>
      </c>
      <c r="B1436" s="32" t="s">
        <v>3927</v>
      </c>
      <c r="C1436" s="33">
        <v>45842.0</v>
      </c>
      <c r="D1436" s="34" t="s">
        <v>22</v>
      </c>
      <c r="E1436" s="32" t="s">
        <v>1519</v>
      </c>
      <c r="F1436" s="34" t="s">
        <v>24</v>
      </c>
      <c r="G1436" s="34" t="s">
        <v>3928</v>
      </c>
      <c r="H1436" s="35" t="s">
        <v>26</v>
      </c>
      <c r="I1436" s="36" t="str">
        <f>HYPERLINK("https://open.spotify.com/album/2haCOFnQGw17Jp5oB41MMt", "S")</f>
        <v>S</v>
      </c>
      <c r="J1436" s="57"/>
      <c r="K1436" s="57"/>
      <c r="L1436" s="84"/>
    </row>
    <row r="1437">
      <c r="A1437" s="32" t="s">
        <v>3929</v>
      </c>
      <c r="B1437" s="32" t="s">
        <v>3930</v>
      </c>
      <c r="C1437" s="33">
        <v>45842.0</v>
      </c>
      <c r="D1437" s="34" t="s">
        <v>22</v>
      </c>
      <c r="E1437" s="32" t="s">
        <v>3931</v>
      </c>
      <c r="F1437" s="34" t="s">
        <v>53</v>
      </c>
      <c r="G1437" s="34" t="s">
        <v>54</v>
      </c>
      <c r="H1437" s="35" t="s">
        <v>26</v>
      </c>
      <c r="I1437" s="35" t="s">
        <v>27</v>
      </c>
      <c r="J1437" s="57"/>
      <c r="K1437" s="57"/>
      <c r="L1437" s="84"/>
    </row>
    <row r="1438">
      <c r="A1438" s="32" t="s">
        <v>3932</v>
      </c>
      <c r="B1438" s="32" t="s">
        <v>3933</v>
      </c>
      <c r="C1438" s="33">
        <v>45842.0</v>
      </c>
      <c r="D1438" s="47" t="s">
        <v>39</v>
      </c>
      <c r="E1438" s="32" t="s">
        <v>122</v>
      </c>
      <c r="F1438" s="34" t="s">
        <v>156</v>
      </c>
      <c r="G1438" s="34" t="s">
        <v>2246</v>
      </c>
      <c r="H1438" s="35" t="s">
        <v>26</v>
      </c>
      <c r="I1438" s="35" t="s">
        <v>27</v>
      </c>
      <c r="J1438" s="57"/>
      <c r="K1438" s="57"/>
      <c r="L1438" s="84"/>
    </row>
    <row r="1439">
      <c r="A1439" s="32" t="s">
        <v>3934</v>
      </c>
      <c r="B1439" s="32" t="s">
        <v>3935</v>
      </c>
      <c r="C1439" s="33">
        <v>45844.0</v>
      </c>
      <c r="D1439" s="47" t="s">
        <v>22</v>
      </c>
      <c r="E1439" s="32" t="s">
        <v>3936</v>
      </c>
      <c r="F1439" s="34" t="s">
        <v>156</v>
      </c>
      <c r="G1439" s="34" t="s">
        <v>693</v>
      </c>
      <c r="H1439" s="35" t="s">
        <v>26</v>
      </c>
      <c r="I1439" s="57"/>
      <c r="J1439" s="57"/>
      <c r="K1439" s="57"/>
      <c r="L1439" s="84"/>
    </row>
    <row r="1440">
      <c r="A1440" s="32" t="s">
        <v>3937</v>
      </c>
      <c r="B1440" s="32" t="s">
        <v>3938</v>
      </c>
      <c r="C1440" s="33">
        <v>45845.0</v>
      </c>
      <c r="D1440" s="34" t="s">
        <v>22</v>
      </c>
      <c r="E1440" s="67" t="s">
        <v>1204</v>
      </c>
      <c r="F1440" s="34" t="s">
        <v>53</v>
      </c>
      <c r="G1440" s="34" t="s">
        <v>1340</v>
      </c>
      <c r="H1440" s="35" t="s">
        <v>26</v>
      </c>
      <c r="I1440" s="57"/>
      <c r="J1440" s="57"/>
      <c r="K1440" s="57"/>
      <c r="L1440" s="84"/>
    </row>
    <row r="1441">
      <c r="A1441" s="32" t="s">
        <v>3939</v>
      </c>
      <c r="B1441" s="32" t="s">
        <v>3940</v>
      </c>
      <c r="C1441" s="33">
        <v>45845.0</v>
      </c>
      <c r="D1441" s="34" t="s">
        <v>22</v>
      </c>
      <c r="E1441" s="32" t="s">
        <v>3941</v>
      </c>
      <c r="F1441" s="34" t="s">
        <v>24</v>
      </c>
      <c r="G1441" s="34" t="s">
        <v>3942</v>
      </c>
      <c r="H1441" s="35" t="s">
        <v>26</v>
      </c>
      <c r="I1441" s="57"/>
      <c r="J1441" s="57"/>
      <c r="K1441" s="57"/>
      <c r="L1441" s="84"/>
    </row>
    <row r="1442">
      <c r="A1442" s="32" t="s">
        <v>3943</v>
      </c>
      <c r="B1442" s="32" t="s">
        <v>3944</v>
      </c>
      <c r="C1442" s="33">
        <v>45845.0</v>
      </c>
      <c r="D1442" s="34" t="s">
        <v>22</v>
      </c>
      <c r="E1442" s="32" t="s">
        <v>3490</v>
      </c>
      <c r="F1442" s="34" t="s">
        <v>156</v>
      </c>
      <c r="G1442" s="34" t="s">
        <v>1797</v>
      </c>
      <c r="H1442" s="35" t="s">
        <v>26</v>
      </c>
      <c r="I1442" s="35" t="s">
        <v>27</v>
      </c>
      <c r="J1442" s="57"/>
      <c r="K1442" s="57"/>
      <c r="L1442" s="84"/>
    </row>
    <row r="1443">
      <c r="A1443" s="32" t="s">
        <v>3945</v>
      </c>
      <c r="B1443" s="32" t="s">
        <v>3946</v>
      </c>
      <c r="C1443" s="33">
        <v>45846.0</v>
      </c>
      <c r="D1443" s="34" t="s">
        <v>22</v>
      </c>
      <c r="E1443" s="32" t="s">
        <v>3947</v>
      </c>
      <c r="F1443" s="34" t="s">
        <v>24</v>
      </c>
      <c r="G1443" s="34" t="s">
        <v>225</v>
      </c>
      <c r="H1443" s="35" t="s">
        <v>26</v>
      </c>
      <c r="I1443" s="36" t="str">
        <f>HYPERLINK("https://open.spotify.com/album/01xtphxOYTZv5WGdJxJBiG", "S")</f>
        <v>S</v>
      </c>
      <c r="J1443" s="57"/>
      <c r="K1443" s="57"/>
      <c r="L1443" s="84"/>
    </row>
    <row r="1444">
      <c r="A1444" s="32" t="s">
        <v>3948</v>
      </c>
      <c r="B1444" s="32" t="s">
        <v>3949</v>
      </c>
      <c r="C1444" s="33">
        <v>45846.0</v>
      </c>
      <c r="D1444" s="34" t="s">
        <v>39</v>
      </c>
      <c r="E1444" s="32" t="s">
        <v>122</v>
      </c>
      <c r="F1444" s="34" t="s">
        <v>53</v>
      </c>
      <c r="G1444" s="34" t="s">
        <v>2053</v>
      </c>
      <c r="H1444" s="35" t="s">
        <v>26</v>
      </c>
      <c r="I1444" s="36" t="str">
        <f>HYPERLINK("https://open.spotify.com/album/6AaHIEAoiY54kwHvyeBbI8", "S")</f>
        <v>S</v>
      </c>
      <c r="J1444" s="57"/>
      <c r="K1444" s="57"/>
      <c r="L1444" s="84"/>
    </row>
    <row r="1445">
      <c r="A1445" s="32" t="s">
        <v>3950</v>
      </c>
      <c r="B1445" s="32" t="s">
        <v>3951</v>
      </c>
      <c r="C1445" s="33">
        <v>45846.0</v>
      </c>
      <c r="D1445" s="34" t="s">
        <v>22</v>
      </c>
      <c r="E1445" s="32" t="s">
        <v>3952</v>
      </c>
      <c r="F1445" s="34" t="s">
        <v>53</v>
      </c>
      <c r="G1445" s="34" t="s">
        <v>41</v>
      </c>
      <c r="H1445" s="35" t="s">
        <v>26</v>
      </c>
      <c r="I1445" s="66"/>
      <c r="J1445" s="57"/>
      <c r="K1445" s="57"/>
      <c r="L1445" s="84"/>
    </row>
    <row r="1446">
      <c r="A1446" s="32" t="s">
        <v>3953</v>
      </c>
      <c r="B1446" s="32" t="s">
        <v>3954</v>
      </c>
      <c r="C1446" s="33">
        <v>45846.0</v>
      </c>
      <c r="D1446" s="47" t="s">
        <v>39</v>
      </c>
      <c r="E1446" s="32" t="s">
        <v>122</v>
      </c>
      <c r="F1446" s="34" t="s">
        <v>53</v>
      </c>
      <c r="G1446" s="34" t="s">
        <v>1667</v>
      </c>
      <c r="H1446" s="35" t="s">
        <v>26</v>
      </c>
      <c r="I1446" s="35" t="s">
        <v>27</v>
      </c>
      <c r="J1446" s="57"/>
      <c r="K1446" s="57"/>
      <c r="L1446" s="84"/>
    </row>
    <row r="1447">
      <c r="A1447" s="32" t="s">
        <v>3955</v>
      </c>
      <c r="B1447" s="32" t="s">
        <v>3956</v>
      </c>
      <c r="C1447" s="33">
        <v>45848.0</v>
      </c>
      <c r="D1447" s="34" t="s">
        <v>39</v>
      </c>
      <c r="E1447" s="32" t="s">
        <v>98</v>
      </c>
      <c r="F1447" s="34" t="s">
        <v>24</v>
      </c>
      <c r="G1447" s="34" t="s">
        <v>365</v>
      </c>
      <c r="H1447" s="35" t="s">
        <v>26</v>
      </c>
      <c r="I1447" s="35" t="s">
        <v>27</v>
      </c>
      <c r="J1447" s="35" t="s">
        <v>100</v>
      </c>
      <c r="K1447" s="57"/>
      <c r="L1447" s="84"/>
    </row>
    <row r="1448">
      <c r="A1448" s="32" t="s">
        <v>3957</v>
      </c>
      <c r="B1448" s="32" t="s">
        <v>3958</v>
      </c>
      <c r="C1448" s="33">
        <v>45848.0</v>
      </c>
      <c r="D1448" s="34" t="s">
        <v>22</v>
      </c>
      <c r="E1448" s="32" t="s">
        <v>1519</v>
      </c>
      <c r="F1448" s="34" t="s">
        <v>24</v>
      </c>
      <c r="G1448" s="34" t="s">
        <v>3731</v>
      </c>
      <c r="H1448" s="35" t="s">
        <v>26</v>
      </c>
      <c r="I1448" s="35" t="s">
        <v>27</v>
      </c>
      <c r="J1448" s="57"/>
      <c r="K1448" s="57"/>
      <c r="L1448" s="84"/>
    </row>
    <row r="1449">
      <c r="A1449" s="32" t="s">
        <v>3959</v>
      </c>
      <c r="B1449" s="32" t="s">
        <v>3960</v>
      </c>
      <c r="C1449" s="33">
        <v>45848.0</v>
      </c>
      <c r="D1449" s="47" t="s">
        <v>22</v>
      </c>
      <c r="E1449" s="32" t="s">
        <v>122</v>
      </c>
      <c r="F1449" s="34" t="s">
        <v>53</v>
      </c>
      <c r="G1449" s="34" t="s">
        <v>670</v>
      </c>
      <c r="H1449" s="35" t="s">
        <v>26</v>
      </c>
      <c r="I1449" s="35" t="s">
        <v>27</v>
      </c>
      <c r="J1449" s="57"/>
      <c r="K1449" s="57"/>
      <c r="L1449" s="84"/>
    </row>
    <row r="1450">
      <c r="A1450" s="32" t="s">
        <v>3961</v>
      </c>
      <c r="B1450" s="32" t="s">
        <v>3962</v>
      </c>
      <c r="C1450" s="33">
        <v>45849.0</v>
      </c>
      <c r="D1450" s="34" t="s">
        <v>39</v>
      </c>
      <c r="E1450" s="32" t="s">
        <v>122</v>
      </c>
      <c r="F1450" s="34" t="s">
        <v>31</v>
      </c>
      <c r="G1450" s="34" t="s">
        <v>225</v>
      </c>
      <c r="H1450" s="35" t="s">
        <v>26</v>
      </c>
      <c r="I1450" s="35" t="s">
        <v>27</v>
      </c>
      <c r="J1450" s="35" t="s">
        <v>100</v>
      </c>
      <c r="K1450" s="57"/>
      <c r="L1450" s="84"/>
    </row>
    <row r="1451">
      <c r="A1451" s="32" t="s">
        <v>3963</v>
      </c>
      <c r="B1451" s="32" t="s">
        <v>3964</v>
      </c>
      <c r="C1451" s="33">
        <v>45849.0</v>
      </c>
      <c r="D1451" s="34" t="s">
        <v>22</v>
      </c>
      <c r="E1451" s="32" t="s">
        <v>637</v>
      </c>
      <c r="F1451" s="34" t="s">
        <v>156</v>
      </c>
      <c r="G1451" s="34" t="s">
        <v>257</v>
      </c>
      <c r="H1451" s="66"/>
      <c r="I1451" s="35" t="s">
        <v>27</v>
      </c>
      <c r="J1451" s="57"/>
      <c r="K1451" s="57"/>
      <c r="L1451" s="84"/>
    </row>
    <row r="1452">
      <c r="A1452" s="32" t="s">
        <v>3965</v>
      </c>
      <c r="B1452" s="32" t="s">
        <v>3966</v>
      </c>
      <c r="C1452" s="33">
        <v>45849.0</v>
      </c>
      <c r="D1452" s="69" t="s">
        <v>39</v>
      </c>
      <c r="E1452" s="32" t="s">
        <v>436</v>
      </c>
      <c r="F1452" s="34" t="s">
        <v>31</v>
      </c>
      <c r="G1452" s="34" t="s">
        <v>702</v>
      </c>
      <c r="H1452" s="35" t="s">
        <v>26</v>
      </c>
      <c r="I1452" s="35" t="s">
        <v>27</v>
      </c>
      <c r="J1452" s="57"/>
      <c r="K1452" s="57"/>
      <c r="L1452" s="84"/>
    </row>
    <row r="1453">
      <c r="A1453" s="32" t="s">
        <v>3967</v>
      </c>
      <c r="B1453" s="32" t="s">
        <v>3968</v>
      </c>
      <c r="C1453" s="33">
        <v>45849.0</v>
      </c>
      <c r="D1453" s="34" t="s">
        <v>22</v>
      </c>
      <c r="E1453" s="32" t="s">
        <v>1480</v>
      </c>
      <c r="F1453" s="34" t="s">
        <v>24</v>
      </c>
      <c r="G1453" s="34" t="s">
        <v>782</v>
      </c>
      <c r="H1453" s="66"/>
      <c r="I1453" s="35" t="s">
        <v>27</v>
      </c>
      <c r="J1453" s="35" t="s">
        <v>100</v>
      </c>
      <c r="K1453" s="57"/>
      <c r="L1453" s="84"/>
    </row>
    <row r="1454">
      <c r="A1454" s="32" t="s">
        <v>3969</v>
      </c>
      <c r="B1454" s="32" t="s">
        <v>3970</v>
      </c>
      <c r="C1454" s="33">
        <v>45849.0</v>
      </c>
      <c r="D1454" s="34" t="s">
        <v>22</v>
      </c>
      <c r="E1454" s="32" t="s">
        <v>3971</v>
      </c>
      <c r="F1454" s="34" t="s">
        <v>53</v>
      </c>
      <c r="G1454" s="34" t="s">
        <v>1938</v>
      </c>
      <c r="H1454" s="35" t="s">
        <v>26</v>
      </c>
      <c r="I1454" s="35" t="s">
        <v>27</v>
      </c>
      <c r="J1454" s="57"/>
      <c r="K1454" s="57"/>
      <c r="L1454" s="84"/>
    </row>
    <row r="1455">
      <c r="A1455" s="32" t="s">
        <v>3972</v>
      </c>
      <c r="B1455" s="32" t="s">
        <v>3973</v>
      </c>
      <c r="C1455" s="33">
        <v>45849.0</v>
      </c>
      <c r="D1455" s="34" t="s">
        <v>22</v>
      </c>
      <c r="E1455" s="32" t="s">
        <v>2710</v>
      </c>
      <c r="F1455" s="34" t="s">
        <v>24</v>
      </c>
      <c r="G1455" s="34" t="s">
        <v>440</v>
      </c>
      <c r="H1455" s="35" t="s">
        <v>26</v>
      </c>
      <c r="I1455" s="35" t="s">
        <v>27</v>
      </c>
      <c r="J1455" s="57"/>
      <c r="K1455" s="57"/>
      <c r="L1455" s="84"/>
    </row>
    <row r="1456">
      <c r="A1456" s="32" t="s">
        <v>3974</v>
      </c>
      <c r="B1456" s="32" t="s">
        <v>3975</v>
      </c>
      <c r="C1456" s="33">
        <v>45849.0</v>
      </c>
      <c r="D1456" s="34" t="s">
        <v>22</v>
      </c>
      <c r="E1456" s="32" t="s">
        <v>3976</v>
      </c>
      <c r="F1456" s="34" t="s">
        <v>53</v>
      </c>
      <c r="G1456" s="34" t="s">
        <v>202</v>
      </c>
      <c r="H1456" s="35" t="s">
        <v>26</v>
      </c>
      <c r="I1456" s="35" t="s">
        <v>27</v>
      </c>
      <c r="J1456" s="57"/>
      <c r="K1456" s="57"/>
      <c r="L1456" s="84"/>
    </row>
    <row r="1457">
      <c r="A1457" s="32" t="s">
        <v>3977</v>
      </c>
      <c r="B1457" s="32" t="s">
        <v>3978</v>
      </c>
      <c r="C1457" s="33">
        <v>45849.0</v>
      </c>
      <c r="D1457" s="34" t="s">
        <v>22</v>
      </c>
      <c r="E1457" s="32" t="s">
        <v>129</v>
      </c>
      <c r="F1457" s="34" t="s">
        <v>53</v>
      </c>
      <c r="G1457" s="34" t="s">
        <v>32</v>
      </c>
      <c r="H1457" s="35" t="s">
        <v>26</v>
      </c>
      <c r="I1457" s="35" t="s">
        <v>27</v>
      </c>
      <c r="J1457" s="35" t="s">
        <v>100</v>
      </c>
      <c r="K1457" s="57"/>
      <c r="L1457" s="84"/>
    </row>
    <row r="1458">
      <c r="A1458" s="32" t="s">
        <v>3979</v>
      </c>
      <c r="B1458" s="32" t="s">
        <v>3980</v>
      </c>
      <c r="C1458" s="33">
        <v>45849.0</v>
      </c>
      <c r="D1458" s="34" t="s">
        <v>22</v>
      </c>
      <c r="E1458" s="32" t="s">
        <v>122</v>
      </c>
      <c r="F1458" s="34" t="s">
        <v>156</v>
      </c>
      <c r="G1458" s="34" t="s">
        <v>70</v>
      </c>
      <c r="H1458" s="35" t="s">
        <v>26</v>
      </c>
      <c r="I1458" s="35" t="s">
        <v>27</v>
      </c>
      <c r="J1458" s="57"/>
      <c r="K1458" s="57"/>
      <c r="L1458" s="84"/>
    </row>
    <row r="1459">
      <c r="A1459" s="32" t="s">
        <v>3981</v>
      </c>
      <c r="B1459" s="32" t="s">
        <v>3982</v>
      </c>
      <c r="C1459" s="33">
        <v>45849.0</v>
      </c>
      <c r="D1459" s="34" t="s">
        <v>22</v>
      </c>
      <c r="E1459" s="32" t="s">
        <v>1519</v>
      </c>
      <c r="F1459" s="34" t="s">
        <v>24</v>
      </c>
      <c r="G1459" s="34" t="s">
        <v>892</v>
      </c>
      <c r="H1459" s="35" t="s">
        <v>26</v>
      </c>
      <c r="I1459" s="35" t="s">
        <v>27</v>
      </c>
      <c r="J1459" s="35" t="s">
        <v>100</v>
      </c>
      <c r="K1459" s="57"/>
      <c r="L1459" s="84"/>
    </row>
    <row r="1460">
      <c r="A1460" s="32" t="s">
        <v>3983</v>
      </c>
      <c r="B1460" s="32" t="s">
        <v>3984</v>
      </c>
      <c r="C1460" s="33">
        <v>45849.0</v>
      </c>
      <c r="D1460" s="34" t="s">
        <v>22</v>
      </c>
      <c r="E1460" s="32" t="s">
        <v>73</v>
      </c>
      <c r="F1460" s="34" t="s">
        <v>24</v>
      </c>
      <c r="G1460" s="34" t="s">
        <v>3985</v>
      </c>
      <c r="H1460" s="35" t="s">
        <v>26</v>
      </c>
      <c r="I1460" s="35" t="s">
        <v>27</v>
      </c>
      <c r="J1460" s="35" t="s">
        <v>100</v>
      </c>
      <c r="K1460" s="57"/>
      <c r="L1460" s="84"/>
    </row>
    <row r="1461">
      <c r="A1461" s="32" t="s">
        <v>3986</v>
      </c>
      <c r="B1461" s="32" t="s">
        <v>3987</v>
      </c>
      <c r="C1461" s="33">
        <v>45849.0</v>
      </c>
      <c r="D1461" s="34" t="s">
        <v>22</v>
      </c>
      <c r="E1461" s="32" t="s">
        <v>238</v>
      </c>
      <c r="F1461" s="34" t="s">
        <v>156</v>
      </c>
      <c r="G1461" s="34" t="s">
        <v>437</v>
      </c>
      <c r="H1461" s="35" t="s">
        <v>26</v>
      </c>
      <c r="I1461" s="35" t="s">
        <v>27</v>
      </c>
      <c r="J1461" s="57"/>
      <c r="K1461" s="57"/>
      <c r="L1461" s="84"/>
    </row>
    <row r="1462">
      <c r="A1462" s="32" t="s">
        <v>3988</v>
      </c>
      <c r="B1462" s="32" t="s">
        <v>3989</v>
      </c>
      <c r="C1462" s="33">
        <v>45849.0</v>
      </c>
      <c r="D1462" s="34" t="s">
        <v>22</v>
      </c>
      <c r="E1462" s="32" t="s">
        <v>3990</v>
      </c>
      <c r="F1462" s="34" t="s">
        <v>24</v>
      </c>
      <c r="G1462" s="34" t="s">
        <v>342</v>
      </c>
      <c r="H1462" s="35" t="s">
        <v>26</v>
      </c>
      <c r="I1462" s="35" t="s">
        <v>27</v>
      </c>
      <c r="J1462" s="35" t="s">
        <v>100</v>
      </c>
      <c r="K1462" s="57"/>
      <c r="L1462" s="84"/>
    </row>
    <row r="1463">
      <c r="A1463" s="32" t="s">
        <v>3991</v>
      </c>
      <c r="B1463" s="32" t="s">
        <v>3992</v>
      </c>
      <c r="C1463" s="33">
        <v>45849.0</v>
      </c>
      <c r="D1463" s="47" t="s">
        <v>22</v>
      </c>
      <c r="E1463" s="32" t="s">
        <v>3993</v>
      </c>
      <c r="F1463" s="34" t="s">
        <v>156</v>
      </c>
      <c r="G1463" s="34" t="s">
        <v>913</v>
      </c>
      <c r="H1463" s="35" t="s">
        <v>26</v>
      </c>
      <c r="I1463" s="35" t="s">
        <v>27</v>
      </c>
      <c r="J1463" s="57"/>
      <c r="K1463" s="57"/>
      <c r="L1463" s="84"/>
    </row>
    <row r="1464">
      <c r="A1464" s="32" t="s">
        <v>3994</v>
      </c>
      <c r="B1464" s="32" t="s">
        <v>3995</v>
      </c>
      <c r="C1464" s="33">
        <v>45849.0</v>
      </c>
      <c r="D1464" s="47" t="s">
        <v>39</v>
      </c>
      <c r="E1464" s="32" t="s">
        <v>805</v>
      </c>
      <c r="F1464" s="34" t="s">
        <v>53</v>
      </c>
      <c r="G1464" s="34" t="s">
        <v>32</v>
      </c>
      <c r="H1464" s="35" t="s">
        <v>26</v>
      </c>
      <c r="I1464" s="35" t="s">
        <v>27</v>
      </c>
      <c r="J1464" s="57"/>
      <c r="K1464" s="57"/>
      <c r="L1464" s="84"/>
    </row>
    <row r="1465">
      <c r="A1465" s="32" t="s">
        <v>3996</v>
      </c>
      <c r="B1465" s="32" t="s">
        <v>3997</v>
      </c>
      <c r="C1465" s="33">
        <v>45849.0</v>
      </c>
      <c r="D1465" s="34" t="s">
        <v>22</v>
      </c>
      <c r="E1465" s="32" t="s">
        <v>61</v>
      </c>
      <c r="F1465" s="34" t="s">
        <v>24</v>
      </c>
      <c r="G1465" s="34" t="s">
        <v>3998</v>
      </c>
      <c r="H1465" s="35" t="s">
        <v>26</v>
      </c>
      <c r="I1465" s="35" t="s">
        <v>27</v>
      </c>
      <c r="J1465" s="57"/>
      <c r="K1465" s="57"/>
      <c r="L1465" s="84"/>
    </row>
    <row r="1466">
      <c r="A1466" s="32" t="s">
        <v>3999</v>
      </c>
      <c r="B1466" s="32" t="s">
        <v>4000</v>
      </c>
      <c r="C1466" s="33">
        <v>45849.0</v>
      </c>
      <c r="D1466" s="47" t="s">
        <v>39</v>
      </c>
      <c r="E1466" s="32" t="s">
        <v>160</v>
      </c>
      <c r="F1466" s="34" t="s">
        <v>24</v>
      </c>
      <c r="G1466" s="34" t="s">
        <v>434</v>
      </c>
      <c r="H1466" s="35" t="s">
        <v>26</v>
      </c>
      <c r="I1466" s="35" t="s">
        <v>27</v>
      </c>
      <c r="J1466" s="35" t="s">
        <v>100</v>
      </c>
      <c r="K1466" s="57"/>
      <c r="L1466" s="84"/>
    </row>
    <row r="1467">
      <c r="A1467" s="32" t="s">
        <v>4001</v>
      </c>
      <c r="B1467" s="32" t="s">
        <v>4002</v>
      </c>
      <c r="C1467" s="33">
        <v>45849.0</v>
      </c>
      <c r="D1467" s="47" t="s">
        <v>22</v>
      </c>
      <c r="E1467" s="32" t="s">
        <v>61</v>
      </c>
      <c r="F1467" s="34" t="s">
        <v>24</v>
      </c>
      <c r="G1467" s="34" t="s">
        <v>36</v>
      </c>
      <c r="H1467" s="35" t="s">
        <v>26</v>
      </c>
      <c r="I1467" s="35" t="s">
        <v>27</v>
      </c>
      <c r="J1467" s="57"/>
      <c r="K1467" s="57"/>
      <c r="L1467" s="84"/>
    </row>
    <row r="1468">
      <c r="A1468" s="32" t="s">
        <v>4003</v>
      </c>
      <c r="B1468" s="32" t="s">
        <v>4003</v>
      </c>
      <c r="C1468" s="33">
        <v>45849.0</v>
      </c>
      <c r="D1468" s="47" t="s">
        <v>22</v>
      </c>
      <c r="E1468" s="32" t="s">
        <v>4004</v>
      </c>
      <c r="F1468" s="34" t="s">
        <v>31</v>
      </c>
      <c r="G1468" s="34" t="s">
        <v>4005</v>
      </c>
      <c r="H1468" s="35" t="s">
        <v>26</v>
      </c>
      <c r="I1468" s="35" t="s">
        <v>27</v>
      </c>
      <c r="J1468" s="35" t="s">
        <v>100</v>
      </c>
      <c r="K1468" s="57"/>
      <c r="L1468" s="84"/>
    </row>
    <row r="1469">
      <c r="A1469" s="32" t="s">
        <v>4006</v>
      </c>
      <c r="B1469" s="32" t="s">
        <v>4007</v>
      </c>
      <c r="C1469" s="33">
        <v>45849.0</v>
      </c>
      <c r="D1469" s="34" t="s">
        <v>22</v>
      </c>
      <c r="E1469" s="32" t="s">
        <v>61</v>
      </c>
      <c r="F1469" s="34" t="s">
        <v>24</v>
      </c>
      <c r="G1469" s="34" t="s">
        <v>440</v>
      </c>
      <c r="H1469" s="35" t="s">
        <v>26</v>
      </c>
      <c r="I1469" s="35" t="s">
        <v>27</v>
      </c>
      <c r="J1469" s="57"/>
      <c r="K1469" s="57"/>
      <c r="L1469" s="84"/>
    </row>
    <row r="1470">
      <c r="A1470" s="32" t="s">
        <v>4008</v>
      </c>
      <c r="B1470" s="32" t="s">
        <v>4009</v>
      </c>
      <c r="C1470" s="33">
        <v>45849.0</v>
      </c>
      <c r="D1470" s="47" t="s">
        <v>22</v>
      </c>
      <c r="E1470" s="32" t="s">
        <v>4010</v>
      </c>
      <c r="F1470" s="34" t="s">
        <v>24</v>
      </c>
      <c r="G1470" s="34" t="s">
        <v>4011</v>
      </c>
      <c r="H1470" s="35" t="s">
        <v>26</v>
      </c>
      <c r="I1470" s="35" t="s">
        <v>27</v>
      </c>
      <c r="J1470" s="57"/>
      <c r="K1470" s="57"/>
      <c r="L1470" s="84"/>
    </row>
    <row r="1471">
      <c r="A1471" s="32" t="s">
        <v>4012</v>
      </c>
      <c r="B1471" s="67" t="s">
        <v>4013</v>
      </c>
      <c r="C1471" s="33">
        <v>45849.0</v>
      </c>
      <c r="D1471" s="34" t="s">
        <v>22</v>
      </c>
      <c r="E1471" s="32" t="s">
        <v>73</v>
      </c>
      <c r="F1471" s="34" t="s">
        <v>24</v>
      </c>
      <c r="G1471" s="34" t="s">
        <v>4014</v>
      </c>
      <c r="H1471" s="35" t="s">
        <v>26</v>
      </c>
      <c r="I1471" s="58" t="str">
        <f>HYPERLINK("https://open.spotify.com/album/119L1lOyHjljuhqpFnKHBC", "S")</f>
        <v>S</v>
      </c>
      <c r="J1471" s="35" t="s">
        <v>100</v>
      </c>
      <c r="K1471" s="57"/>
      <c r="L1471" s="84"/>
    </row>
    <row r="1472">
      <c r="A1472" s="32" t="s">
        <v>4015</v>
      </c>
      <c r="B1472" s="32" t="s">
        <v>4016</v>
      </c>
      <c r="C1472" s="33">
        <v>45849.0</v>
      </c>
      <c r="D1472" s="34" t="s">
        <v>22</v>
      </c>
      <c r="E1472" s="32" t="s">
        <v>122</v>
      </c>
      <c r="F1472" s="34" t="s">
        <v>31</v>
      </c>
      <c r="G1472" s="34" t="s">
        <v>1938</v>
      </c>
      <c r="H1472" s="35" t="s">
        <v>26</v>
      </c>
      <c r="I1472" s="35" t="s">
        <v>27</v>
      </c>
      <c r="J1472" s="57"/>
      <c r="K1472" s="57"/>
      <c r="L1472" s="84"/>
    </row>
    <row r="1473">
      <c r="A1473" s="32" t="s">
        <v>4017</v>
      </c>
      <c r="B1473" s="32" t="s">
        <v>4018</v>
      </c>
      <c r="C1473" s="33">
        <v>45849.0</v>
      </c>
      <c r="D1473" s="34" t="s">
        <v>39</v>
      </c>
      <c r="E1473" s="32" t="s">
        <v>364</v>
      </c>
      <c r="F1473" s="34" t="s">
        <v>24</v>
      </c>
      <c r="G1473" s="34" t="s">
        <v>2030</v>
      </c>
      <c r="H1473" s="35" t="s">
        <v>26</v>
      </c>
      <c r="I1473" s="35" t="s">
        <v>27</v>
      </c>
      <c r="J1473" s="35" t="s">
        <v>100</v>
      </c>
      <c r="K1473" s="57"/>
      <c r="L1473" s="84"/>
    </row>
    <row r="1474">
      <c r="A1474" s="32" t="s">
        <v>4019</v>
      </c>
      <c r="B1474" s="32" t="s">
        <v>4020</v>
      </c>
      <c r="C1474" s="33">
        <v>45849.0</v>
      </c>
      <c r="D1474" s="34" t="s">
        <v>22</v>
      </c>
      <c r="E1474" s="32" t="s">
        <v>61</v>
      </c>
      <c r="F1474" s="34" t="s">
        <v>24</v>
      </c>
      <c r="G1474" s="34" t="s">
        <v>892</v>
      </c>
      <c r="H1474" s="35" t="s">
        <v>26</v>
      </c>
      <c r="I1474" s="35" t="s">
        <v>27</v>
      </c>
      <c r="J1474" s="35" t="s">
        <v>100</v>
      </c>
      <c r="K1474" s="57"/>
      <c r="L1474" s="84"/>
    </row>
    <row r="1475">
      <c r="A1475" s="32" t="s">
        <v>4021</v>
      </c>
      <c r="B1475" s="32" t="s">
        <v>4022</v>
      </c>
      <c r="C1475" s="33">
        <v>45849.0</v>
      </c>
      <c r="D1475" s="69" t="s">
        <v>22</v>
      </c>
      <c r="E1475" s="32" t="s">
        <v>3102</v>
      </c>
      <c r="F1475" s="34" t="s">
        <v>24</v>
      </c>
      <c r="G1475" s="34" t="s">
        <v>806</v>
      </c>
      <c r="H1475" s="35" t="s">
        <v>26</v>
      </c>
      <c r="I1475" s="35" t="s">
        <v>27</v>
      </c>
      <c r="J1475" s="35" t="s">
        <v>100</v>
      </c>
      <c r="K1475" s="57"/>
      <c r="L1475" s="84"/>
    </row>
    <row r="1476">
      <c r="A1476" s="32" t="s">
        <v>4023</v>
      </c>
      <c r="B1476" s="32" t="s">
        <v>4024</v>
      </c>
      <c r="C1476" s="33">
        <v>45849.0</v>
      </c>
      <c r="D1476" s="34" t="s">
        <v>22</v>
      </c>
      <c r="E1476" s="32" t="s">
        <v>73</v>
      </c>
      <c r="F1476" s="34" t="s">
        <v>24</v>
      </c>
      <c r="G1476" s="34" t="s">
        <v>890</v>
      </c>
      <c r="H1476" s="35" t="s">
        <v>26</v>
      </c>
      <c r="I1476" s="36" t="str">
        <f>HYPERLINK("https://open.spotify.com/album/49k78XC05XwFNpylTqLqwo", "S")</f>
        <v>S</v>
      </c>
      <c r="J1476" s="57"/>
      <c r="K1476" s="57"/>
      <c r="L1476" s="84"/>
    </row>
    <row r="1477">
      <c r="A1477" s="32" t="s">
        <v>4025</v>
      </c>
      <c r="B1477" s="32" t="s">
        <v>4026</v>
      </c>
      <c r="C1477" s="33">
        <v>45849.0</v>
      </c>
      <c r="D1477" s="34" t="s">
        <v>22</v>
      </c>
      <c r="E1477" s="32" t="s">
        <v>3107</v>
      </c>
      <c r="F1477" s="34" t="s">
        <v>156</v>
      </c>
      <c r="G1477" s="34" t="s">
        <v>3686</v>
      </c>
      <c r="H1477" s="35" t="s">
        <v>26</v>
      </c>
      <c r="I1477" s="35" t="s">
        <v>27</v>
      </c>
      <c r="J1477" s="57"/>
      <c r="K1477" s="57"/>
      <c r="L1477" s="84"/>
    </row>
    <row r="1478">
      <c r="A1478" s="32" t="s">
        <v>4027</v>
      </c>
      <c r="B1478" s="32" t="s">
        <v>4028</v>
      </c>
      <c r="C1478" s="33">
        <v>45849.0</v>
      </c>
      <c r="D1478" s="34" t="s">
        <v>39</v>
      </c>
      <c r="E1478" s="32" t="s">
        <v>370</v>
      </c>
      <c r="F1478" s="34" t="s">
        <v>24</v>
      </c>
      <c r="G1478" s="34" t="s">
        <v>365</v>
      </c>
      <c r="H1478" s="35" t="s">
        <v>26</v>
      </c>
      <c r="I1478" s="35" t="s">
        <v>27</v>
      </c>
      <c r="J1478" s="57"/>
      <c r="K1478" s="57"/>
      <c r="L1478" s="84"/>
    </row>
    <row r="1479">
      <c r="A1479" s="32" t="s">
        <v>4029</v>
      </c>
      <c r="B1479" s="32" t="s">
        <v>4030</v>
      </c>
      <c r="C1479" s="33">
        <v>45849.0</v>
      </c>
      <c r="D1479" s="34" t="s">
        <v>22</v>
      </c>
      <c r="E1479" s="32" t="s">
        <v>4031</v>
      </c>
      <c r="F1479" s="34" t="s">
        <v>53</v>
      </c>
      <c r="G1479" s="34" t="s">
        <v>440</v>
      </c>
      <c r="H1479" s="35" t="s">
        <v>26</v>
      </c>
      <c r="I1479" s="35" t="s">
        <v>27</v>
      </c>
      <c r="J1479" s="57"/>
      <c r="K1479" s="57"/>
      <c r="L1479" s="84"/>
    </row>
    <row r="1480">
      <c r="A1480" s="32" t="s">
        <v>4032</v>
      </c>
      <c r="B1480" s="32" t="s">
        <v>4032</v>
      </c>
      <c r="C1480" s="33">
        <v>45849.0</v>
      </c>
      <c r="D1480" s="47" t="s">
        <v>22</v>
      </c>
      <c r="E1480" s="32" t="s">
        <v>3231</v>
      </c>
      <c r="F1480" s="34" t="s">
        <v>53</v>
      </c>
      <c r="G1480" s="34" t="s">
        <v>767</v>
      </c>
      <c r="H1480" s="35" t="s">
        <v>26</v>
      </c>
      <c r="I1480" s="35" t="s">
        <v>27</v>
      </c>
      <c r="J1480" s="57"/>
      <c r="K1480" s="57"/>
      <c r="L1480" s="84"/>
    </row>
    <row r="1481">
      <c r="A1481" s="32" t="s">
        <v>1814</v>
      </c>
      <c r="B1481" s="32" t="s">
        <v>4033</v>
      </c>
      <c r="C1481" s="33">
        <v>45853.0</v>
      </c>
      <c r="D1481" s="34" t="s">
        <v>39</v>
      </c>
      <c r="E1481" s="32" t="s">
        <v>4034</v>
      </c>
      <c r="F1481" s="34" t="s">
        <v>156</v>
      </c>
      <c r="G1481" s="34" t="s">
        <v>213</v>
      </c>
      <c r="H1481" s="35" t="s">
        <v>26</v>
      </c>
      <c r="I1481" s="35" t="s">
        <v>27</v>
      </c>
      <c r="J1481" s="57"/>
      <c r="K1481" s="57"/>
      <c r="L1481" s="84"/>
    </row>
    <row r="1482">
      <c r="A1482" s="32" t="s">
        <v>4035</v>
      </c>
      <c r="B1482" s="32" t="s">
        <v>4036</v>
      </c>
      <c r="C1482" s="33">
        <v>45854.0</v>
      </c>
      <c r="D1482" s="34" t="s">
        <v>22</v>
      </c>
      <c r="E1482" s="32" t="s">
        <v>4037</v>
      </c>
      <c r="F1482" s="34" t="s">
        <v>24</v>
      </c>
      <c r="G1482" s="34" t="s">
        <v>437</v>
      </c>
      <c r="H1482" s="35" t="s">
        <v>26</v>
      </c>
      <c r="I1482" s="35" t="s">
        <v>27</v>
      </c>
      <c r="J1482" s="57"/>
      <c r="K1482" s="57"/>
      <c r="L1482" s="84"/>
    </row>
    <row r="1483">
      <c r="A1483" s="32" t="s">
        <v>4038</v>
      </c>
      <c r="B1483" s="32" t="s">
        <v>4039</v>
      </c>
      <c r="C1483" s="33">
        <v>45854.0</v>
      </c>
      <c r="D1483" s="34" t="s">
        <v>39</v>
      </c>
      <c r="E1483" s="32" t="s">
        <v>569</v>
      </c>
      <c r="F1483" s="34" t="s">
        <v>24</v>
      </c>
      <c r="G1483" s="34" t="s">
        <v>202</v>
      </c>
      <c r="H1483" s="35" t="s">
        <v>26</v>
      </c>
      <c r="I1483" s="35" t="s">
        <v>27</v>
      </c>
      <c r="J1483" s="57"/>
      <c r="K1483" s="57"/>
      <c r="L1483" s="84"/>
    </row>
    <row r="1484">
      <c r="A1484" s="32" t="s">
        <v>4040</v>
      </c>
      <c r="B1484" s="32" t="s">
        <v>4041</v>
      </c>
      <c r="C1484" s="33">
        <v>45855.0</v>
      </c>
      <c r="D1484" s="34" t="s">
        <v>22</v>
      </c>
      <c r="E1484" s="32" t="s">
        <v>4042</v>
      </c>
      <c r="F1484" s="34" t="s">
        <v>53</v>
      </c>
      <c r="G1484" s="34" t="s">
        <v>4043</v>
      </c>
      <c r="H1484" s="35" t="s">
        <v>26</v>
      </c>
      <c r="I1484" s="35" t="s">
        <v>27</v>
      </c>
      <c r="J1484" s="57"/>
      <c r="K1484" s="57"/>
      <c r="L1484" s="84"/>
    </row>
    <row r="1485">
      <c r="A1485" s="32" t="s">
        <v>4044</v>
      </c>
      <c r="B1485" s="32" t="s">
        <v>4045</v>
      </c>
      <c r="C1485" s="33">
        <v>45855.0</v>
      </c>
      <c r="D1485" s="47" t="s">
        <v>22</v>
      </c>
      <c r="E1485" s="32" t="s">
        <v>4046</v>
      </c>
      <c r="F1485" s="34" t="s">
        <v>53</v>
      </c>
      <c r="G1485" s="34" t="s">
        <v>1340</v>
      </c>
      <c r="H1485" s="35" t="s">
        <v>26</v>
      </c>
      <c r="I1485" s="36" t="str">
        <f>HYPERLINK("https://open.spotify.com/album/5bUxi183XNNYX888BnCVSx", "S")</f>
        <v>S</v>
      </c>
      <c r="J1485" s="57"/>
      <c r="K1485" s="57"/>
      <c r="L1485" s="84"/>
    </row>
    <row r="1486">
      <c r="A1486" s="32" t="s">
        <v>4047</v>
      </c>
      <c r="B1486" s="32" t="s">
        <v>4048</v>
      </c>
      <c r="C1486" s="33">
        <v>45856.0</v>
      </c>
      <c r="D1486" s="34" t="s">
        <v>22</v>
      </c>
      <c r="E1486" s="32" t="s">
        <v>4049</v>
      </c>
      <c r="F1486" s="34" t="s">
        <v>24</v>
      </c>
      <c r="G1486" s="34" t="s">
        <v>157</v>
      </c>
      <c r="H1486" s="35" t="s">
        <v>26</v>
      </c>
      <c r="I1486" s="96" t="s">
        <v>27</v>
      </c>
      <c r="J1486" s="35" t="s">
        <v>100</v>
      </c>
      <c r="K1486" s="57"/>
      <c r="L1486" s="84"/>
    </row>
    <row r="1487">
      <c r="A1487" s="32" t="s">
        <v>4050</v>
      </c>
      <c r="B1487" s="32" t="s">
        <v>4051</v>
      </c>
      <c r="C1487" s="33">
        <v>45856.0</v>
      </c>
      <c r="D1487" s="34" t="s">
        <v>22</v>
      </c>
      <c r="E1487" s="32" t="s">
        <v>98</v>
      </c>
      <c r="F1487" s="34" t="s">
        <v>24</v>
      </c>
      <c r="G1487" s="34" t="s">
        <v>2387</v>
      </c>
      <c r="H1487" s="66"/>
      <c r="I1487" s="35" t="s">
        <v>27</v>
      </c>
      <c r="J1487" s="57"/>
      <c r="K1487" s="57"/>
      <c r="L1487" s="84"/>
    </row>
    <row r="1488">
      <c r="A1488" s="32" t="s">
        <v>4052</v>
      </c>
      <c r="B1488" s="32" t="s">
        <v>4053</v>
      </c>
      <c r="C1488" s="33">
        <v>45856.0</v>
      </c>
      <c r="D1488" s="34" t="s">
        <v>39</v>
      </c>
      <c r="E1488" s="32" t="s">
        <v>122</v>
      </c>
      <c r="F1488" s="34" t="s">
        <v>53</v>
      </c>
      <c r="G1488" s="34" t="s">
        <v>231</v>
      </c>
      <c r="H1488" s="35" t="s">
        <v>26</v>
      </c>
      <c r="I1488" s="35" t="s">
        <v>27</v>
      </c>
      <c r="J1488" s="57"/>
      <c r="K1488" s="57"/>
      <c r="L1488" s="84"/>
    </row>
    <row r="1489">
      <c r="A1489" s="32" t="s">
        <v>4054</v>
      </c>
      <c r="B1489" s="32" t="s">
        <v>4055</v>
      </c>
      <c r="C1489" s="33">
        <v>45856.0</v>
      </c>
      <c r="D1489" s="34" t="s">
        <v>22</v>
      </c>
      <c r="E1489" s="32" t="s">
        <v>2930</v>
      </c>
      <c r="F1489" s="34" t="s">
        <v>24</v>
      </c>
      <c r="G1489" s="34" t="s">
        <v>693</v>
      </c>
      <c r="H1489" s="35" t="s">
        <v>26</v>
      </c>
      <c r="I1489" s="35" t="s">
        <v>27</v>
      </c>
      <c r="J1489" s="57"/>
      <c r="K1489" s="57"/>
      <c r="L1489" s="84"/>
    </row>
    <row r="1490">
      <c r="A1490" s="32" t="s">
        <v>4056</v>
      </c>
      <c r="B1490" s="32" t="s">
        <v>4057</v>
      </c>
      <c r="C1490" s="33">
        <v>45856.0</v>
      </c>
      <c r="D1490" s="34" t="s">
        <v>22</v>
      </c>
      <c r="E1490" s="32" t="s">
        <v>382</v>
      </c>
      <c r="F1490" s="34" t="s">
        <v>156</v>
      </c>
      <c r="G1490" s="34" t="s">
        <v>225</v>
      </c>
      <c r="H1490" s="35" t="s">
        <v>26</v>
      </c>
      <c r="I1490" s="35" t="s">
        <v>27</v>
      </c>
      <c r="J1490" s="57"/>
      <c r="K1490" s="57"/>
      <c r="L1490" s="84"/>
    </row>
    <row r="1491">
      <c r="A1491" s="32" t="s">
        <v>4058</v>
      </c>
      <c r="B1491" s="32" t="s">
        <v>4059</v>
      </c>
      <c r="C1491" s="33">
        <v>45856.0</v>
      </c>
      <c r="D1491" s="34" t="s">
        <v>22</v>
      </c>
      <c r="E1491" s="32" t="s">
        <v>4060</v>
      </c>
      <c r="F1491" s="34" t="s">
        <v>53</v>
      </c>
      <c r="G1491" s="34" t="s">
        <v>202</v>
      </c>
      <c r="H1491" s="35" t="s">
        <v>26</v>
      </c>
      <c r="I1491" s="35" t="s">
        <v>27</v>
      </c>
      <c r="J1491" s="35" t="s">
        <v>100</v>
      </c>
      <c r="K1491" s="57"/>
      <c r="L1491" s="84"/>
    </row>
    <row r="1492">
      <c r="A1492" s="32" t="s">
        <v>4061</v>
      </c>
      <c r="B1492" s="32" t="s">
        <v>4062</v>
      </c>
      <c r="C1492" s="33">
        <v>45856.0</v>
      </c>
      <c r="D1492" s="34" t="s">
        <v>22</v>
      </c>
      <c r="E1492" s="32" t="s">
        <v>1081</v>
      </c>
      <c r="F1492" s="34" t="s">
        <v>53</v>
      </c>
      <c r="G1492" s="34" t="s">
        <v>4063</v>
      </c>
      <c r="H1492" s="66"/>
      <c r="I1492" s="35" t="s">
        <v>27</v>
      </c>
      <c r="J1492" s="57"/>
      <c r="K1492" s="57"/>
      <c r="L1492" s="84"/>
    </row>
    <row r="1493">
      <c r="A1493" s="32" t="s">
        <v>4064</v>
      </c>
      <c r="B1493" s="32" t="s">
        <v>4065</v>
      </c>
      <c r="C1493" s="33">
        <v>45856.0</v>
      </c>
      <c r="D1493" s="34" t="s">
        <v>22</v>
      </c>
      <c r="E1493" s="32" t="s">
        <v>4066</v>
      </c>
      <c r="F1493" s="34" t="s">
        <v>53</v>
      </c>
      <c r="G1493" s="34" t="s">
        <v>1205</v>
      </c>
      <c r="H1493" s="35" t="s">
        <v>26</v>
      </c>
      <c r="I1493" s="35" t="s">
        <v>27</v>
      </c>
      <c r="J1493" s="35" t="s">
        <v>100</v>
      </c>
      <c r="K1493" s="57"/>
      <c r="L1493" s="84"/>
    </row>
    <row r="1494">
      <c r="A1494" s="32" t="s">
        <v>4067</v>
      </c>
      <c r="B1494" s="32" t="s">
        <v>4068</v>
      </c>
      <c r="C1494" s="33">
        <v>45856.0</v>
      </c>
      <c r="D1494" s="34" t="s">
        <v>22</v>
      </c>
      <c r="E1494" s="32" t="s">
        <v>69</v>
      </c>
      <c r="F1494" s="34" t="s">
        <v>53</v>
      </c>
      <c r="G1494" s="34" t="s">
        <v>1147</v>
      </c>
      <c r="H1494" s="35" t="s">
        <v>26</v>
      </c>
      <c r="I1494" s="35" t="s">
        <v>27</v>
      </c>
      <c r="J1494" s="35" t="s">
        <v>100</v>
      </c>
      <c r="K1494" s="57"/>
      <c r="L1494" s="84"/>
    </row>
    <row r="1495">
      <c r="A1495" s="32" t="s">
        <v>4069</v>
      </c>
      <c r="B1495" s="32" t="s">
        <v>4070</v>
      </c>
      <c r="C1495" s="33">
        <v>45856.0</v>
      </c>
      <c r="D1495" s="34" t="s">
        <v>22</v>
      </c>
      <c r="E1495" s="32" t="s">
        <v>4071</v>
      </c>
      <c r="F1495" s="34" t="s">
        <v>53</v>
      </c>
      <c r="G1495" s="34" t="s">
        <v>3696</v>
      </c>
      <c r="H1495" s="35" t="s">
        <v>26</v>
      </c>
      <c r="I1495" s="35" t="s">
        <v>27</v>
      </c>
      <c r="J1495" s="35" t="s">
        <v>100</v>
      </c>
      <c r="K1495" s="57"/>
      <c r="L1495" s="84"/>
    </row>
    <row r="1496">
      <c r="A1496" s="32" t="s">
        <v>4072</v>
      </c>
      <c r="B1496" s="32" t="s">
        <v>4073</v>
      </c>
      <c r="C1496" s="33">
        <v>45856.0</v>
      </c>
      <c r="D1496" s="34" t="s">
        <v>22</v>
      </c>
      <c r="E1496" s="32" t="s">
        <v>61</v>
      </c>
      <c r="F1496" s="34" t="s">
        <v>24</v>
      </c>
      <c r="G1496" s="34" t="s">
        <v>510</v>
      </c>
      <c r="H1496" s="35" t="s">
        <v>26</v>
      </c>
      <c r="I1496" s="35" t="s">
        <v>27</v>
      </c>
      <c r="J1496" s="57"/>
      <c r="K1496" s="57"/>
      <c r="L1496" s="84"/>
    </row>
    <row r="1497">
      <c r="A1497" s="32" t="s">
        <v>4074</v>
      </c>
      <c r="B1497" s="32" t="s">
        <v>4075</v>
      </c>
      <c r="C1497" s="33">
        <v>45856.0</v>
      </c>
      <c r="D1497" s="34" t="s">
        <v>22</v>
      </c>
      <c r="E1497" s="32" t="s">
        <v>111</v>
      </c>
      <c r="F1497" s="34" t="s">
        <v>53</v>
      </c>
      <c r="G1497" s="34" t="s">
        <v>1340</v>
      </c>
      <c r="H1497" s="35" t="s">
        <v>26</v>
      </c>
      <c r="I1497" s="35" t="s">
        <v>27</v>
      </c>
      <c r="J1497" s="57"/>
      <c r="K1497" s="57"/>
      <c r="L1497" s="84"/>
    </row>
    <row r="1498">
      <c r="A1498" s="32" t="s">
        <v>4076</v>
      </c>
      <c r="B1498" s="32" t="s">
        <v>4077</v>
      </c>
      <c r="C1498" s="33">
        <v>45856.0</v>
      </c>
      <c r="D1498" s="34" t="s">
        <v>22</v>
      </c>
      <c r="E1498" s="32" t="s">
        <v>4078</v>
      </c>
      <c r="F1498" s="34" t="s">
        <v>156</v>
      </c>
      <c r="G1498" s="34" t="s">
        <v>279</v>
      </c>
      <c r="H1498" s="35" t="s">
        <v>26</v>
      </c>
      <c r="I1498" s="35" t="s">
        <v>27</v>
      </c>
      <c r="J1498" s="35" t="s">
        <v>100</v>
      </c>
      <c r="K1498" s="57"/>
      <c r="L1498" s="84"/>
    </row>
    <row r="1499">
      <c r="A1499" s="32" t="s">
        <v>4079</v>
      </c>
      <c r="B1499" s="32" t="s">
        <v>4080</v>
      </c>
      <c r="C1499" s="33">
        <v>45856.0</v>
      </c>
      <c r="D1499" s="34" t="s">
        <v>22</v>
      </c>
      <c r="E1499" s="32" t="s">
        <v>1519</v>
      </c>
      <c r="F1499" s="34" t="s">
        <v>24</v>
      </c>
      <c r="G1499" s="34" t="s">
        <v>4081</v>
      </c>
      <c r="H1499" s="35" t="s">
        <v>26</v>
      </c>
      <c r="I1499" s="35" t="s">
        <v>27</v>
      </c>
      <c r="J1499" s="57"/>
      <c r="K1499" s="57"/>
      <c r="L1499" s="84"/>
    </row>
    <row r="1500">
      <c r="A1500" s="32" t="s">
        <v>4082</v>
      </c>
      <c r="B1500" s="67" t="s">
        <v>4083</v>
      </c>
      <c r="C1500" s="33">
        <v>45856.0</v>
      </c>
      <c r="D1500" s="34" t="s">
        <v>22</v>
      </c>
      <c r="E1500" s="32" t="s">
        <v>61</v>
      </c>
      <c r="F1500" s="34" t="s">
        <v>24</v>
      </c>
      <c r="G1500" s="34" t="s">
        <v>1445</v>
      </c>
      <c r="H1500" s="35" t="s">
        <v>26</v>
      </c>
      <c r="I1500" s="35" t="s">
        <v>27</v>
      </c>
      <c r="J1500" s="57"/>
      <c r="K1500" s="57"/>
      <c r="L1500" s="84"/>
    </row>
    <row r="1501">
      <c r="A1501" s="32" t="s">
        <v>4084</v>
      </c>
      <c r="B1501" s="32" t="s">
        <v>4085</v>
      </c>
      <c r="C1501" s="33">
        <v>45856.0</v>
      </c>
      <c r="D1501" s="34" t="s">
        <v>22</v>
      </c>
      <c r="E1501" s="103" t="s">
        <v>61</v>
      </c>
      <c r="F1501" s="34" t="s">
        <v>24</v>
      </c>
      <c r="G1501" s="34" t="s">
        <v>342</v>
      </c>
      <c r="H1501" s="35" t="s">
        <v>26</v>
      </c>
      <c r="I1501" s="35" t="s">
        <v>27</v>
      </c>
      <c r="J1501" s="35" t="s">
        <v>100</v>
      </c>
      <c r="K1501" s="57"/>
      <c r="L1501" s="84"/>
    </row>
    <row r="1502">
      <c r="A1502" s="32" t="s">
        <v>4086</v>
      </c>
      <c r="B1502" s="32" t="s">
        <v>4087</v>
      </c>
      <c r="C1502" s="33">
        <v>45856.0</v>
      </c>
      <c r="D1502" s="34" t="s">
        <v>22</v>
      </c>
      <c r="E1502" s="32" t="s">
        <v>4088</v>
      </c>
      <c r="F1502" s="34" t="s">
        <v>31</v>
      </c>
      <c r="G1502" s="34" t="s">
        <v>1583</v>
      </c>
      <c r="H1502" s="35" t="s">
        <v>26</v>
      </c>
      <c r="I1502" s="35" t="s">
        <v>27</v>
      </c>
      <c r="J1502" s="57"/>
      <c r="K1502" s="57"/>
      <c r="L1502" s="84"/>
    </row>
    <row r="1503">
      <c r="A1503" s="32" t="s">
        <v>4089</v>
      </c>
      <c r="B1503" s="32" t="s">
        <v>4090</v>
      </c>
      <c r="C1503" s="33">
        <v>45856.0</v>
      </c>
      <c r="D1503" s="47" t="s">
        <v>22</v>
      </c>
      <c r="E1503" s="32" t="s">
        <v>61</v>
      </c>
      <c r="F1503" s="34" t="s">
        <v>24</v>
      </c>
      <c r="G1503" s="34" t="s">
        <v>161</v>
      </c>
      <c r="H1503" s="35" t="s">
        <v>26</v>
      </c>
      <c r="I1503" s="35" t="s">
        <v>27</v>
      </c>
      <c r="J1503" s="57"/>
      <c r="K1503" s="57"/>
      <c r="L1503" s="84"/>
    </row>
    <row r="1504">
      <c r="A1504" s="32" t="s">
        <v>4091</v>
      </c>
      <c r="B1504" s="32" t="s">
        <v>4092</v>
      </c>
      <c r="C1504" s="33">
        <v>45856.0</v>
      </c>
      <c r="D1504" s="34" t="s">
        <v>22</v>
      </c>
      <c r="E1504" s="32" t="s">
        <v>1425</v>
      </c>
      <c r="F1504" s="34" t="s">
        <v>156</v>
      </c>
      <c r="G1504" s="34" t="s">
        <v>299</v>
      </c>
      <c r="H1504" s="35" t="s">
        <v>26</v>
      </c>
      <c r="I1504" s="35" t="s">
        <v>27</v>
      </c>
      <c r="J1504" s="57"/>
      <c r="K1504" s="57"/>
      <c r="L1504" s="84"/>
    </row>
    <row r="1505">
      <c r="A1505" s="32" t="s">
        <v>4093</v>
      </c>
      <c r="B1505" s="32" t="s">
        <v>4094</v>
      </c>
      <c r="C1505" s="33">
        <v>45856.0</v>
      </c>
      <c r="D1505" s="34" t="s">
        <v>22</v>
      </c>
      <c r="E1505" s="32" t="s">
        <v>61</v>
      </c>
      <c r="F1505" s="34" t="s">
        <v>24</v>
      </c>
      <c r="G1505" s="34" t="s">
        <v>629</v>
      </c>
      <c r="H1505" s="35" t="s">
        <v>26</v>
      </c>
      <c r="I1505" s="35" t="s">
        <v>27</v>
      </c>
      <c r="J1505" s="35" t="s">
        <v>100</v>
      </c>
      <c r="K1505" s="57"/>
      <c r="L1505" s="84"/>
    </row>
    <row r="1506">
      <c r="A1506" s="32" t="s">
        <v>4095</v>
      </c>
      <c r="B1506" s="32" t="s">
        <v>4095</v>
      </c>
      <c r="C1506" s="33">
        <v>45856.0</v>
      </c>
      <c r="D1506" s="47" t="s">
        <v>22</v>
      </c>
      <c r="E1506" s="32" t="s">
        <v>335</v>
      </c>
      <c r="F1506" s="34" t="s">
        <v>24</v>
      </c>
      <c r="G1506" s="34" t="s">
        <v>342</v>
      </c>
      <c r="H1506" s="35" t="s">
        <v>26</v>
      </c>
      <c r="I1506" s="35" t="s">
        <v>27</v>
      </c>
      <c r="J1506" s="57"/>
      <c r="K1506" s="57"/>
      <c r="L1506" s="84"/>
    </row>
    <row r="1507">
      <c r="A1507" s="32" t="s">
        <v>4096</v>
      </c>
      <c r="B1507" s="32" t="s">
        <v>4097</v>
      </c>
      <c r="C1507" s="33">
        <v>45856.0</v>
      </c>
      <c r="D1507" s="34" t="s">
        <v>22</v>
      </c>
      <c r="E1507" s="32" t="s">
        <v>69</v>
      </c>
      <c r="F1507" s="34" t="s">
        <v>24</v>
      </c>
      <c r="G1507" s="34" t="s">
        <v>225</v>
      </c>
      <c r="H1507" s="35" t="s">
        <v>26</v>
      </c>
      <c r="I1507" s="35" t="s">
        <v>27</v>
      </c>
      <c r="J1507" s="57"/>
      <c r="K1507" s="57"/>
      <c r="L1507" s="84"/>
    </row>
    <row r="1508">
      <c r="A1508" s="32" t="s">
        <v>4098</v>
      </c>
      <c r="B1508" s="32" t="s">
        <v>4099</v>
      </c>
      <c r="C1508" s="33">
        <v>45856.0</v>
      </c>
      <c r="D1508" s="47" t="s">
        <v>22</v>
      </c>
      <c r="E1508" s="32" t="s">
        <v>84</v>
      </c>
      <c r="F1508" s="34" t="s">
        <v>24</v>
      </c>
      <c r="G1508" s="34" t="s">
        <v>2003</v>
      </c>
      <c r="H1508" s="35" t="s">
        <v>26</v>
      </c>
      <c r="I1508" s="35" t="s">
        <v>27</v>
      </c>
      <c r="J1508" s="57"/>
      <c r="K1508" s="57"/>
      <c r="L1508" s="84"/>
    </row>
    <row r="1509">
      <c r="A1509" s="32" t="s">
        <v>4100</v>
      </c>
      <c r="B1509" s="32" t="s">
        <v>4101</v>
      </c>
      <c r="C1509" s="33">
        <v>45856.0</v>
      </c>
      <c r="D1509" s="34" t="s">
        <v>22</v>
      </c>
      <c r="E1509" s="32" t="s">
        <v>268</v>
      </c>
      <c r="F1509" s="34" t="s">
        <v>53</v>
      </c>
      <c r="G1509" s="34" t="s">
        <v>202</v>
      </c>
      <c r="H1509" s="35" t="s">
        <v>26</v>
      </c>
      <c r="I1509" s="35" t="s">
        <v>27</v>
      </c>
      <c r="J1509" s="57"/>
      <c r="K1509" s="57"/>
      <c r="L1509" s="84"/>
    </row>
    <row r="1510">
      <c r="A1510" s="32" t="s">
        <v>4102</v>
      </c>
      <c r="B1510" s="32" t="s">
        <v>4103</v>
      </c>
      <c r="C1510" s="33">
        <v>45856.0</v>
      </c>
      <c r="D1510" s="47" t="s">
        <v>39</v>
      </c>
      <c r="E1510" s="32" t="s">
        <v>284</v>
      </c>
      <c r="F1510" s="34" t="s">
        <v>156</v>
      </c>
      <c r="G1510" s="34" t="s">
        <v>3462</v>
      </c>
      <c r="H1510" s="35" t="s">
        <v>26</v>
      </c>
      <c r="I1510" s="36" t="str">
        <f>HYPERLINK("https://open.spotify.com/album/0Mc8wmOFFoichA1bL6BgOd", "S")</f>
        <v>S</v>
      </c>
      <c r="J1510" s="57"/>
      <c r="K1510" s="57"/>
      <c r="L1510" s="84"/>
    </row>
    <row r="1511">
      <c r="A1511" s="32" t="s">
        <v>4104</v>
      </c>
      <c r="B1511" s="32" t="s">
        <v>4105</v>
      </c>
      <c r="C1511" s="33">
        <v>45856.0</v>
      </c>
      <c r="D1511" s="34" t="s">
        <v>39</v>
      </c>
      <c r="E1511" s="32" t="s">
        <v>436</v>
      </c>
      <c r="F1511" s="34" t="s">
        <v>31</v>
      </c>
      <c r="G1511" s="34" t="s">
        <v>96</v>
      </c>
      <c r="H1511" s="35" t="s">
        <v>26</v>
      </c>
      <c r="I1511" s="35" t="s">
        <v>27</v>
      </c>
      <c r="J1511" s="57"/>
      <c r="K1511" s="57"/>
      <c r="L1511" s="84"/>
    </row>
    <row r="1512">
      <c r="A1512" s="32" t="s">
        <v>4106</v>
      </c>
      <c r="B1512" s="32" t="s">
        <v>4107</v>
      </c>
      <c r="C1512" s="33">
        <v>45856.0</v>
      </c>
      <c r="D1512" s="34" t="s">
        <v>22</v>
      </c>
      <c r="E1512" s="32" t="s">
        <v>263</v>
      </c>
      <c r="F1512" s="34" t="s">
        <v>24</v>
      </c>
      <c r="G1512" s="34" t="s">
        <v>4108</v>
      </c>
      <c r="H1512" s="35" t="s">
        <v>26</v>
      </c>
      <c r="I1512" s="36" t="str">
        <f>HYPERLINK("https://open.spotify.com/album/0gSHkdQaafjmX1qOaeVB6n", "S")</f>
        <v>S</v>
      </c>
      <c r="J1512" s="57"/>
      <c r="K1512" s="57"/>
      <c r="L1512" s="84"/>
    </row>
    <row r="1513">
      <c r="A1513" s="32" t="s">
        <v>4109</v>
      </c>
      <c r="B1513" s="32" t="s">
        <v>4110</v>
      </c>
      <c r="C1513" s="33">
        <v>45856.0</v>
      </c>
      <c r="D1513" s="47" t="s">
        <v>22</v>
      </c>
      <c r="E1513" s="32" t="s">
        <v>160</v>
      </c>
      <c r="F1513" s="34" t="s">
        <v>24</v>
      </c>
      <c r="G1513" s="34" t="s">
        <v>365</v>
      </c>
      <c r="H1513" s="35" t="s">
        <v>26</v>
      </c>
      <c r="I1513" s="35" t="s">
        <v>27</v>
      </c>
      <c r="J1513" s="57"/>
      <c r="K1513" s="57"/>
      <c r="L1513" s="84"/>
    </row>
    <row r="1514">
      <c r="A1514" s="32" t="s">
        <v>4111</v>
      </c>
      <c r="B1514" s="32" t="s">
        <v>4112</v>
      </c>
      <c r="C1514" s="33">
        <v>45856.0</v>
      </c>
      <c r="D1514" s="34" t="s">
        <v>39</v>
      </c>
      <c r="E1514" s="32" t="s">
        <v>122</v>
      </c>
      <c r="F1514" s="34" t="s">
        <v>31</v>
      </c>
      <c r="G1514" s="34" t="s">
        <v>4113</v>
      </c>
      <c r="H1514" s="35" t="s">
        <v>26</v>
      </c>
      <c r="I1514" s="35" t="s">
        <v>27</v>
      </c>
      <c r="J1514" s="57"/>
      <c r="K1514" s="57"/>
      <c r="L1514" s="84"/>
    </row>
    <row r="1515">
      <c r="A1515" s="32" t="s">
        <v>4114</v>
      </c>
      <c r="B1515" s="32" t="s">
        <v>4115</v>
      </c>
      <c r="C1515" s="33">
        <v>45856.0</v>
      </c>
      <c r="D1515" s="34" t="s">
        <v>22</v>
      </c>
      <c r="E1515" s="32" t="s">
        <v>1519</v>
      </c>
      <c r="F1515" s="34" t="s">
        <v>24</v>
      </c>
      <c r="G1515" s="34" t="s">
        <v>54</v>
      </c>
      <c r="H1515" s="35" t="s">
        <v>26</v>
      </c>
      <c r="I1515" s="35" t="s">
        <v>27</v>
      </c>
      <c r="J1515" s="57"/>
      <c r="K1515" s="57"/>
      <c r="L1515" s="84"/>
    </row>
    <row r="1516">
      <c r="A1516" s="32" t="s">
        <v>4116</v>
      </c>
      <c r="B1516" s="32" t="s">
        <v>4117</v>
      </c>
      <c r="C1516" s="33">
        <v>45856.0</v>
      </c>
      <c r="D1516" s="34" t="s">
        <v>39</v>
      </c>
      <c r="E1516" s="32" t="s">
        <v>436</v>
      </c>
      <c r="F1516" s="34" t="s">
        <v>24</v>
      </c>
      <c r="G1516" s="34" t="s">
        <v>670</v>
      </c>
      <c r="H1516" s="35" t="s">
        <v>26</v>
      </c>
      <c r="I1516" s="35" t="s">
        <v>27</v>
      </c>
      <c r="J1516" s="57"/>
      <c r="K1516" s="57"/>
      <c r="L1516" s="84"/>
    </row>
    <row r="1517">
      <c r="A1517" s="32" t="s">
        <v>4118</v>
      </c>
      <c r="B1517" s="32" t="s">
        <v>4119</v>
      </c>
      <c r="C1517" s="33">
        <v>45856.0</v>
      </c>
      <c r="D1517" s="47" t="s">
        <v>22</v>
      </c>
      <c r="E1517" s="32" t="s">
        <v>73</v>
      </c>
      <c r="F1517" s="34" t="s">
        <v>24</v>
      </c>
      <c r="G1517" s="34" t="s">
        <v>4120</v>
      </c>
      <c r="H1517" s="35" t="s">
        <v>26</v>
      </c>
      <c r="I1517" s="35" t="s">
        <v>27</v>
      </c>
      <c r="J1517" s="57"/>
      <c r="K1517" s="57"/>
      <c r="L1517" s="84"/>
    </row>
    <row r="1518">
      <c r="A1518" s="32" t="s">
        <v>4121</v>
      </c>
      <c r="B1518" s="32" t="s">
        <v>4122</v>
      </c>
      <c r="C1518" s="33">
        <v>45856.0</v>
      </c>
      <c r="D1518" s="47" t="s">
        <v>22</v>
      </c>
      <c r="E1518" s="32" t="s">
        <v>1081</v>
      </c>
      <c r="F1518" s="34" t="s">
        <v>31</v>
      </c>
      <c r="G1518" s="34" t="s">
        <v>1012</v>
      </c>
      <c r="H1518" s="35" t="s">
        <v>26</v>
      </c>
      <c r="I1518" s="35" t="s">
        <v>27</v>
      </c>
      <c r="J1518" s="57"/>
      <c r="K1518" s="57"/>
      <c r="L1518" s="84"/>
    </row>
    <row r="1519">
      <c r="A1519" s="32" t="s">
        <v>4123</v>
      </c>
      <c r="B1519" s="32" t="s">
        <v>4124</v>
      </c>
      <c r="C1519" s="33">
        <v>45857.0</v>
      </c>
      <c r="D1519" s="47" t="s">
        <v>39</v>
      </c>
      <c r="E1519" s="32" t="s">
        <v>122</v>
      </c>
      <c r="F1519" s="34" t="s">
        <v>31</v>
      </c>
      <c r="G1519" s="34" t="s">
        <v>2003</v>
      </c>
      <c r="H1519" s="35" t="s">
        <v>26</v>
      </c>
      <c r="I1519" s="35" t="s">
        <v>27</v>
      </c>
      <c r="J1519" s="57"/>
      <c r="K1519" s="57"/>
      <c r="L1519" s="84"/>
    </row>
    <row r="1520">
      <c r="A1520" s="32" t="s">
        <v>4125</v>
      </c>
      <c r="B1520" s="32" t="s">
        <v>4126</v>
      </c>
      <c r="C1520" s="33">
        <v>45862.0</v>
      </c>
      <c r="D1520" s="34" t="s">
        <v>22</v>
      </c>
      <c r="E1520" s="32" t="s">
        <v>416</v>
      </c>
      <c r="F1520" s="34" t="s">
        <v>24</v>
      </c>
      <c r="G1520" s="34" t="s">
        <v>104</v>
      </c>
      <c r="H1520" s="35" t="s">
        <v>26</v>
      </c>
      <c r="I1520" s="36" t="str">
        <f>HYPERLINK("https://open.spotify.com/album/4egP3g70GIxzEsabw4Hxce", "S")</f>
        <v>S</v>
      </c>
      <c r="J1520" s="57"/>
      <c r="K1520" s="57"/>
      <c r="L1520" s="84"/>
    </row>
    <row r="1521">
      <c r="A1521" s="32" t="s">
        <v>4127</v>
      </c>
      <c r="B1521" s="32" t="s">
        <v>4128</v>
      </c>
      <c r="C1521" s="33">
        <v>45863.0</v>
      </c>
      <c r="D1521" s="34" t="s">
        <v>22</v>
      </c>
      <c r="E1521" s="32" t="s">
        <v>1519</v>
      </c>
      <c r="F1521" s="34" t="s">
        <v>24</v>
      </c>
      <c r="G1521" s="34" t="s">
        <v>4129</v>
      </c>
      <c r="H1521" s="35" t="s">
        <v>26</v>
      </c>
      <c r="I1521" s="58" t="str">
        <f>HYPERLINK("https://open.spotify.com/album/1WG4BRLEmcM9U0kjixPV5Z", "S")</f>
        <v>S</v>
      </c>
      <c r="J1521" s="57"/>
      <c r="K1521" s="57"/>
      <c r="L1521" s="84"/>
    </row>
    <row r="1522">
      <c r="A1522" s="32" t="s">
        <v>4130</v>
      </c>
      <c r="B1522" s="32" t="s">
        <v>4131</v>
      </c>
      <c r="C1522" s="33">
        <v>45863.0</v>
      </c>
      <c r="D1522" s="34" t="s">
        <v>22</v>
      </c>
      <c r="E1522" s="32" t="s">
        <v>335</v>
      </c>
      <c r="F1522" s="34" t="s">
        <v>24</v>
      </c>
      <c r="G1522" s="34" t="s">
        <v>526</v>
      </c>
      <c r="H1522" s="35" t="s">
        <v>26</v>
      </c>
      <c r="I1522" s="35" t="s">
        <v>27</v>
      </c>
      <c r="J1522" s="57"/>
      <c r="K1522" s="57"/>
      <c r="L1522" s="84"/>
    </row>
    <row r="1523">
      <c r="A1523" s="32" t="s">
        <v>4132</v>
      </c>
      <c r="B1523" s="32" t="s">
        <v>4133</v>
      </c>
      <c r="C1523" s="33">
        <v>45863.0</v>
      </c>
      <c r="D1523" s="34" t="s">
        <v>22</v>
      </c>
      <c r="E1523" s="32" t="s">
        <v>4134</v>
      </c>
      <c r="F1523" s="34" t="s">
        <v>24</v>
      </c>
      <c r="G1523" s="34" t="s">
        <v>599</v>
      </c>
      <c r="H1523" s="35" t="s">
        <v>26</v>
      </c>
      <c r="I1523" s="35" t="s">
        <v>27</v>
      </c>
      <c r="J1523" s="35" t="s">
        <v>100</v>
      </c>
      <c r="K1523" s="57"/>
      <c r="L1523" s="84"/>
    </row>
    <row r="1524">
      <c r="A1524" s="32" t="s">
        <v>4135</v>
      </c>
      <c r="B1524" s="32" t="s">
        <v>4136</v>
      </c>
      <c r="C1524" s="33">
        <v>45863.0</v>
      </c>
      <c r="D1524" s="34" t="s">
        <v>22</v>
      </c>
      <c r="E1524" s="32" t="s">
        <v>111</v>
      </c>
      <c r="F1524" s="34" t="s">
        <v>53</v>
      </c>
      <c r="G1524" s="34" t="s">
        <v>302</v>
      </c>
      <c r="H1524" s="35" t="s">
        <v>26</v>
      </c>
      <c r="I1524" s="35" t="s">
        <v>27</v>
      </c>
      <c r="J1524" s="57"/>
      <c r="K1524" s="57"/>
      <c r="L1524" s="84"/>
    </row>
    <row r="1525">
      <c r="A1525" s="32" t="s">
        <v>4137</v>
      </c>
      <c r="B1525" s="32" t="s">
        <v>4138</v>
      </c>
      <c r="C1525" s="33">
        <v>45863.0</v>
      </c>
      <c r="D1525" s="34" t="s">
        <v>22</v>
      </c>
      <c r="E1525" s="32" t="s">
        <v>98</v>
      </c>
      <c r="F1525" s="34" t="s">
        <v>24</v>
      </c>
      <c r="G1525" s="34" t="s">
        <v>4139</v>
      </c>
      <c r="H1525" s="66"/>
      <c r="I1525" s="35" t="s">
        <v>27</v>
      </c>
      <c r="J1525" s="57"/>
      <c r="K1525" s="57"/>
      <c r="L1525" s="84"/>
    </row>
    <row r="1526">
      <c r="A1526" s="32" t="s">
        <v>4140</v>
      </c>
      <c r="B1526" s="32" t="s">
        <v>4141</v>
      </c>
      <c r="C1526" s="33">
        <v>45863.0</v>
      </c>
      <c r="D1526" s="34" t="s">
        <v>39</v>
      </c>
      <c r="E1526" s="32" t="s">
        <v>122</v>
      </c>
      <c r="F1526" s="34" t="s">
        <v>53</v>
      </c>
      <c r="G1526" s="34" t="s">
        <v>4142</v>
      </c>
      <c r="H1526" s="35" t="s">
        <v>26</v>
      </c>
      <c r="I1526" s="35" t="s">
        <v>27</v>
      </c>
      <c r="J1526" s="57"/>
      <c r="K1526" s="57"/>
      <c r="L1526" s="84"/>
    </row>
    <row r="1527">
      <c r="A1527" s="32" t="s">
        <v>4143</v>
      </c>
      <c r="B1527" s="32" t="s">
        <v>4144</v>
      </c>
      <c r="C1527" s="33">
        <v>45863.0</v>
      </c>
      <c r="D1527" s="34" t="s">
        <v>22</v>
      </c>
      <c r="E1527" s="32" t="s">
        <v>122</v>
      </c>
      <c r="F1527" s="34" t="s">
        <v>156</v>
      </c>
      <c r="G1527" s="34" t="s">
        <v>454</v>
      </c>
      <c r="H1527" s="35" t="s">
        <v>26</v>
      </c>
      <c r="I1527" s="35" t="s">
        <v>27</v>
      </c>
      <c r="J1527" s="57"/>
      <c r="K1527" s="57"/>
      <c r="L1527" s="84"/>
    </row>
    <row r="1528">
      <c r="A1528" s="32" t="s">
        <v>4145</v>
      </c>
      <c r="B1528" s="32" t="s">
        <v>4146</v>
      </c>
      <c r="C1528" s="33">
        <v>45863.0</v>
      </c>
      <c r="D1528" s="34" t="s">
        <v>22</v>
      </c>
      <c r="E1528" s="32" t="s">
        <v>4147</v>
      </c>
      <c r="F1528" s="34" t="s">
        <v>53</v>
      </c>
      <c r="G1528" s="34" t="s">
        <v>365</v>
      </c>
      <c r="H1528" s="35" t="s">
        <v>26</v>
      </c>
      <c r="I1528" s="35" t="s">
        <v>27</v>
      </c>
      <c r="J1528" s="35" t="s">
        <v>100</v>
      </c>
      <c r="K1528" s="57"/>
      <c r="L1528" s="84"/>
    </row>
    <row r="1529">
      <c r="A1529" s="32" t="s">
        <v>4148</v>
      </c>
      <c r="B1529" s="32" t="s">
        <v>4149</v>
      </c>
      <c r="C1529" s="33">
        <v>45863.0</v>
      </c>
      <c r="D1529" s="34" t="s">
        <v>22</v>
      </c>
      <c r="E1529" s="32" t="s">
        <v>1000</v>
      </c>
      <c r="F1529" s="34" t="s">
        <v>31</v>
      </c>
      <c r="G1529" s="34" t="s">
        <v>119</v>
      </c>
      <c r="H1529" s="35" t="s">
        <v>26</v>
      </c>
      <c r="I1529" s="35" t="s">
        <v>27</v>
      </c>
      <c r="J1529" s="35" t="s">
        <v>100</v>
      </c>
      <c r="K1529" s="57"/>
      <c r="L1529" s="84"/>
    </row>
    <row r="1530">
      <c r="A1530" s="32" t="s">
        <v>4150</v>
      </c>
      <c r="B1530" s="32" t="s">
        <v>4151</v>
      </c>
      <c r="C1530" s="33">
        <v>45863.0</v>
      </c>
      <c r="D1530" s="34" t="s">
        <v>22</v>
      </c>
      <c r="E1530" s="32" t="s">
        <v>370</v>
      </c>
      <c r="F1530" s="34" t="s">
        <v>24</v>
      </c>
      <c r="G1530" s="34" t="s">
        <v>4152</v>
      </c>
      <c r="H1530" s="35" t="s">
        <v>26</v>
      </c>
      <c r="I1530" s="35" t="s">
        <v>27</v>
      </c>
      <c r="J1530" s="35" t="s">
        <v>100</v>
      </c>
      <c r="K1530" s="57"/>
      <c r="L1530" s="84"/>
    </row>
    <row r="1531">
      <c r="A1531" s="32" t="s">
        <v>4153</v>
      </c>
      <c r="B1531" s="32" t="s">
        <v>4154</v>
      </c>
      <c r="C1531" s="33">
        <v>45863.0</v>
      </c>
      <c r="D1531" s="34" t="s">
        <v>22</v>
      </c>
      <c r="E1531" s="32" t="s">
        <v>73</v>
      </c>
      <c r="F1531" s="34" t="s">
        <v>24</v>
      </c>
      <c r="G1531" s="34" t="s">
        <v>342</v>
      </c>
      <c r="H1531" s="35" t="s">
        <v>26</v>
      </c>
      <c r="I1531" s="35" t="s">
        <v>27</v>
      </c>
      <c r="J1531" s="57"/>
      <c r="K1531" s="57"/>
      <c r="L1531" s="84"/>
    </row>
    <row r="1532">
      <c r="A1532" s="32" t="s">
        <v>4155</v>
      </c>
      <c r="B1532" s="32" t="s">
        <v>4156</v>
      </c>
      <c r="C1532" s="33">
        <v>45863.0</v>
      </c>
      <c r="D1532" s="34" t="s">
        <v>22</v>
      </c>
      <c r="E1532" s="32" t="s">
        <v>328</v>
      </c>
      <c r="F1532" s="34" t="s">
        <v>24</v>
      </c>
      <c r="G1532" s="34" t="s">
        <v>3902</v>
      </c>
      <c r="H1532" s="35" t="s">
        <v>26</v>
      </c>
      <c r="I1532" s="35" t="s">
        <v>27</v>
      </c>
      <c r="J1532" s="35" t="s">
        <v>100</v>
      </c>
      <c r="K1532" s="57"/>
      <c r="L1532" s="84"/>
    </row>
    <row r="1533">
      <c r="A1533" s="32" t="s">
        <v>4157</v>
      </c>
      <c r="B1533" s="32" t="s">
        <v>4158</v>
      </c>
      <c r="C1533" s="33">
        <v>45863.0</v>
      </c>
      <c r="D1533" s="47" t="s">
        <v>22</v>
      </c>
      <c r="E1533" s="32" t="s">
        <v>513</v>
      </c>
      <c r="F1533" s="34" t="s">
        <v>156</v>
      </c>
      <c r="G1533" s="34" t="s">
        <v>4159</v>
      </c>
      <c r="H1533" s="35" t="s">
        <v>26</v>
      </c>
      <c r="I1533" s="35" t="s">
        <v>27</v>
      </c>
      <c r="J1533" s="57"/>
      <c r="K1533" s="57"/>
      <c r="L1533" s="84"/>
    </row>
    <row r="1534">
      <c r="A1534" s="32" t="s">
        <v>4160</v>
      </c>
      <c r="B1534" s="32" t="s">
        <v>4161</v>
      </c>
      <c r="C1534" s="33">
        <v>45863.0</v>
      </c>
      <c r="D1534" s="47" t="s">
        <v>22</v>
      </c>
      <c r="E1534" s="32" t="s">
        <v>1285</v>
      </c>
      <c r="F1534" s="34" t="s">
        <v>156</v>
      </c>
      <c r="G1534" s="34" t="s">
        <v>181</v>
      </c>
      <c r="H1534" s="35" t="s">
        <v>26</v>
      </c>
      <c r="I1534" s="35" t="s">
        <v>27</v>
      </c>
      <c r="J1534" s="57"/>
      <c r="K1534" s="57"/>
      <c r="L1534" s="84"/>
    </row>
    <row r="1535">
      <c r="A1535" s="32" t="s">
        <v>4162</v>
      </c>
      <c r="B1535" s="32" t="s">
        <v>4163</v>
      </c>
      <c r="C1535" s="33">
        <v>45863.0</v>
      </c>
      <c r="D1535" s="34" t="s">
        <v>22</v>
      </c>
      <c r="E1535" s="32" t="s">
        <v>513</v>
      </c>
      <c r="F1535" s="34" t="s">
        <v>156</v>
      </c>
      <c r="G1535" s="34" t="s">
        <v>1205</v>
      </c>
      <c r="H1535" s="35" t="s">
        <v>26</v>
      </c>
      <c r="I1535" s="35" t="s">
        <v>27</v>
      </c>
      <c r="J1535" s="57"/>
      <c r="K1535" s="57"/>
      <c r="L1535" s="84"/>
    </row>
    <row r="1536">
      <c r="A1536" s="32" t="s">
        <v>4164</v>
      </c>
      <c r="B1536" s="32" t="s">
        <v>4165</v>
      </c>
      <c r="C1536" s="33">
        <v>45863.0</v>
      </c>
      <c r="D1536" s="34" t="s">
        <v>22</v>
      </c>
      <c r="E1536" s="32" t="s">
        <v>61</v>
      </c>
      <c r="F1536" s="34" t="s">
        <v>24</v>
      </c>
      <c r="G1536" s="34" t="s">
        <v>437</v>
      </c>
      <c r="H1536" s="35" t="s">
        <v>26</v>
      </c>
      <c r="I1536" s="35" t="s">
        <v>27</v>
      </c>
      <c r="J1536" s="57"/>
      <c r="K1536" s="57"/>
      <c r="L1536" s="84"/>
    </row>
    <row r="1537">
      <c r="A1537" s="32" t="s">
        <v>4166</v>
      </c>
      <c r="B1537" s="67">
        <v>0.0</v>
      </c>
      <c r="C1537" s="33">
        <v>45863.0</v>
      </c>
      <c r="D1537" s="34" t="s">
        <v>22</v>
      </c>
      <c r="E1537" s="32" t="s">
        <v>1042</v>
      </c>
      <c r="F1537" s="34" t="s">
        <v>53</v>
      </c>
      <c r="G1537" s="34" t="s">
        <v>4167</v>
      </c>
      <c r="H1537" s="35" t="s">
        <v>26</v>
      </c>
      <c r="I1537" s="35" t="s">
        <v>27</v>
      </c>
      <c r="J1537" s="35" t="s">
        <v>100</v>
      </c>
      <c r="K1537" s="57"/>
      <c r="L1537" s="84"/>
    </row>
    <row r="1538">
      <c r="A1538" s="32" t="s">
        <v>4168</v>
      </c>
      <c r="B1538" s="32" t="s">
        <v>4169</v>
      </c>
      <c r="C1538" s="33">
        <v>45863.0</v>
      </c>
      <c r="D1538" s="34" t="s">
        <v>22</v>
      </c>
      <c r="E1538" s="32" t="s">
        <v>4170</v>
      </c>
      <c r="F1538" s="34" t="s">
        <v>24</v>
      </c>
      <c r="G1538" s="34" t="s">
        <v>2387</v>
      </c>
      <c r="H1538" s="35" t="s">
        <v>26</v>
      </c>
      <c r="I1538" s="35" t="s">
        <v>27</v>
      </c>
      <c r="J1538" s="57"/>
      <c r="K1538" s="57"/>
      <c r="L1538" s="84"/>
    </row>
    <row r="1539">
      <c r="A1539" s="32" t="s">
        <v>4171</v>
      </c>
      <c r="B1539" s="32" t="s">
        <v>4172</v>
      </c>
      <c r="C1539" s="33">
        <v>45863.0</v>
      </c>
      <c r="D1539" s="34" t="s">
        <v>22</v>
      </c>
      <c r="E1539" s="32" t="s">
        <v>2338</v>
      </c>
      <c r="F1539" s="34" t="s">
        <v>24</v>
      </c>
      <c r="G1539" s="34" t="s">
        <v>1092</v>
      </c>
      <c r="H1539" s="35" t="s">
        <v>26</v>
      </c>
      <c r="I1539" s="35" t="s">
        <v>27</v>
      </c>
      <c r="J1539" s="57"/>
      <c r="K1539" s="57"/>
      <c r="L1539" s="84"/>
    </row>
    <row r="1540">
      <c r="A1540" s="32" t="s">
        <v>2523</v>
      </c>
      <c r="B1540" s="32" t="s">
        <v>4173</v>
      </c>
      <c r="C1540" s="33">
        <v>45863.0</v>
      </c>
      <c r="D1540" s="34" t="s">
        <v>22</v>
      </c>
      <c r="E1540" s="32" t="s">
        <v>355</v>
      </c>
      <c r="F1540" s="34" t="s">
        <v>24</v>
      </c>
      <c r="G1540" s="34" t="s">
        <v>2525</v>
      </c>
      <c r="H1540" s="35" t="s">
        <v>26</v>
      </c>
      <c r="I1540" s="35" t="s">
        <v>27</v>
      </c>
      <c r="J1540" s="57"/>
      <c r="K1540" s="57"/>
      <c r="L1540" s="84"/>
    </row>
    <row r="1541">
      <c r="A1541" s="32" t="s">
        <v>4174</v>
      </c>
      <c r="B1541" s="32" t="s">
        <v>4175</v>
      </c>
      <c r="C1541" s="33">
        <v>45863.0</v>
      </c>
      <c r="D1541" s="34" t="s">
        <v>22</v>
      </c>
      <c r="E1541" s="32" t="s">
        <v>284</v>
      </c>
      <c r="F1541" s="34" t="s">
        <v>24</v>
      </c>
      <c r="G1541" s="34" t="s">
        <v>202</v>
      </c>
      <c r="H1541" s="35" t="s">
        <v>26</v>
      </c>
      <c r="I1541" s="35" t="s">
        <v>27</v>
      </c>
      <c r="J1541" s="57"/>
      <c r="K1541" s="57"/>
      <c r="L1541" s="84"/>
    </row>
    <row r="1542">
      <c r="A1542" s="32" t="s">
        <v>4176</v>
      </c>
      <c r="B1542" s="32" t="s">
        <v>4177</v>
      </c>
      <c r="C1542" s="33">
        <v>45863.0</v>
      </c>
      <c r="D1542" s="34" t="s">
        <v>22</v>
      </c>
      <c r="E1542" s="32" t="s">
        <v>4178</v>
      </c>
      <c r="F1542" s="34" t="s">
        <v>24</v>
      </c>
      <c r="G1542" s="34" t="s">
        <v>365</v>
      </c>
      <c r="H1542" s="35" t="s">
        <v>26</v>
      </c>
      <c r="I1542" s="58" t="str">
        <f>HYPERLINK("https://open.spotify.com/album/6fckhabB4NdGWZTSoOjoC5", "S")</f>
        <v>S</v>
      </c>
      <c r="J1542" s="57"/>
      <c r="K1542" s="57"/>
      <c r="L1542" s="84"/>
    </row>
    <row r="1543">
      <c r="A1543" s="32" t="s">
        <v>4179</v>
      </c>
      <c r="B1543" s="32" t="s">
        <v>4180</v>
      </c>
      <c r="C1543" s="33">
        <v>45863.0</v>
      </c>
      <c r="D1543" s="34" t="s">
        <v>22</v>
      </c>
      <c r="E1543" s="32" t="s">
        <v>4181</v>
      </c>
      <c r="F1543" s="34" t="s">
        <v>24</v>
      </c>
      <c r="G1543" s="34" t="s">
        <v>1617</v>
      </c>
      <c r="H1543" s="35" t="s">
        <v>26</v>
      </c>
      <c r="I1543" s="35" t="s">
        <v>27</v>
      </c>
      <c r="J1543" s="35" t="s">
        <v>100</v>
      </c>
      <c r="K1543" s="57"/>
      <c r="L1543" s="84"/>
    </row>
    <row r="1544">
      <c r="A1544" s="32" t="s">
        <v>4182</v>
      </c>
      <c r="B1544" s="32" t="s">
        <v>4183</v>
      </c>
      <c r="C1544" s="33">
        <v>45863.0</v>
      </c>
      <c r="D1544" s="34" t="s">
        <v>22</v>
      </c>
      <c r="E1544" s="32" t="s">
        <v>61</v>
      </c>
      <c r="F1544" s="34" t="s">
        <v>24</v>
      </c>
      <c r="G1544" s="34" t="s">
        <v>41</v>
      </c>
      <c r="H1544" s="35" t="s">
        <v>26</v>
      </c>
      <c r="I1544" s="35" t="s">
        <v>27</v>
      </c>
      <c r="J1544" s="35" t="s">
        <v>100</v>
      </c>
      <c r="K1544" s="57"/>
      <c r="L1544" s="84"/>
    </row>
    <row r="1545">
      <c r="A1545" s="32" t="s">
        <v>4184</v>
      </c>
      <c r="B1545" s="32" t="s">
        <v>4185</v>
      </c>
      <c r="C1545" s="33">
        <v>45863.0</v>
      </c>
      <c r="D1545" s="34" t="s">
        <v>22</v>
      </c>
      <c r="E1545" s="32" t="s">
        <v>521</v>
      </c>
      <c r="F1545" s="34" t="s">
        <v>24</v>
      </c>
      <c r="G1545" s="34" t="s">
        <v>1209</v>
      </c>
      <c r="H1545" s="35" t="s">
        <v>26</v>
      </c>
      <c r="I1545" s="35" t="s">
        <v>27</v>
      </c>
      <c r="J1545" s="57"/>
      <c r="K1545" s="57"/>
      <c r="L1545" s="84"/>
    </row>
    <row r="1546">
      <c r="A1546" s="32" t="s">
        <v>4186</v>
      </c>
      <c r="B1546" s="32" t="s">
        <v>4187</v>
      </c>
      <c r="C1546" s="33">
        <v>45863.0</v>
      </c>
      <c r="D1546" s="34" t="s">
        <v>22</v>
      </c>
      <c r="E1546" s="32" t="s">
        <v>129</v>
      </c>
      <c r="F1546" s="34" t="s">
        <v>24</v>
      </c>
      <c r="G1546" s="34" t="s">
        <v>96</v>
      </c>
      <c r="H1546" s="35" t="s">
        <v>26</v>
      </c>
      <c r="I1546" s="35" t="s">
        <v>27</v>
      </c>
      <c r="J1546" s="35" t="s">
        <v>100</v>
      </c>
      <c r="K1546" s="57"/>
      <c r="L1546" s="84"/>
    </row>
    <row r="1547">
      <c r="A1547" s="32" t="s">
        <v>4188</v>
      </c>
      <c r="B1547" s="32" t="s">
        <v>4189</v>
      </c>
      <c r="C1547" s="33">
        <v>45863.0</v>
      </c>
      <c r="D1547" s="34" t="s">
        <v>22</v>
      </c>
      <c r="E1547" s="32" t="s">
        <v>4190</v>
      </c>
      <c r="F1547" s="34" t="s">
        <v>24</v>
      </c>
      <c r="G1547" s="34" t="s">
        <v>213</v>
      </c>
      <c r="H1547" s="35" t="s">
        <v>26</v>
      </c>
      <c r="I1547" s="35" t="s">
        <v>27</v>
      </c>
      <c r="J1547" s="57"/>
      <c r="K1547" s="57"/>
      <c r="L1547" s="84"/>
    </row>
    <row r="1548">
      <c r="A1548" s="32" t="s">
        <v>4191</v>
      </c>
      <c r="B1548" s="32" t="s">
        <v>4192</v>
      </c>
      <c r="C1548" s="33">
        <v>45863.0</v>
      </c>
      <c r="D1548" s="34" t="s">
        <v>22</v>
      </c>
      <c r="E1548" s="32" t="s">
        <v>4193</v>
      </c>
      <c r="F1548" s="34" t="s">
        <v>53</v>
      </c>
      <c r="G1548" s="34" t="s">
        <v>225</v>
      </c>
      <c r="H1548" s="35" t="s">
        <v>26</v>
      </c>
      <c r="I1548" s="35" t="s">
        <v>27</v>
      </c>
      <c r="J1548" s="57"/>
      <c r="K1548" s="57"/>
      <c r="L1548" s="84"/>
    </row>
    <row r="1549">
      <c r="A1549" s="32" t="s">
        <v>4194</v>
      </c>
      <c r="B1549" s="32" t="s">
        <v>4195</v>
      </c>
      <c r="C1549" s="33">
        <v>45863.0</v>
      </c>
      <c r="D1549" s="34" t="s">
        <v>22</v>
      </c>
      <c r="E1549" s="32" t="s">
        <v>126</v>
      </c>
      <c r="F1549" s="34" t="s">
        <v>24</v>
      </c>
      <c r="G1549" s="34" t="s">
        <v>336</v>
      </c>
      <c r="H1549" s="35" t="s">
        <v>26</v>
      </c>
      <c r="I1549" s="35" t="s">
        <v>27</v>
      </c>
      <c r="J1549" s="57"/>
      <c r="K1549" s="57"/>
      <c r="L1549" s="84"/>
    </row>
    <row r="1550">
      <c r="A1550" s="32" t="s">
        <v>4196</v>
      </c>
      <c r="B1550" s="32" t="s">
        <v>4197</v>
      </c>
      <c r="C1550" s="33">
        <v>45863.0</v>
      </c>
      <c r="D1550" s="34" t="s">
        <v>22</v>
      </c>
      <c r="E1550" s="32" t="s">
        <v>61</v>
      </c>
      <c r="F1550" s="34" t="s">
        <v>24</v>
      </c>
      <c r="G1550" s="34" t="s">
        <v>532</v>
      </c>
      <c r="H1550" s="35" t="s">
        <v>26</v>
      </c>
      <c r="I1550" s="35" t="s">
        <v>27</v>
      </c>
      <c r="J1550" s="57"/>
      <c r="K1550" s="57"/>
      <c r="L1550" s="84"/>
    </row>
    <row r="1551">
      <c r="A1551" s="32" t="s">
        <v>4198</v>
      </c>
      <c r="B1551" s="32" t="s">
        <v>4199</v>
      </c>
      <c r="C1551" s="33">
        <v>45863.0</v>
      </c>
      <c r="D1551" s="34" t="s">
        <v>22</v>
      </c>
      <c r="E1551" s="32" t="s">
        <v>61</v>
      </c>
      <c r="F1551" s="34" t="s">
        <v>24</v>
      </c>
      <c r="G1551" s="34" t="s">
        <v>423</v>
      </c>
      <c r="H1551" s="35" t="s">
        <v>26</v>
      </c>
      <c r="I1551" s="35" t="s">
        <v>27</v>
      </c>
      <c r="J1551" s="57"/>
      <c r="K1551" s="57"/>
      <c r="L1551" s="84"/>
    </row>
    <row r="1552">
      <c r="A1552" s="32" t="s">
        <v>4200</v>
      </c>
      <c r="B1552" s="32" t="s">
        <v>4201</v>
      </c>
      <c r="C1552" s="33">
        <v>45863.0</v>
      </c>
      <c r="D1552" s="34" t="s">
        <v>22</v>
      </c>
      <c r="E1552" s="32" t="s">
        <v>122</v>
      </c>
      <c r="F1552" s="34" t="s">
        <v>156</v>
      </c>
      <c r="G1552" s="34" t="s">
        <v>199</v>
      </c>
      <c r="H1552" s="35" t="s">
        <v>26</v>
      </c>
      <c r="I1552" s="35" t="s">
        <v>27</v>
      </c>
      <c r="J1552" s="57"/>
      <c r="K1552" s="57"/>
      <c r="L1552" s="84"/>
    </row>
    <row r="1553">
      <c r="A1553" s="32" t="s">
        <v>4202</v>
      </c>
      <c r="B1553" s="32" t="s">
        <v>4203</v>
      </c>
      <c r="C1553" s="33">
        <v>45863.0</v>
      </c>
      <c r="D1553" s="47" t="s">
        <v>22</v>
      </c>
      <c r="E1553" s="32" t="s">
        <v>4204</v>
      </c>
      <c r="F1553" s="34" t="s">
        <v>53</v>
      </c>
      <c r="G1553" s="34" t="s">
        <v>202</v>
      </c>
      <c r="H1553" s="35" t="s">
        <v>26</v>
      </c>
      <c r="I1553" s="58" t="str">
        <f>HYPERLINK("https://open.spotify.com/album/2pHVgUHyr2eQDfiFvfRdYy", "S")</f>
        <v>S</v>
      </c>
      <c r="J1553" s="57"/>
      <c r="K1553" s="57"/>
      <c r="L1553" s="84"/>
    </row>
    <row r="1554">
      <c r="A1554" s="32" t="s">
        <v>4205</v>
      </c>
      <c r="B1554" s="32" t="s">
        <v>4206</v>
      </c>
      <c r="C1554" s="33">
        <v>45863.0</v>
      </c>
      <c r="D1554" s="34" t="s">
        <v>39</v>
      </c>
      <c r="E1554" s="32" t="s">
        <v>328</v>
      </c>
      <c r="F1554" s="34" t="s">
        <v>156</v>
      </c>
      <c r="G1554" s="34" t="s">
        <v>96</v>
      </c>
      <c r="H1554" s="35" t="s">
        <v>26</v>
      </c>
      <c r="I1554" s="35" t="s">
        <v>27</v>
      </c>
      <c r="J1554" s="57"/>
      <c r="K1554" s="57"/>
      <c r="L1554" s="84"/>
    </row>
    <row r="1555">
      <c r="A1555" s="32" t="s">
        <v>4207</v>
      </c>
      <c r="B1555" s="32" t="s">
        <v>4208</v>
      </c>
      <c r="C1555" s="33">
        <v>45863.0</v>
      </c>
      <c r="D1555" s="47" t="s">
        <v>22</v>
      </c>
      <c r="E1555" s="32" t="s">
        <v>4209</v>
      </c>
      <c r="F1555" s="34" t="s">
        <v>24</v>
      </c>
      <c r="G1555" s="34" t="s">
        <v>460</v>
      </c>
      <c r="H1555" s="35" t="s">
        <v>26</v>
      </c>
      <c r="I1555" s="35" t="s">
        <v>27</v>
      </c>
      <c r="J1555" s="57"/>
      <c r="K1555" s="57"/>
      <c r="L1555" s="84"/>
    </row>
    <row r="1556">
      <c r="A1556" s="32" t="s">
        <v>4210</v>
      </c>
      <c r="B1556" s="32" t="s">
        <v>4211</v>
      </c>
      <c r="C1556" s="33">
        <v>45863.0</v>
      </c>
      <c r="D1556" s="34" t="s">
        <v>22</v>
      </c>
      <c r="E1556" s="32" t="s">
        <v>122</v>
      </c>
      <c r="F1556" s="34" t="s">
        <v>53</v>
      </c>
      <c r="G1556" s="34" t="s">
        <v>4063</v>
      </c>
      <c r="H1556" s="66"/>
      <c r="I1556" s="35" t="s">
        <v>27</v>
      </c>
      <c r="J1556" s="57"/>
      <c r="K1556" s="57"/>
      <c r="L1556" s="84"/>
    </row>
    <row r="1557">
      <c r="A1557" s="32" t="s">
        <v>4212</v>
      </c>
      <c r="B1557" s="32" t="s">
        <v>4213</v>
      </c>
      <c r="C1557" s="33">
        <v>45863.0</v>
      </c>
      <c r="D1557" s="47" t="s">
        <v>39</v>
      </c>
      <c r="E1557" s="32" t="s">
        <v>370</v>
      </c>
      <c r="F1557" s="34" t="s">
        <v>24</v>
      </c>
      <c r="G1557" s="34" t="s">
        <v>4214</v>
      </c>
      <c r="H1557" s="35" t="s">
        <v>26</v>
      </c>
      <c r="I1557" s="35" t="s">
        <v>27</v>
      </c>
      <c r="J1557" s="57"/>
      <c r="K1557" s="57"/>
      <c r="L1557" s="84"/>
    </row>
    <row r="1558">
      <c r="A1558" s="32" t="s">
        <v>4215</v>
      </c>
      <c r="B1558" s="32" t="s">
        <v>4216</v>
      </c>
      <c r="C1558" s="33">
        <v>45864.0</v>
      </c>
      <c r="D1558" s="47" t="s">
        <v>39</v>
      </c>
      <c r="E1558" s="32" t="s">
        <v>1519</v>
      </c>
      <c r="F1558" s="34" t="s">
        <v>156</v>
      </c>
      <c r="G1558" s="34" t="s">
        <v>1632</v>
      </c>
      <c r="H1558" s="35" t="s">
        <v>26</v>
      </c>
      <c r="I1558" s="35" t="s">
        <v>27</v>
      </c>
      <c r="J1558" s="57"/>
      <c r="K1558" s="57"/>
      <c r="L1558" s="84"/>
    </row>
    <row r="1559">
      <c r="A1559" s="32" t="s">
        <v>4217</v>
      </c>
      <c r="B1559" s="32" t="s">
        <v>4218</v>
      </c>
      <c r="C1559" s="33">
        <v>45864.0</v>
      </c>
      <c r="D1559" s="34" t="s">
        <v>22</v>
      </c>
      <c r="E1559" s="32" t="s">
        <v>473</v>
      </c>
      <c r="F1559" s="34" t="s">
        <v>24</v>
      </c>
      <c r="G1559" s="34" t="s">
        <v>45</v>
      </c>
      <c r="H1559" s="35" t="s">
        <v>26</v>
      </c>
      <c r="I1559" s="57"/>
      <c r="J1559" s="57"/>
      <c r="K1559" s="57"/>
      <c r="L1559" s="84"/>
    </row>
    <row r="1560">
      <c r="A1560" s="32" t="s">
        <v>4219</v>
      </c>
      <c r="B1560" s="32" t="s">
        <v>4220</v>
      </c>
      <c r="C1560" s="33">
        <v>45866.0</v>
      </c>
      <c r="D1560" s="47" t="s">
        <v>22</v>
      </c>
      <c r="E1560" s="32" t="s">
        <v>4221</v>
      </c>
      <c r="F1560" s="34" t="s">
        <v>53</v>
      </c>
      <c r="G1560" s="34" t="s">
        <v>892</v>
      </c>
      <c r="H1560" s="35" t="s">
        <v>26</v>
      </c>
      <c r="I1560" s="36" t="str">
        <f>HYPERLINK("https://open.spotify.com/album/3E1cgl2tLlbELWZvt2Qhxw", "S")</f>
        <v>S</v>
      </c>
      <c r="J1560" s="57"/>
      <c r="K1560" s="57"/>
      <c r="L1560" s="84"/>
    </row>
    <row r="1561">
      <c r="A1561" s="32" t="s">
        <v>4222</v>
      </c>
      <c r="B1561" s="32" t="s">
        <v>4223</v>
      </c>
      <c r="C1561" s="33">
        <v>45867.0</v>
      </c>
      <c r="D1561" s="47" t="s">
        <v>22</v>
      </c>
      <c r="E1561" s="32" t="s">
        <v>61</v>
      </c>
      <c r="F1561" s="34" t="s">
        <v>24</v>
      </c>
      <c r="G1561" s="34" t="s">
        <v>352</v>
      </c>
      <c r="H1561" s="35" t="s">
        <v>26</v>
      </c>
      <c r="I1561" s="36" t="str">
        <f>HYPERLINK("https://open.spotify.com/album/1yX1DqpJxmoahZc25YOndU", "S")</f>
        <v>S</v>
      </c>
      <c r="J1561" s="35" t="s">
        <v>100</v>
      </c>
      <c r="K1561" s="57"/>
      <c r="L1561" s="84"/>
    </row>
    <row r="1562">
      <c r="A1562" s="32" t="s">
        <v>4224</v>
      </c>
      <c r="B1562" s="32" t="s">
        <v>4225</v>
      </c>
      <c r="C1562" s="33">
        <v>45868.0</v>
      </c>
      <c r="D1562" s="34" t="s">
        <v>22</v>
      </c>
      <c r="E1562" s="32" t="s">
        <v>2595</v>
      </c>
      <c r="F1562" s="34" t="s">
        <v>53</v>
      </c>
      <c r="G1562" s="34" t="s">
        <v>939</v>
      </c>
      <c r="H1562" s="35" t="s">
        <v>26</v>
      </c>
      <c r="I1562" s="104"/>
      <c r="J1562" s="57"/>
      <c r="K1562" s="57"/>
      <c r="L1562" s="84"/>
    </row>
    <row r="1563">
      <c r="A1563" s="32" t="s">
        <v>2735</v>
      </c>
      <c r="B1563" s="32" t="s">
        <v>4226</v>
      </c>
      <c r="C1563" s="33">
        <v>45869.0</v>
      </c>
      <c r="D1563" s="69" t="s">
        <v>22</v>
      </c>
      <c r="E1563" s="32" t="s">
        <v>176</v>
      </c>
      <c r="F1563" s="34" t="s">
        <v>156</v>
      </c>
      <c r="G1563" s="34" t="s">
        <v>767</v>
      </c>
      <c r="H1563" s="35" t="s">
        <v>26</v>
      </c>
      <c r="I1563" s="57"/>
      <c r="J1563" s="57"/>
      <c r="K1563" s="57"/>
      <c r="L1563" s="84"/>
    </row>
    <row r="1564">
      <c r="A1564" s="32" t="s">
        <v>4227</v>
      </c>
      <c r="B1564" s="32" t="s">
        <v>4228</v>
      </c>
      <c r="C1564" s="33">
        <v>45870.0</v>
      </c>
      <c r="D1564" s="47" t="s">
        <v>22</v>
      </c>
      <c r="E1564" s="32" t="s">
        <v>1081</v>
      </c>
      <c r="F1564" s="34" t="s">
        <v>156</v>
      </c>
      <c r="G1564" s="34" t="s">
        <v>4229</v>
      </c>
      <c r="H1564" s="35" t="s">
        <v>26</v>
      </c>
      <c r="I1564" s="104"/>
      <c r="J1564" s="57"/>
      <c r="K1564" s="57"/>
      <c r="L1564" s="84"/>
    </row>
    <row r="1565">
      <c r="A1565" s="32" t="s">
        <v>4230</v>
      </c>
      <c r="B1565" s="32" t="s">
        <v>4231</v>
      </c>
      <c r="C1565" s="33">
        <v>45870.0</v>
      </c>
      <c r="D1565" s="69" t="s">
        <v>22</v>
      </c>
      <c r="E1565" s="32" t="s">
        <v>1425</v>
      </c>
      <c r="F1565" s="34" t="s">
        <v>156</v>
      </c>
      <c r="G1565" s="34" t="s">
        <v>4232</v>
      </c>
      <c r="H1565" s="35" t="s">
        <v>26</v>
      </c>
      <c r="I1565" s="36" t="str">
        <f>HYPERLINK("https://open.spotify.com/album/21j6rwRE7xT82Eh3Jaqvmq", "S")</f>
        <v>S</v>
      </c>
      <c r="J1565" s="57"/>
      <c r="K1565" s="57"/>
      <c r="L1565" s="84"/>
    </row>
    <row r="1566">
      <c r="A1566" s="32" t="s">
        <v>4233</v>
      </c>
      <c r="B1566" s="32" t="s">
        <v>4234</v>
      </c>
      <c r="C1566" s="33">
        <v>45870.0</v>
      </c>
      <c r="D1566" s="34" t="s">
        <v>22</v>
      </c>
      <c r="E1566" s="32" t="s">
        <v>263</v>
      </c>
      <c r="F1566" s="34" t="s">
        <v>24</v>
      </c>
      <c r="G1566" s="34" t="s">
        <v>49</v>
      </c>
      <c r="H1566" s="35" t="s">
        <v>26</v>
      </c>
      <c r="I1566" s="36" t="str">
        <f>HYPERLINK("https://open.spotify.com/album/0MZzP5vaM4GOl7DjmkDELm", "S")</f>
        <v>S</v>
      </c>
      <c r="J1566" s="57"/>
      <c r="K1566" s="57"/>
      <c r="L1566" s="84"/>
    </row>
    <row r="1567">
      <c r="A1567" s="32" t="s">
        <v>4235</v>
      </c>
      <c r="B1567" s="32" t="s">
        <v>4236</v>
      </c>
      <c r="C1567" s="33">
        <v>45870.0</v>
      </c>
      <c r="D1567" s="34" t="s">
        <v>22</v>
      </c>
      <c r="E1567" s="32" t="s">
        <v>632</v>
      </c>
      <c r="F1567" s="34" t="s">
        <v>24</v>
      </c>
      <c r="G1567" s="34" t="s">
        <v>4237</v>
      </c>
      <c r="H1567" s="35" t="s">
        <v>26</v>
      </c>
      <c r="I1567" s="36" t="str">
        <f>HYPERLINK("https://open.spotify.com/album/3gbaPRJHPzOYTat0hR4BBs", "S")</f>
        <v>S</v>
      </c>
      <c r="J1567" s="57"/>
      <c r="K1567" s="57"/>
      <c r="L1567" s="84"/>
    </row>
    <row r="1568">
      <c r="A1568" s="32" t="s">
        <v>1087</v>
      </c>
      <c r="B1568" s="32" t="s">
        <v>4238</v>
      </c>
      <c r="C1568" s="33">
        <v>45870.0</v>
      </c>
      <c r="D1568" s="34" t="s">
        <v>22</v>
      </c>
      <c r="E1568" s="32" t="s">
        <v>535</v>
      </c>
      <c r="F1568" s="34" t="s">
        <v>24</v>
      </c>
      <c r="G1568" s="34" t="s">
        <v>62</v>
      </c>
      <c r="H1568" s="35" t="s">
        <v>26</v>
      </c>
      <c r="I1568" s="36" t="str">
        <f>HYPERLINK("https://open.spotify.com/album/4oNNm4OQYwGUq6A0xjDvCL", "S")</f>
        <v>S</v>
      </c>
      <c r="J1568" s="57"/>
      <c r="K1568" s="57"/>
      <c r="L1568" s="84"/>
    </row>
    <row r="1569">
      <c r="A1569" s="32" t="s">
        <v>4239</v>
      </c>
      <c r="B1569" s="32" t="s">
        <v>4240</v>
      </c>
      <c r="C1569" s="33">
        <v>45870.0</v>
      </c>
      <c r="D1569" s="34" t="s">
        <v>22</v>
      </c>
      <c r="E1569" s="32" t="s">
        <v>52</v>
      </c>
      <c r="F1569" s="34" t="s">
        <v>24</v>
      </c>
      <c r="G1569" s="34" t="s">
        <v>292</v>
      </c>
      <c r="H1569" s="35" t="s">
        <v>26</v>
      </c>
      <c r="I1569" s="36" t="str">
        <f>HYPERLINK("https://open.spotify.com/album/5kYx5SkOIiykoZB14sC9Tf", "S")</f>
        <v>S</v>
      </c>
      <c r="J1569" s="57"/>
      <c r="K1569" s="57"/>
      <c r="L1569" s="84"/>
    </row>
    <row r="1570">
      <c r="A1570" s="32" t="s">
        <v>4241</v>
      </c>
      <c r="B1570" s="32" t="s">
        <v>4242</v>
      </c>
      <c r="C1570" s="33">
        <v>45870.0</v>
      </c>
      <c r="D1570" s="34" t="s">
        <v>39</v>
      </c>
      <c r="E1570" s="32" t="s">
        <v>4243</v>
      </c>
      <c r="F1570" s="34" t="s">
        <v>53</v>
      </c>
      <c r="G1570" s="34" t="s">
        <v>1566</v>
      </c>
      <c r="H1570" s="35" t="s">
        <v>26</v>
      </c>
      <c r="I1570" s="36" t="str">
        <f>HYPERLINK("https://open.spotify.com/album/1D18fRrjJWjLk6DSh2FD2v", "S")</f>
        <v>S</v>
      </c>
      <c r="J1570" s="57"/>
      <c r="K1570" s="57"/>
      <c r="L1570" s="84"/>
    </row>
    <row r="1571">
      <c r="A1571" s="32" t="s">
        <v>4244</v>
      </c>
      <c r="B1571" s="32" t="s">
        <v>4245</v>
      </c>
      <c r="C1571" s="33">
        <v>45870.0</v>
      </c>
      <c r="D1571" s="34" t="s">
        <v>39</v>
      </c>
      <c r="E1571" s="32" t="s">
        <v>98</v>
      </c>
      <c r="F1571" s="34" t="s">
        <v>24</v>
      </c>
      <c r="G1571" s="34" t="s">
        <v>1404</v>
      </c>
      <c r="H1571" s="66"/>
      <c r="I1571" s="36" t="str">
        <f>HYPERLINK("https://open.spotify.com/album/1BWSBoiAL7EEh7epwLGEOl", "S")</f>
        <v>S</v>
      </c>
      <c r="J1571" s="35" t="s">
        <v>100</v>
      </c>
      <c r="K1571" s="57"/>
      <c r="L1571" s="84"/>
    </row>
    <row r="1572">
      <c r="A1572" s="32" t="s">
        <v>4246</v>
      </c>
      <c r="B1572" s="32" t="s">
        <v>4247</v>
      </c>
      <c r="C1572" s="33">
        <v>45870.0</v>
      </c>
      <c r="D1572" s="34" t="s">
        <v>22</v>
      </c>
      <c r="E1572" s="32" t="s">
        <v>4248</v>
      </c>
      <c r="F1572" s="34" t="s">
        <v>53</v>
      </c>
      <c r="G1572" s="34" t="s">
        <v>2544</v>
      </c>
      <c r="H1572" s="35" t="s">
        <v>26</v>
      </c>
      <c r="I1572" s="36" t="str">
        <f>HYPERLINK("https://open.spotify.com/album/4bTc11nxlikKJqEEY8rMqJ", "S")</f>
        <v>S</v>
      </c>
      <c r="J1572" s="57"/>
      <c r="K1572" s="57"/>
      <c r="L1572" s="84"/>
    </row>
    <row r="1573">
      <c r="A1573" s="32" t="s">
        <v>4249</v>
      </c>
      <c r="B1573" s="32" t="s">
        <v>4250</v>
      </c>
      <c r="C1573" s="33">
        <v>45870.0</v>
      </c>
      <c r="D1573" s="34" t="s">
        <v>22</v>
      </c>
      <c r="E1573" s="32" t="s">
        <v>370</v>
      </c>
      <c r="F1573" s="34" t="s">
        <v>53</v>
      </c>
      <c r="G1573" s="34" t="s">
        <v>104</v>
      </c>
      <c r="H1573" s="35" t="s">
        <v>26</v>
      </c>
      <c r="I1573" s="36" t="str">
        <f>HYPERLINK("https://open.spotify.com/album/2uFTzhRqtPHJqB18VqZAlu", "S")</f>
        <v>S</v>
      </c>
      <c r="J1573" s="57"/>
      <c r="K1573" s="57"/>
      <c r="L1573" s="84"/>
    </row>
    <row r="1574">
      <c r="A1574" s="32" t="s">
        <v>4251</v>
      </c>
      <c r="B1574" s="32" t="s">
        <v>4252</v>
      </c>
      <c r="C1574" s="33">
        <v>45870.0</v>
      </c>
      <c r="D1574" s="34" t="s">
        <v>22</v>
      </c>
      <c r="E1574" s="32" t="s">
        <v>4253</v>
      </c>
      <c r="F1574" s="34" t="s">
        <v>53</v>
      </c>
      <c r="G1574" s="34" t="s">
        <v>4254</v>
      </c>
      <c r="H1574" s="35" t="s">
        <v>26</v>
      </c>
      <c r="I1574" s="36" t="str">
        <f>HYPERLINK("https://open.spotify.com/album/0vpHoAYzXCuQL6ktmKxjSw", "S")</f>
        <v>S</v>
      </c>
      <c r="J1574" s="35" t="s">
        <v>100</v>
      </c>
      <c r="K1574" s="57"/>
      <c r="L1574" s="84"/>
    </row>
    <row r="1575">
      <c r="A1575" s="32" t="s">
        <v>4255</v>
      </c>
      <c r="B1575" s="32" t="s">
        <v>4256</v>
      </c>
      <c r="C1575" s="33">
        <v>45870.0</v>
      </c>
      <c r="D1575" s="34" t="s">
        <v>22</v>
      </c>
      <c r="E1575" s="32" t="s">
        <v>4257</v>
      </c>
      <c r="F1575" s="34" t="s">
        <v>53</v>
      </c>
      <c r="G1575" s="34" t="s">
        <v>4258</v>
      </c>
      <c r="H1575" s="35" t="s">
        <v>26</v>
      </c>
      <c r="I1575" s="36" t="str">
        <f>HYPERLINK("https://open.spotify.com/album/08BLxlsFpahvpKb5cfnG7c", "S")</f>
        <v>S</v>
      </c>
      <c r="J1575" s="57"/>
      <c r="K1575" s="57"/>
      <c r="L1575" s="84"/>
    </row>
    <row r="1576">
      <c r="A1576" s="32" t="s">
        <v>4259</v>
      </c>
      <c r="B1576" s="32" t="s">
        <v>4260</v>
      </c>
      <c r="C1576" s="33">
        <v>45870.0</v>
      </c>
      <c r="D1576" s="47" t="s">
        <v>22</v>
      </c>
      <c r="E1576" s="32" t="s">
        <v>4261</v>
      </c>
      <c r="F1576" s="34" t="s">
        <v>53</v>
      </c>
      <c r="G1576" s="34" t="s">
        <v>561</v>
      </c>
      <c r="H1576" s="65"/>
      <c r="I1576" s="36" t="str">
        <f>HYPERLINK("https://open.spotify.com/album/1Ra2mUwfvzmfNEtsWzyvx4", "S")</f>
        <v>S</v>
      </c>
      <c r="J1576" s="57"/>
      <c r="K1576" s="57"/>
      <c r="L1576" s="84"/>
    </row>
    <row r="1577">
      <c r="A1577" s="32" t="s">
        <v>4262</v>
      </c>
      <c r="B1577" s="32" t="s">
        <v>4263</v>
      </c>
      <c r="C1577" s="33">
        <v>45870.0</v>
      </c>
      <c r="D1577" s="34" t="s">
        <v>22</v>
      </c>
      <c r="E1577" s="32" t="s">
        <v>1743</v>
      </c>
      <c r="F1577" s="34" t="s">
        <v>24</v>
      </c>
      <c r="G1577" s="34" t="s">
        <v>1404</v>
      </c>
      <c r="H1577" s="35" t="s">
        <v>26</v>
      </c>
      <c r="I1577" s="36" t="str">
        <f>HYPERLINK("https://open.spotify.com/album/4HeffeJZd5QGSmYTi09cZU", "S")</f>
        <v>S</v>
      </c>
      <c r="J1577" s="57"/>
      <c r="K1577" s="57"/>
      <c r="L1577" s="84"/>
    </row>
    <row r="1578">
      <c r="A1578" s="32" t="s">
        <v>4264</v>
      </c>
      <c r="B1578" s="32" t="s">
        <v>4265</v>
      </c>
      <c r="C1578" s="33">
        <v>45870.0</v>
      </c>
      <c r="D1578" s="34" t="s">
        <v>22</v>
      </c>
      <c r="E1578" s="32" t="s">
        <v>855</v>
      </c>
      <c r="F1578" s="34" t="s">
        <v>156</v>
      </c>
      <c r="G1578" s="34" t="s">
        <v>1683</v>
      </c>
      <c r="H1578" s="35" t="s">
        <v>26</v>
      </c>
      <c r="I1578" s="36" t="str">
        <f>HYPERLINK("https://open.spotify.com/album/3DLTZn5PIavOs9XnqrrHF3", "S")</f>
        <v>S</v>
      </c>
      <c r="J1578" s="57"/>
      <c r="K1578" s="57"/>
      <c r="L1578" s="84"/>
    </row>
    <row r="1579">
      <c r="A1579" s="32" t="s">
        <v>4266</v>
      </c>
      <c r="B1579" s="32" t="s">
        <v>4267</v>
      </c>
      <c r="C1579" s="33">
        <v>45870.0</v>
      </c>
      <c r="D1579" s="47" t="s">
        <v>22</v>
      </c>
      <c r="E1579" s="32" t="s">
        <v>61</v>
      </c>
      <c r="F1579" s="34" t="s">
        <v>24</v>
      </c>
      <c r="G1579" s="34" t="s">
        <v>2596</v>
      </c>
      <c r="H1579" s="35" t="s">
        <v>26</v>
      </c>
      <c r="I1579" s="36" t="str">
        <f>HYPERLINK("https://open.spotify.com/album/1FWm8eNbd4KcCLUZLQ7kbd", "S")</f>
        <v>S</v>
      </c>
      <c r="J1579" s="57"/>
      <c r="K1579" s="57"/>
      <c r="L1579" s="84"/>
    </row>
    <row r="1580">
      <c r="A1580" s="32" t="s">
        <v>4268</v>
      </c>
      <c r="B1580" s="32" t="s">
        <v>4269</v>
      </c>
      <c r="C1580" s="33">
        <v>45870.0</v>
      </c>
      <c r="D1580" s="34" t="s">
        <v>22</v>
      </c>
      <c r="E1580" s="32" t="s">
        <v>3254</v>
      </c>
      <c r="F1580" s="34" t="s">
        <v>24</v>
      </c>
      <c r="G1580" s="34" t="s">
        <v>440</v>
      </c>
      <c r="H1580" s="35" t="s">
        <v>26</v>
      </c>
      <c r="I1580" s="36" t="str">
        <f>HYPERLINK("https://open.spotify.com/album/4BW4hPXcjkEgUllzIiFNR6", "S")</f>
        <v>S</v>
      </c>
      <c r="J1580" s="57"/>
      <c r="K1580" s="57"/>
      <c r="L1580" s="84"/>
    </row>
    <row r="1581">
      <c r="A1581" s="31" t="s">
        <v>4270</v>
      </c>
      <c r="B1581" s="32" t="s">
        <v>4271</v>
      </c>
      <c r="C1581" s="33">
        <v>45870.0</v>
      </c>
      <c r="D1581" s="47" t="s">
        <v>39</v>
      </c>
      <c r="E1581" s="32" t="s">
        <v>4272</v>
      </c>
      <c r="F1581" s="34" t="s">
        <v>24</v>
      </c>
      <c r="G1581" s="34" t="s">
        <v>2937</v>
      </c>
      <c r="H1581" s="35" t="s">
        <v>26</v>
      </c>
      <c r="I1581" s="104"/>
      <c r="J1581" s="57"/>
      <c r="K1581" s="57"/>
      <c r="L1581" s="84"/>
    </row>
    <row r="1582">
      <c r="A1582" s="32" t="s">
        <v>4273</v>
      </c>
      <c r="B1582" s="32" t="s">
        <v>4274</v>
      </c>
      <c r="C1582" s="33">
        <v>45870.0</v>
      </c>
      <c r="D1582" s="34" t="s">
        <v>22</v>
      </c>
      <c r="E1582" s="32" t="s">
        <v>3331</v>
      </c>
      <c r="F1582" s="34" t="s">
        <v>156</v>
      </c>
      <c r="G1582" s="34" t="s">
        <v>342</v>
      </c>
      <c r="H1582" s="35" t="s">
        <v>26</v>
      </c>
      <c r="I1582" s="36" t="str">
        <f>HYPERLINK("https://open.spotify.com/album/0RdzfhSMwXn03zKQQ83HBw", "S")</f>
        <v>S</v>
      </c>
      <c r="J1582" s="57"/>
      <c r="K1582" s="57"/>
      <c r="L1582" s="84"/>
    </row>
    <row r="1583">
      <c r="A1583" s="32" t="s">
        <v>4275</v>
      </c>
      <c r="B1583" s="32" t="s">
        <v>4276</v>
      </c>
      <c r="C1583" s="33">
        <v>45870.0</v>
      </c>
      <c r="D1583" s="34" t="s">
        <v>22</v>
      </c>
      <c r="E1583" s="32" t="s">
        <v>122</v>
      </c>
      <c r="F1583" s="34" t="s">
        <v>31</v>
      </c>
      <c r="G1583" s="34" t="s">
        <v>4277</v>
      </c>
      <c r="H1583" s="35" t="s">
        <v>26</v>
      </c>
      <c r="I1583" s="36" t="str">
        <f>HYPERLINK("https://open.spotify.com/album/3O0PmepT7H9IRXJK9tZvfz", "S")</f>
        <v>S</v>
      </c>
      <c r="J1583" s="57"/>
      <c r="K1583" s="57"/>
      <c r="L1583" s="84"/>
    </row>
    <row r="1584">
      <c r="A1584" s="32" t="s">
        <v>4278</v>
      </c>
      <c r="B1584" s="32" t="s">
        <v>4279</v>
      </c>
      <c r="C1584" s="33">
        <v>45870.0</v>
      </c>
      <c r="D1584" s="34" t="s">
        <v>22</v>
      </c>
      <c r="E1584" s="32" t="s">
        <v>4280</v>
      </c>
      <c r="F1584" s="34" t="s">
        <v>24</v>
      </c>
      <c r="G1584" s="34" t="s">
        <v>646</v>
      </c>
      <c r="H1584" s="35" t="s">
        <v>26</v>
      </c>
      <c r="I1584" s="36" t="str">
        <f>HYPERLINK("https://open.spotify.com/album/0QoiTLjQdZZ3fuoRnXKPok", "S")</f>
        <v>S</v>
      </c>
      <c r="J1584" s="57"/>
      <c r="K1584" s="57"/>
      <c r="L1584" s="84"/>
    </row>
    <row r="1585">
      <c r="A1585" s="32" t="s">
        <v>4281</v>
      </c>
      <c r="B1585" s="32" t="s">
        <v>4282</v>
      </c>
      <c r="C1585" s="33">
        <v>45870.0</v>
      </c>
      <c r="D1585" s="34" t="s">
        <v>22</v>
      </c>
      <c r="E1585" s="32" t="s">
        <v>61</v>
      </c>
      <c r="F1585" s="34" t="s">
        <v>24</v>
      </c>
      <c r="G1585" s="34" t="s">
        <v>1340</v>
      </c>
      <c r="H1585" s="35" t="s">
        <v>26</v>
      </c>
      <c r="I1585" s="36" t="str">
        <f>HYPERLINK("https://open.spotify.com/album/4nZoCOoFO2TaVFsoOYYEWj", "S")</f>
        <v>S</v>
      </c>
      <c r="J1585" s="57"/>
      <c r="K1585" s="57"/>
      <c r="L1585" s="84"/>
    </row>
    <row r="1586">
      <c r="A1586" s="32" t="s">
        <v>4283</v>
      </c>
      <c r="B1586" s="32" t="s">
        <v>4284</v>
      </c>
      <c r="C1586" s="33">
        <v>45870.0</v>
      </c>
      <c r="D1586" s="34" t="s">
        <v>22</v>
      </c>
      <c r="E1586" s="32" t="s">
        <v>3811</v>
      </c>
      <c r="F1586" s="34" t="s">
        <v>24</v>
      </c>
      <c r="G1586" s="34" t="s">
        <v>4285</v>
      </c>
      <c r="H1586" s="35" t="s">
        <v>26</v>
      </c>
      <c r="I1586" s="36" t="str">
        <f>HYPERLINK("https://open.spotify.com/album/7sSsxeuzCYwWRd509kUwX2", "S")</f>
        <v>S</v>
      </c>
      <c r="J1586" s="35" t="s">
        <v>100</v>
      </c>
      <c r="K1586" s="57"/>
      <c r="L1586" s="84"/>
    </row>
    <row r="1587">
      <c r="A1587" s="32" t="s">
        <v>4286</v>
      </c>
      <c r="B1587" s="32" t="s">
        <v>4287</v>
      </c>
      <c r="C1587" s="33">
        <v>45870.0</v>
      </c>
      <c r="D1587" s="34" t="s">
        <v>22</v>
      </c>
      <c r="E1587" s="32" t="s">
        <v>122</v>
      </c>
      <c r="F1587" s="34" t="s">
        <v>31</v>
      </c>
      <c r="G1587" s="34" t="s">
        <v>231</v>
      </c>
      <c r="H1587" s="35" t="s">
        <v>26</v>
      </c>
      <c r="I1587" s="35" t="s">
        <v>27</v>
      </c>
      <c r="J1587" s="57"/>
      <c r="K1587" s="57"/>
      <c r="L1587" s="84"/>
    </row>
    <row r="1588">
      <c r="A1588" s="32" t="s">
        <v>4288</v>
      </c>
      <c r="B1588" s="32" t="s">
        <v>4289</v>
      </c>
      <c r="C1588" s="33">
        <v>45870.0</v>
      </c>
      <c r="D1588" s="34" t="s">
        <v>22</v>
      </c>
      <c r="E1588" s="32" t="s">
        <v>61</v>
      </c>
      <c r="F1588" s="34" t="s">
        <v>24</v>
      </c>
      <c r="G1588" s="34" t="s">
        <v>4290</v>
      </c>
      <c r="H1588" s="35" t="s">
        <v>26</v>
      </c>
      <c r="I1588" s="36" t="str">
        <f>HYPERLINK("https://open.spotify.com/album/7J7F7TCMYzzfZdk1aG8Ar3", "S")</f>
        <v>S</v>
      </c>
      <c r="J1588" s="57"/>
      <c r="K1588" s="57"/>
      <c r="L1588" s="84"/>
    </row>
    <row r="1589">
      <c r="A1589" s="32" t="s">
        <v>4291</v>
      </c>
      <c r="B1589" s="32" t="s">
        <v>4292</v>
      </c>
      <c r="C1589" s="33">
        <v>45870.0</v>
      </c>
      <c r="D1589" s="34" t="s">
        <v>22</v>
      </c>
      <c r="E1589" s="32" t="s">
        <v>69</v>
      </c>
      <c r="F1589" s="34" t="s">
        <v>24</v>
      </c>
      <c r="G1589" s="34" t="s">
        <v>4293</v>
      </c>
      <c r="H1589" s="35" t="s">
        <v>26</v>
      </c>
      <c r="I1589" s="36" t="str">
        <f>HYPERLINK("https://open.spotify.com/album/4clPAvch5Je0VInsxcortV", "S")</f>
        <v>S</v>
      </c>
      <c r="J1589" s="35" t="s">
        <v>100</v>
      </c>
      <c r="K1589" s="57"/>
      <c r="L1589" s="84"/>
    </row>
    <row r="1590">
      <c r="A1590" s="32" t="s">
        <v>4294</v>
      </c>
      <c r="B1590" s="32" t="s">
        <v>4295</v>
      </c>
      <c r="C1590" s="33">
        <v>45870.0</v>
      </c>
      <c r="D1590" s="34" t="s">
        <v>22</v>
      </c>
      <c r="E1590" s="32" t="s">
        <v>855</v>
      </c>
      <c r="F1590" s="34" t="s">
        <v>156</v>
      </c>
      <c r="G1590" s="34" t="s">
        <v>702</v>
      </c>
      <c r="H1590" s="35" t="s">
        <v>26</v>
      </c>
      <c r="I1590" s="36" t="str">
        <f>HYPERLINK("https://open.spotify.com/album/1K0TvwIFyqW8yIzCfqV9iy", "S")</f>
        <v>S</v>
      </c>
      <c r="J1590" s="57"/>
      <c r="K1590" s="57"/>
      <c r="L1590" s="84"/>
    </row>
    <row r="1591">
      <c r="A1591" s="32" t="s">
        <v>4296</v>
      </c>
      <c r="B1591" s="32" t="s">
        <v>4297</v>
      </c>
      <c r="C1591" s="33">
        <v>45870.0</v>
      </c>
      <c r="D1591" s="34" t="s">
        <v>22</v>
      </c>
      <c r="E1591" s="32" t="s">
        <v>61</v>
      </c>
      <c r="F1591" s="34" t="s">
        <v>24</v>
      </c>
      <c r="G1591" s="34" t="s">
        <v>442</v>
      </c>
      <c r="H1591" s="35" t="s">
        <v>26</v>
      </c>
      <c r="I1591" s="104"/>
      <c r="J1591" s="57"/>
      <c r="K1591" s="57"/>
      <c r="L1591" s="84"/>
    </row>
    <row r="1592">
      <c r="A1592" s="32" t="s">
        <v>4298</v>
      </c>
      <c r="B1592" s="32" t="s">
        <v>4299</v>
      </c>
      <c r="C1592" s="33">
        <v>45870.0</v>
      </c>
      <c r="D1592" s="47" t="s">
        <v>39</v>
      </c>
      <c r="E1592" s="32" t="s">
        <v>61</v>
      </c>
      <c r="F1592" s="34" t="s">
        <v>24</v>
      </c>
      <c r="G1592" s="34" t="s">
        <v>386</v>
      </c>
      <c r="H1592" s="35" t="s">
        <v>26</v>
      </c>
      <c r="I1592" s="36" t="str">
        <f>HYPERLINK("https://open.spotify.com/album/5tdT3uXMj3SISLpoPez2X7", "S")</f>
        <v>S</v>
      </c>
      <c r="J1592" s="57"/>
      <c r="K1592" s="57"/>
      <c r="L1592" s="84"/>
    </row>
    <row r="1593">
      <c r="A1593" s="32" t="s">
        <v>4300</v>
      </c>
      <c r="B1593" s="32" t="s">
        <v>4301</v>
      </c>
      <c r="C1593" s="33">
        <v>45870.0</v>
      </c>
      <c r="D1593" s="34" t="s">
        <v>39</v>
      </c>
      <c r="E1593" s="32" t="s">
        <v>4302</v>
      </c>
      <c r="F1593" s="34" t="s">
        <v>24</v>
      </c>
      <c r="G1593" s="34" t="s">
        <v>549</v>
      </c>
      <c r="H1593" s="35" t="s">
        <v>26</v>
      </c>
      <c r="I1593" s="104"/>
      <c r="J1593" s="57"/>
      <c r="K1593" s="57"/>
      <c r="L1593" s="84"/>
    </row>
    <row r="1594">
      <c r="A1594" s="32" t="s">
        <v>4303</v>
      </c>
      <c r="B1594" s="67">
        <v>667788.0</v>
      </c>
      <c r="C1594" s="33">
        <v>45870.0</v>
      </c>
      <c r="D1594" s="34" t="s">
        <v>22</v>
      </c>
      <c r="E1594" s="32" t="s">
        <v>4304</v>
      </c>
      <c r="F1594" s="34" t="s">
        <v>156</v>
      </c>
      <c r="G1594" s="34" t="s">
        <v>161</v>
      </c>
      <c r="H1594" s="35" t="s">
        <v>26</v>
      </c>
      <c r="I1594" s="36" t="str">
        <f>HYPERLINK("https://open.spotify.com/album/7EMLs2PoY1od9Ud7TUomuG", "S")</f>
        <v>S</v>
      </c>
      <c r="J1594" s="57"/>
      <c r="K1594" s="57"/>
      <c r="L1594" s="84"/>
    </row>
    <row r="1595">
      <c r="A1595" s="32" t="s">
        <v>4305</v>
      </c>
      <c r="B1595" s="32" t="s">
        <v>4306</v>
      </c>
      <c r="C1595" s="33">
        <v>45870.0</v>
      </c>
      <c r="D1595" s="34" t="s">
        <v>22</v>
      </c>
      <c r="E1595" s="32" t="s">
        <v>945</v>
      </c>
      <c r="F1595" s="34" t="s">
        <v>53</v>
      </c>
      <c r="G1595" s="34" t="s">
        <v>1028</v>
      </c>
      <c r="H1595" s="35" t="s">
        <v>26</v>
      </c>
      <c r="I1595" s="36" t="str">
        <f>HYPERLINK("https://open.spotify.com/album/07A4JejvMkYLt1YecuKs8O", "S")</f>
        <v>S</v>
      </c>
      <c r="J1595" s="57"/>
      <c r="K1595" s="57"/>
      <c r="L1595" s="84"/>
    </row>
    <row r="1596">
      <c r="A1596" s="32" t="s">
        <v>4307</v>
      </c>
      <c r="B1596" s="32" t="s">
        <v>4308</v>
      </c>
      <c r="C1596" s="33">
        <v>45870.0</v>
      </c>
      <c r="D1596" s="34" t="s">
        <v>22</v>
      </c>
      <c r="E1596" s="32" t="s">
        <v>61</v>
      </c>
      <c r="F1596" s="34" t="s">
        <v>24</v>
      </c>
      <c r="G1596" s="34" t="s">
        <v>1295</v>
      </c>
      <c r="H1596" s="35" t="s">
        <v>26</v>
      </c>
      <c r="I1596" s="36" t="str">
        <f>HYPERLINK("https://open.spotify.com/album/5ydutYJfuryaLH8dflaR6i", "S")</f>
        <v>S</v>
      </c>
      <c r="J1596" s="57"/>
      <c r="K1596" s="57"/>
      <c r="L1596" s="84"/>
    </row>
    <row r="1597">
      <c r="A1597" s="32" t="s">
        <v>4309</v>
      </c>
      <c r="B1597" s="32" t="s">
        <v>4310</v>
      </c>
      <c r="C1597" s="33">
        <v>45870.0</v>
      </c>
      <c r="D1597" s="34" t="s">
        <v>22</v>
      </c>
      <c r="E1597" s="32" t="s">
        <v>328</v>
      </c>
      <c r="F1597" s="34" t="s">
        <v>156</v>
      </c>
      <c r="G1597" s="34" t="s">
        <v>892</v>
      </c>
      <c r="H1597" s="35" t="s">
        <v>26</v>
      </c>
      <c r="I1597" s="40" t="str">
        <f>HYPERLINK("https://open.spotify.com/album/6GctZJELJ6QAAyqRD7yuvv", "S")</f>
        <v>S</v>
      </c>
      <c r="J1597" s="57"/>
      <c r="K1597" s="57"/>
      <c r="L1597" s="84"/>
    </row>
    <row r="1598">
      <c r="A1598" s="32" t="s">
        <v>4311</v>
      </c>
      <c r="B1598" s="32" t="s">
        <v>4312</v>
      </c>
      <c r="C1598" s="33">
        <v>45870.0</v>
      </c>
      <c r="D1598" s="34" t="s">
        <v>22</v>
      </c>
      <c r="E1598" s="32" t="s">
        <v>4313</v>
      </c>
      <c r="F1598" s="34" t="s">
        <v>24</v>
      </c>
      <c r="G1598" s="34" t="s">
        <v>440</v>
      </c>
      <c r="H1598" s="35" t="s">
        <v>26</v>
      </c>
      <c r="I1598" s="36" t="str">
        <f>HYPERLINK("https://open.spotify.com/album/5aZAIED3oNaqNo50pjlQKy", "S")</f>
        <v>S</v>
      </c>
      <c r="J1598" s="57"/>
      <c r="K1598" s="57"/>
      <c r="L1598" s="84"/>
    </row>
    <row r="1599">
      <c r="A1599" s="32" t="s">
        <v>4314</v>
      </c>
      <c r="B1599" s="32" t="s">
        <v>4315</v>
      </c>
      <c r="C1599" s="33">
        <v>45870.0</v>
      </c>
      <c r="D1599" s="47" t="s">
        <v>22</v>
      </c>
      <c r="E1599" s="32" t="s">
        <v>912</v>
      </c>
      <c r="F1599" s="34" t="s">
        <v>24</v>
      </c>
      <c r="G1599" s="34" t="s">
        <v>173</v>
      </c>
      <c r="H1599" s="35" t="s">
        <v>26</v>
      </c>
      <c r="I1599" s="36" t="str">
        <f>HYPERLINK("https://open.spotify.com/album/7JjVmxhFouV92cNXIu9Zpc", "S")</f>
        <v>S</v>
      </c>
      <c r="J1599" s="57"/>
      <c r="K1599" s="57"/>
      <c r="L1599" s="84"/>
    </row>
    <row r="1600">
      <c r="A1600" s="32" t="s">
        <v>1578</v>
      </c>
      <c r="B1600" s="32" t="s">
        <v>4316</v>
      </c>
      <c r="C1600" s="33">
        <v>45870.0</v>
      </c>
      <c r="D1600" s="34" t="s">
        <v>22</v>
      </c>
      <c r="E1600" s="32" t="s">
        <v>69</v>
      </c>
      <c r="F1600" s="34" t="s">
        <v>24</v>
      </c>
      <c r="G1600" s="34" t="s">
        <v>923</v>
      </c>
      <c r="H1600" s="35" t="s">
        <v>26</v>
      </c>
      <c r="I1600" s="36" t="str">
        <f>HYPERLINK("https://open.spotify.com/album/2TrrdPAoGpB50HkA82mVs8", "S")</f>
        <v>S</v>
      </c>
      <c r="J1600" s="57"/>
      <c r="K1600" s="57"/>
      <c r="L1600" s="84"/>
    </row>
    <row r="1601">
      <c r="A1601" s="32" t="s">
        <v>2732</v>
      </c>
      <c r="B1601" s="32" t="s">
        <v>4317</v>
      </c>
      <c r="C1601" s="33">
        <v>45870.0</v>
      </c>
      <c r="D1601" s="34" t="s">
        <v>39</v>
      </c>
      <c r="E1601" s="32" t="s">
        <v>4318</v>
      </c>
      <c r="F1601" s="34" t="s">
        <v>24</v>
      </c>
      <c r="G1601" s="34" t="s">
        <v>884</v>
      </c>
      <c r="H1601" s="35" t="s">
        <v>26</v>
      </c>
      <c r="I1601" s="57"/>
      <c r="J1601" s="57"/>
      <c r="K1601" s="57"/>
      <c r="L1601" s="84"/>
    </row>
    <row r="1602">
      <c r="A1602" s="32" t="s">
        <v>4319</v>
      </c>
      <c r="B1602" s="32" t="s">
        <v>4320</v>
      </c>
      <c r="C1602" s="33">
        <v>45870.0</v>
      </c>
      <c r="D1602" s="34" t="s">
        <v>22</v>
      </c>
      <c r="E1602" s="32" t="s">
        <v>505</v>
      </c>
      <c r="F1602" s="34" t="s">
        <v>24</v>
      </c>
      <c r="G1602" s="34" t="s">
        <v>54</v>
      </c>
      <c r="H1602" s="35" t="s">
        <v>26</v>
      </c>
      <c r="I1602" s="35" t="s">
        <v>27</v>
      </c>
      <c r="J1602" s="57"/>
      <c r="K1602" s="57"/>
      <c r="L1602" s="84"/>
    </row>
    <row r="1603">
      <c r="A1603" s="32" t="s">
        <v>4321</v>
      </c>
      <c r="B1603" s="32" t="s">
        <v>4322</v>
      </c>
      <c r="C1603" s="33">
        <v>45870.0</v>
      </c>
      <c r="D1603" s="47" t="s">
        <v>22</v>
      </c>
      <c r="E1603" s="32" t="s">
        <v>122</v>
      </c>
      <c r="F1603" s="34" t="s">
        <v>53</v>
      </c>
      <c r="G1603" s="34" t="s">
        <v>1938</v>
      </c>
      <c r="H1603" s="35" t="s">
        <v>26</v>
      </c>
      <c r="I1603" s="35" t="s">
        <v>27</v>
      </c>
      <c r="J1603" s="57"/>
      <c r="K1603" s="57"/>
      <c r="L1603" s="84"/>
    </row>
    <row r="1604">
      <c r="A1604" s="32" t="s">
        <v>4323</v>
      </c>
      <c r="B1604" s="32" t="s">
        <v>4324</v>
      </c>
      <c r="C1604" s="33">
        <v>45870.0</v>
      </c>
      <c r="D1604" s="34" t="s">
        <v>22</v>
      </c>
      <c r="E1604" s="32" t="s">
        <v>4325</v>
      </c>
      <c r="F1604" s="34" t="s">
        <v>24</v>
      </c>
      <c r="G1604" s="34" t="s">
        <v>54</v>
      </c>
      <c r="H1604" s="35" t="s">
        <v>26</v>
      </c>
      <c r="I1604" s="35" t="s">
        <v>27</v>
      </c>
      <c r="J1604" s="57"/>
      <c r="K1604" s="57"/>
      <c r="L1604" s="84"/>
    </row>
    <row r="1605">
      <c r="A1605" s="32" t="s">
        <v>4326</v>
      </c>
      <c r="B1605" s="32" t="s">
        <v>4327</v>
      </c>
      <c r="C1605" s="33">
        <v>45870.0</v>
      </c>
      <c r="D1605" s="47" t="s">
        <v>22</v>
      </c>
      <c r="E1605" s="32" t="s">
        <v>122</v>
      </c>
      <c r="F1605" s="34" t="s">
        <v>31</v>
      </c>
      <c r="G1605" s="34" t="s">
        <v>4328</v>
      </c>
      <c r="H1605" s="35" t="s">
        <v>26</v>
      </c>
      <c r="I1605" s="66"/>
      <c r="J1605" s="57"/>
      <c r="K1605" s="57"/>
      <c r="L1605" s="84"/>
    </row>
    <row r="1606">
      <c r="A1606" s="32" t="s">
        <v>4329</v>
      </c>
      <c r="B1606" s="32" t="s">
        <v>4330</v>
      </c>
      <c r="C1606" s="33">
        <v>45874.0</v>
      </c>
      <c r="D1606" s="34" t="s">
        <v>39</v>
      </c>
      <c r="E1606" s="32" t="s">
        <v>98</v>
      </c>
      <c r="F1606" s="34" t="s">
        <v>24</v>
      </c>
      <c r="G1606" s="34" t="s">
        <v>670</v>
      </c>
      <c r="H1606" s="66"/>
      <c r="I1606" s="35" t="s">
        <v>27</v>
      </c>
      <c r="J1606" s="57"/>
      <c r="K1606" s="57"/>
      <c r="L1606" s="84"/>
    </row>
    <row r="1607">
      <c r="A1607" s="32" t="s">
        <v>4331</v>
      </c>
      <c r="B1607" s="32" t="s">
        <v>4332</v>
      </c>
      <c r="C1607" s="33">
        <v>45874.0</v>
      </c>
      <c r="D1607" s="34" t="s">
        <v>22</v>
      </c>
      <c r="E1607" s="32" t="s">
        <v>61</v>
      </c>
      <c r="F1607" s="34" t="s">
        <v>24</v>
      </c>
      <c r="G1607" s="34" t="s">
        <v>4333</v>
      </c>
      <c r="H1607" s="35" t="s">
        <v>26</v>
      </c>
      <c r="I1607" s="35" t="s">
        <v>27</v>
      </c>
      <c r="J1607" s="57"/>
      <c r="K1607" s="57"/>
      <c r="L1607" s="84"/>
    </row>
    <row r="1608">
      <c r="A1608" s="32" t="s">
        <v>4334</v>
      </c>
      <c r="B1608" s="32" t="s">
        <v>4335</v>
      </c>
      <c r="C1608" s="33">
        <v>45875.0</v>
      </c>
      <c r="D1608" s="34" t="s">
        <v>22</v>
      </c>
      <c r="E1608" s="32" t="s">
        <v>4336</v>
      </c>
      <c r="F1608" s="34" t="s">
        <v>24</v>
      </c>
      <c r="G1608" s="34" t="s">
        <v>169</v>
      </c>
      <c r="H1608" s="35" t="s">
        <v>26</v>
      </c>
      <c r="I1608" s="35" t="s">
        <v>27</v>
      </c>
      <c r="J1608" s="35" t="s">
        <v>100</v>
      </c>
      <c r="K1608" s="57"/>
      <c r="L1608" s="84"/>
    </row>
    <row r="1609">
      <c r="A1609" s="32" t="s">
        <v>4337</v>
      </c>
      <c r="B1609" s="32" t="s">
        <v>4338</v>
      </c>
      <c r="C1609" s="33">
        <v>45875.0</v>
      </c>
      <c r="D1609" s="47" t="s">
        <v>39</v>
      </c>
      <c r="E1609" s="32" t="s">
        <v>463</v>
      </c>
      <c r="F1609" s="34" t="s">
        <v>156</v>
      </c>
      <c r="G1609" s="34" t="s">
        <v>1104</v>
      </c>
      <c r="H1609" s="35" t="s">
        <v>26</v>
      </c>
      <c r="I1609" s="57"/>
      <c r="J1609" s="57"/>
      <c r="K1609" s="57"/>
      <c r="L1609" s="84"/>
    </row>
    <row r="1610">
      <c r="A1610" s="32" t="s">
        <v>4339</v>
      </c>
      <c r="B1610" s="32" t="s">
        <v>4340</v>
      </c>
      <c r="C1610" s="33">
        <v>45876.0</v>
      </c>
      <c r="D1610" s="47" t="s">
        <v>39</v>
      </c>
      <c r="E1610" s="32" t="s">
        <v>176</v>
      </c>
      <c r="F1610" s="34" t="s">
        <v>156</v>
      </c>
      <c r="G1610" s="34" t="s">
        <v>4341</v>
      </c>
      <c r="H1610" s="35" t="s">
        <v>26</v>
      </c>
      <c r="I1610" s="36" t="str">
        <f>HYPERLINK("https://open.spotify.com/album/1JR9yKlVcGRUNqz3CYhSOx", "S")</f>
        <v>S</v>
      </c>
      <c r="J1610" s="57"/>
      <c r="K1610" s="57"/>
      <c r="L1610" s="84"/>
    </row>
    <row r="1611">
      <c r="A1611" s="32" t="s">
        <v>4342</v>
      </c>
      <c r="B1611" s="32" t="s">
        <v>4343</v>
      </c>
      <c r="C1611" s="33">
        <v>45877.0</v>
      </c>
      <c r="D1611" s="34" t="s">
        <v>22</v>
      </c>
      <c r="E1611" s="32" t="s">
        <v>4344</v>
      </c>
      <c r="F1611" s="34" t="s">
        <v>53</v>
      </c>
      <c r="G1611" s="34" t="s">
        <v>440</v>
      </c>
      <c r="H1611" s="35" t="s">
        <v>26</v>
      </c>
      <c r="I1611" s="35" t="s">
        <v>27</v>
      </c>
      <c r="J1611" s="57"/>
      <c r="K1611" s="57"/>
      <c r="L1611" s="84"/>
    </row>
    <row r="1612">
      <c r="A1612" s="32" t="s">
        <v>4345</v>
      </c>
      <c r="B1612" s="32" t="s">
        <v>4346</v>
      </c>
      <c r="C1612" s="33">
        <v>45877.0</v>
      </c>
      <c r="D1612" s="34" t="s">
        <v>22</v>
      </c>
      <c r="E1612" s="32" t="s">
        <v>4347</v>
      </c>
      <c r="F1612" s="34" t="s">
        <v>53</v>
      </c>
      <c r="G1612" s="34" t="s">
        <v>169</v>
      </c>
      <c r="H1612" s="66"/>
      <c r="I1612" s="35" t="s">
        <v>27</v>
      </c>
      <c r="J1612" s="57"/>
      <c r="K1612" s="57"/>
      <c r="L1612" s="84"/>
    </row>
    <row r="1613">
      <c r="A1613" s="32" t="s">
        <v>4348</v>
      </c>
      <c r="B1613" s="32" t="s">
        <v>4349</v>
      </c>
      <c r="C1613" s="33">
        <v>45877.0</v>
      </c>
      <c r="D1613" s="34" t="s">
        <v>22</v>
      </c>
      <c r="E1613" s="32" t="s">
        <v>370</v>
      </c>
      <c r="F1613" s="34" t="s">
        <v>24</v>
      </c>
      <c r="G1613" s="34" t="s">
        <v>4350</v>
      </c>
      <c r="H1613" s="35" t="s">
        <v>26</v>
      </c>
      <c r="I1613" s="35" t="s">
        <v>27</v>
      </c>
      <c r="J1613" s="57"/>
      <c r="K1613" s="57"/>
      <c r="L1613" s="84"/>
    </row>
    <row r="1614">
      <c r="A1614" s="32" t="s">
        <v>4351</v>
      </c>
      <c r="B1614" s="32" t="s">
        <v>4352</v>
      </c>
      <c r="C1614" s="33">
        <v>45877.0</v>
      </c>
      <c r="D1614" s="34" t="s">
        <v>22</v>
      </c>
      <c r="E1614" s="32" t="s">
        <v>61</v>
      </c>
      <c r="F1614" s="34" t="s">
        <v>24</v>
      </c>
      <c r="G1614" s="34" t="s">
        <v>1392</v>
      </c>
      <c r="H1614" s="35" t="s">
        <v>26</v>
      </c>
      <c r="I1614" s="35" t="s">
        <v>27</v>
      </c>
      <c r="J1614" s="35" t="s">
        <v>100</v>
      </c>
      <c r="K1614" s="57"/>
      <c r="L1614" s="84"/>
    </row>
    <row r="1615">
      <c r="A1615" s="32" t="s">
        <v>4353</v>
      </c>
      <c r="B1615" s="32" t="s">
        <v>4354</v>
      </c>
      <c r="C1615" s="33">
        <v>45877.0</v>
      </c>
      <c r="D1615" s="34" t="s">
        <v>22</v>
      </c>
      <c r="E1615" s="32" t="s">
        <v>513</v>
      </c>
      <c r="F1615" s="34" t="s">
        <v>156</v>
      </c>
      <c r="G1615" s="34" t="s">
        <v>41</v>
      </c>
      <c r="H1615" s="35" t="s">
        <v>26</v>
      </c>
      <c r="I1615" s="35" t="s">
        <v>27</v>
      </c>
      <c r="J1615" s="57"/>
      <c r="K1615" s="57"/>
      <c r="L1615" s="84"/>
    </row>
    <row r="1616">
      <c r="A1616" s="32" t="s">
        <v>4355</v>
      </c>
      <c r="B1616" s="32" t="s">
        <v>4356</v>
      </c>
      <c r="C1616" s="33">
        <v>45877.0</v>
      </c>
      <c r="D1616" s="47" t="s">
        <v>22</v>
      </c>
      <c r="E1616" s="32" t="s">
        <v>176</v>
      </c>
      <c r="F1616" s="34" t="s">
        <v>53</v>
      </c>
      <c r="G1616" s="34" t="s">
        <v>41</v>
      </c>
      <c r="H1616" s="35" t="s">
        <v>26</v>
      </c>
      <c r="I1616" s="35" t="s">
        <v>27</v>
      </c>
      <c r="J1616" s="35" t="s">
        <v>100</v>
      </c>
      <c r="K1616" s="57"/>
      <c r="L1616" s="84"/>
    </row>
    <row r="1617">
      <c r="A1617" s="32" t="s">
        <v>4357</v>
      </c>
      <c r="B1617" s="32" t="s">
        <v>4358</v>
      </c>
      <c r="C1617" s="33">
        <v>45877.0</v>
      </c>
      <c r="D1617" s="34" t="s">
        <v>22</v>
      </c>
      <c r="E1617" s="32" t="s">
        <v>3123</v>
      </c>
      <c r="F1617" s="34" t="s">
        <v>53</v>
      </c>
      <c r="G1617" s="34" t="s">
        <v>708</v>
      </c>
      <c r="H1617" s="66"/>
      <c r="I1617" s="35" t="s">
        <v>27</v>
      </c>
      <c r="J1617" s="57"/>
      <c r="K1617" s="57"/>
      <c r="L1617" s="84"/>
    </row>
    <row r="1618">
      <c r="A1618" s="32" t="s">
        <v>4359</v>
      </c>
      <c r="B1618" s="32" t="s">
        <v>4360</v>
      </c>
      <c r="C1618" s="33">
        <v>45877.0</v>
      </c>
      <c r="D1618" s="34" t="s">
        <v>39</v>
      </c>
      <c r="E1618" s="32" t="s">
        <v>2192</v>
      </c>
      <c r="F1618" s="34" t="s">
        <v>156</v>
      </c>
      <c r="G1618" s="34" t="s">
        <v>599</v>
      </c>
      <c r="H1618" s="35" t="s">
        <v>26</v>
      </c>
      <c r="I1618" s="35" t="s">
        <v>27</v>
      </c>
      <c r="J1618" s="57"/>
      <c r="K1618" s="57"/>
      <c r="L1618" s="84"/>
    </row>
    <row r="1619">
      <c r="A1619" s="32" t="s">
        <v>3423</v>
      </c>
      <c r="B1619" s="32" t="s">
        <v>4361</v>
      </c>
      <c r="C1619" s="33">
        <v>45877.0</v>
      </c>
      <c r="D1619" s="69" t="s">
        <v>22</v>
      </c>
      <c r="E1619" s="32" t="s">
        <v>1525</v>
      </c>
      <c r="F1619" s="34" t="s">
        <v>53</v>
      </c>
      <c r="G1619" s="34" t="s">
        <v>342</v>
      </c>
      <c r="H1619" s="35" t="s">
        <v>26</v>
      </c>
      <c r="I1619" s="35" t="s">
        <v>27</v>
      </c>
      <c r="J1619" s="57"/>
      <c r="K1619" s="57"/>
      <c r="L1619" s="84"/>
    </row>
    <row r="1620">
      <c r="A1620" s="32" t="s">
        <v>4362</v>
      </c>
      <c r="B1620" s="32" t="s">
        <v>4363</v>
      </c>
      <c r="C1620" s="33">
        <v>45877.0</v>
      </c>
      <c r="D1620" s="34" t="s">
        <v>22</v>
      </c>
      <c r="E1620" s="32" t="s">
        <v>4364</v>
      </c>
      <c r="F1620" s="34" t="s">
        <v>24</v>
      </c>
      <c r="G1620" s="34" t="s">
        <v>365</v>
      </c>
      <c r="H1620" s="35" t="s">
        <v>26</v>
      </c>
      <c r="I1620" s="35" t="s">
        <v>27</v>
      </c>
      <c r="J1620" s="35" t="s">
        <v>100</v>
      </c>
      <c r="K1620" s="57"/>
      <c r="L1620" s="84"/>
    </row>
    <row r="1621">
      <c r="A1621" s="32" t="s">
        <v>4365</v>
      </c>
      <c r="B1621" s="32" t="s">
        <v>4366</v>
      </c>
      <c r="C1621" s="33">
        <v>45877.0</v>
      </c>
      <c r="D1621" s="34" t="s">
        <v>22</v>
      </c>
      <c r="E1621" s="32" t="s">
        <v>4367</v>
      </c>
      <c r="F1621" s="34" t="s">
        <v>53</v>
      </c>
      <c r="G1621" s="34" t="s">
        <v>627</v>
      </c>
      <c r="H1621" s="66"/>
      <c r="I1621" s="35" t="s">
        <v>27</v>
      </c>
      <c r="J1621" s="57"/>
      <c r="K1621" s="57"/>
      <c r="L1621" s="84"/>
    </row>
    <row r="1622">
      <c r="A1622" s="32" t="s">
        <v>4368</v>
      </c>
      <c r="B1622" s="32" t="s">
        <v>4369</v>
      </c>
      <c r="C1622" s="33">
        <v>45877.0</v>
      </c>
      <c r="D1622" s="34" t="s">
        <v>22</v>
      </c>
      <c r="E1622" s="32" t="s">
        <v>4370</v>
      </c>
      <c r="F1622" s="34" t="s">
        <v>156</v>
      </c>
      <c r="G1622" s="34" t="s">
        <v>361</v>
      </c>
      <c r="H1622" s="35" t="s">
        <v>26</v>
      </c>
      <c r="I1622" s="35" t="s">
        <v>27</v>
      </c>
      <c r="J1622" s="57"/>
      <c r="K1622" s="57"/>
      <c r="L1622" s="84"/>
    </row>
    <row r="1623">
      <c r="A1623" s="32" t="s">
        <v>4371</v>
      </c>
      <c r="B1623" s="32" t="s">
        <v>4371</v>
      </c>
      <c r="C1623" s="33">
        <v>45877.0</v>
      </c>
      <c r="D1623" s="34" t="s">
        <v>22</v>
      </c>
      <c r="E1623" s="32" t="s">
        <v>1439</v>
      </c>
      <c r="F1623" s="34" t="s">
        <v>24</v>
      </c>
      <c r="G1623" s="34" t="s">
        <v>1070</v>
      </c>
      <c r="H1623" s="35" t="s">
        <v>26</v>
      </c>
      <c r="I1623" s="35" t="s">
        <v>27</v>
      </c>
      <c r="J1623" s="35" t="s">
        <v>100</v>
      </c>
      <c r="K1623" s="57"/>
      <c r="L1623" s="84"/>
    </row>
    <row r="1624">
      <c r="A1624" s="32" t="s">
        <v>4372</v>
      </c>
      <c r="B1624" s="32" t="s">
        <v>4373</v>
      </c>
      <c r="C1624" s="33">
        <v>45877.0</v>
      </c>
      <c r="D1624" s="34" t="s">
        <v>22</v>
      </c>
      <c r="E1624" s="32" t="s">
        <v>4374</v>
      </c>
      <c r="F1624" s="34" t="s">
        <v>53</v>
      </c>
      <c r="G1624" s="34" t="s">
        <v>660</v>
      </c>
      <c r="H1624" s="35" t="s">
        <v>26</v>
      </c>
      <c r="I1624" s="35" t="s">
        <v>27</v>
      </c>
      <c r="J1624" s="57"/>
      <c r="K1624" s="57"/>
      <c r="L1624" s="84"/>
    </row>
    <row r="1625">
      <c r="A1625" s="32" t="s">
        <v>4375</v>
      </c>
      <c r="B1625" s="32" t="s">
        <v>4376</v>
      </c>
      <c r="C1625" s="33">
        <v>45877.0</v>
      </c>
      <c r="D1625" s="34" t="s">
        <v>22</v>
      </c>
      <c r="E1625" s="32" t="s">
        <v>374</v>
      </c>
      <c r="F1625" s="34" t="s">
        <v>24</v>
      </c>
      <c r="G1625" s="34" t="s">
        <v>41</v>
      </c>
      <c r="H1625" s="35" t="s">
        <v>26</v>
      </c>
      <c r="I1625" s="35" t="s">
        <v>27</v>
      </c>
      <c r="J1625" s="35" t="s">
        <v>100</v>
      </c>
      <c r="K1625" s="57"/>
      <c r="L1625" s="84"/>
    </row>
    <row r="1626">
      <c r="A1626" s="32" t="s">
        <v>4377</v>
      </c>
      <c r="B1626" s="32" t="s">
        <v>4378</v>
      </c>
      <c r="C1626" s="33">
        <v>45877.0</v>
      </c>
      <c r="D1626" s="34" t="s">
        <v>22</v>
      </c>
      <c r="E1626" s="32" t="s">
        <v>1138</v>
      </c>
      <c r="F1626" s="34" t="s">
        <v>24</v>
      </c>
      <c r="G1626" s="34" t="s">
        <v>532</v>
      </c>
      <c r="H1626" s="35" t="s">
        <v>26</v>
      </c>
      <c r="I1626" s="35" t="s">
        <v>27</v>
      </c>
      <c r="J1626" s="57"/>
      <c r="K1626" s="57"/>
      <c r="L1626" s="84"/>
    </row>
    <row r="1627">
      <c r="A1627" s="32" t="s">
        <v>4379</v>
      </c>
      <c r="B1627" s="32" t="s">
        <v>4380</v>
      </c>
      <c r="C1627" s="33">
        <v>45877.0</v>
      </c>
      <c r="D1627" s="34" t="s">
        <v>39</v>
      </c>
      <c r="E1627" s="32" t="s">
        <v>406</v>
      </c>
      <c r="F1627" s="34" t="s">
        <v>24</v>
      </c>
      <c r="G1627" s="34" t="s">
        <v>913</v>
      </c>
      <c r="H1627" s="35" t="s">
        <v>26</v>
      </c>
      <c r="I1627" s="35" t="s">
        <v>27</v>
      </c>
      <c r="J1627" s="57"/>
      <c r="K1627" s="57"/>
      <c r="L1627" s="84"/>
    </row>
    <row r="1628">
      <c r="A1628" s="32" t="s">
        <v>4381</v>
      </c>
      <c r="B1628" s="32" t="s">
        <v>4382</v>
      </c>
      <c r="C1628" s="33">
        <v>45877.0</v>
      </c>
      <c r="D1628" s="34" t="s">
        <v>22</v>
      </c>
      <c r="E1628" s="32" t="s">
        <v>122</v>
      </c>
      <c r="F1628" s="34" t="s">
        <v>31</v>
      </c>
      <c r="G1628" s="34" t="s">
        <v>1808</v>
      </c>
      <c r="H1628" s="35" t="s">
        <v>26</v>
      </c>
      <c r="I1628" s="35" t="s">
        <v>27</v>
      </c>
      <c r="J1628" s="57"/>
      <c r="K1628" s="57"/>
      <c r="L1628" s="84"/>
    </row>
    <row r="1629">
      <c r="A1629" s="32" t="s">
        <v>4383</v>
      </c>
      <c r="B1629" s="32" t="s">
        <v>4384</v>
      </c>
      <c r="C1629" s="33">
        <v>45877.0</v>
      </c>
      <c r="D1629" s="34" t="s">
        <v>22</v>
      </c>
      <c r="E1629" s="32" t="s">
        <v>4385</v>
      </c>
      <c r="F1629" s="34" t="s">
        <v>156</v>
      </c>
      <c r="G1629" s="34" t="s">
        <v>1392</v>
      </c>
      <c r="H1629" s="35" t="s">
        <v>26</v>
      </c>
      <c r="I1629" s="35" t="s">
        <v>27</v>
      </c>
      <c r="J1629" s="57"/>
      <c r="K1629" s="57"/>
      <c r="L1629" s="84"/>
    </row>
    <row r="1630">
      <c r="A1630" s="32" t="s">
        <v>4386</v>
      </c>
      <c r="B1630" s="32" t="s">
        <v>4387</v>
      </c>
      <c r="C1630" s="33">
        <v>45877.0</v>
      </c>
      <c r="D1630" s="34" t="s">
        <v>22</v>
      </c>
      <c r="E1630" s="32" t="s">
        <v>4388</v>
      </c>
      <c r="F1630" s="34" t="s">
        <v>24</v>
      </c>
      <c r="G1630" s="34" t="s">
        <v>218</v>
      </c>
      <c r="H1630" s="35" t="s">
        <v>26</v>
      </c>
      <c r="I1630" s="35" t="s">
        <v>27</v>
      </c>
      <c r="J1630" s="57"/>
      <c r="K1630" s="57"/>
      <c r="L1630" s="84"/>
    </row>
    <row r="1631">
      <c r="A1631" s="32" t="s">
        <v>4389</v>
      </c>
      <c r="B1631" s="32" t="s">
        <v>4390</v>
      </c>
      <c r="C1631" s="33">
        <v>45877.0</v>
      </c>
      <c r="D1631" s="34" t="s">
        <v>39</v>
      </c>
      <c r="E1631" s="32" t="s">
        <v>122</v>
      </c>
      <c r="F1631" s="34" t="s">
        <v>31</v>
      </c>
      <c r="G1631" s="34" t="s">
        <v>4391</v>
      </c>
      <c r="H1631" s="35" t="s">
        <v>26</v>
      </c>
      <c r="I1631" s="36" t="str">
        <f>HYPERLINK("https://open.spotify.com/album/2wcq8BrazIdfCS9Uyh9KNM", "S")</f>
        <v>S</v>
      </c>
      <c r="J1631" s="35" t="s">
        <v>100</v>
      </c>
      <c r="K1631" s="57"/>
      <c r="L1631" s="84"/>
    </row>
    <row r="1632">
      <c r="A1632" s="32" t="s">
        <v>4392</v>
      </c>
      <c r="B1632" s="32" t="s">
        <v>4393</v>
      </c>
      <c r="C1632" s="33">
        <v>45877.0</v>
      </c>
      <c r="D1632" s="34" t="s">
        <v>22</v>
      </c>
      <c r="E1632" s="32" t="s">
        <v>122</v>
      </c>
      <c r="F1632" s="34" t="s">
        <v>156</v>
      </c>
      <c r="G1632" s="34" t="s">
        <v>4394</v>
      </c>
      <c r="H1632" s="35" t="s">
        <v>26</v>
      </c>
      <c r="I1632" s="35" t="s">
        <v>27</v>
      </c>
      <c r="J1632" s="57"/>
      <c r="K1632" s="57"/>
      <c r="L1632" s="84"/>
    </row>
    <row r="1633">
      <c r="A1633" s="32" t="s">
        <v>4395</v>
      </c>
      <c r="B1633" s="32" t="s">
        <v>4396</v>
      </c>
      <c r="C1633" s="33">
        <v>45877.0</v>
      </c>
      <c r="D1633" s="34" t="s">
        <v>22</v>
      </c>
      <c r="E1633" s="32" t="s">
        <v>69</v>
      </c>
      <c r="F1633" s="34" t="s">
        <v>24</v>
      </c>
      <c r="G1633" s="34" t="s">
        <v>199</v>
      </c>
      <c r="H1633" s="35" t="s">
        <v>26</v>
      </c>
      <c r="I1633" s="35" t="s">
        <v>27</v>
      </c>
      <c r="J1633" s="57"/>
      <c r="K1633" s="57"/>
      <c r="L1633" s="84"/>
    </row>
    <row r="1634">
      <c r="A1634" s="32" t="s">
        <v>4397</v>
      </c>
      <c r="B1634" s="32" t="s">
        <v>4398</v>
      </c>
      <c r="C1634" s="33">
        <v>45877.0</v>
      </c>
      <c r="D1634" s="34" t="s">
        <v>22</v>
      </c>
      <c r="E1634" s="32" t="s">
        <v>176</v>
      </c>
      <c r="F1634" s="34" t="s">
        <v>156</v>
      </c>
      <c r="G1634" s="34" t="s">
        <v>96</v>
      </c>
      <c r="H1634" s="35" t="s">
        <v>26</v>
      </c>
      <c r="I1634" s="36" t="str">
        <f>HYPERLINK("https://open.spotify.com/album/29mixfs7UDcDaHCyZccxkD", "S")</f>
        <v>S</v>
      </c>
      <c r="J1634" s="57"/>
      <c r="K1634" s="57"/>
      <c r="L1634" s="84"/>
    </row>
    <row r="1635">
      <c r="A1635" s="32" t="s">
        <v>4399</v>
      </c>
      <c r="B1635" s="32" t="s">
        <v>4400</v>
      </c>
      <c r="C1635" s="33">
        <v>45877.0</v>
      </c>
      <c r="D1635" s="34" t="s">
        <v>39</v>
      </c>
      <c r="E1635" s="32" t="s">
        <v>77</v>
      </c>
      <c r="F1635" s="34" t="s">
        <v>53</v>
      </c>
      <c r="G1635" s="34" t="s">
        <v>602</v>
      </c>
      <c r="H1635" s="35" t="s">
        <v>26</v>
      </c>
      <c r="I1635" s="35" t="s">
        <v>27</v>
      </c>
      <c r="J1635" s="57"/>
      <c r="K1635" s="57"/>
      <c r="L1635" s="84"/>
    </row>
    <row r="1636">
      <c r="A1636" s="32" t="s">
        <v>4401</v>
      </c>
      <c r="B1636" s="32" t="s">
        <v>4402</v>
      </c>
      <c r="C1636" s="33">
        <v>45877.0</v>
      </c>
      <c r="D1636" s="34" t="s">
        <v>22</v>
      </c>
      <c r="E1636" s="32" t="s">
        <v>129</v>
      </c>
      <c r="F1636" s="34" t="s">
        <v>24</v>
      </c>
      <c r="G1636" s="34" t="s">
        <v>970</v>
      </c>
      <c r="H1636" s="35" t="s">
        <v>26</v>
      </c>
      <c r="I1636" s="35" t="s">
        <v>27</v>
      </c>
      <c r="J1636" s="57"/>
      <c r="K1636" s="57"/>
      <c r="L1636" s="84"/>
    </row>
    <row r="1637">
      <c r="A1637" s="32" t="s">
        <v>4403</v>
      </c>
      <c r="B1637" s="32" t="s">
        <v>4404</v>
      </c>
      <c r="C1637" s="33">
        <v>45878.0</v>
      </c>
      <c r="D1637" s="47" t="s">
        <v>22</v>
      </c>
      <c r="E1637" s="32" t="s">
        <v>632</v>
      </c>
      <c r="F1637" s="34" t="s">
        <v>24</v>
      </c>
      <c r="G1637" s="34" t="s">
        <v>104</v>
      </c>
      <c r="H1637" s="35" t="s">
        <v>26</v>
      </c>
      <c r="I1637" s="35" t="s">
        <v>27</v>
      </c>
      <c r="J1637" s="57"/>
      <c r="K1637" s="57"/>
      <c r="L1637" s="84"/>
    </row>
    <row r="1638">
      <c r="A1638" s="32" t="s">
        <v>4405</v>
      </c>
      <c r="B1638" s="32" t="s">
        <v>4406</v>
      </c>
      <c r="C1638" s="33">
        <v>45880.0</v>
      </c>
      <c r="D1638" s="47" t="s">
        <v>22</v>
      </c>
      <c r="E1638" s="32" t="s">
        <v>4407</v>
      </c>
      <c r="F1638" s="34" t="s">
        <v>53</v>
      </c>
      <c r="G1638" s="34" t="s">
        <v>1104</v>
      </c>
      <c r="H1638" s="35" t="s">
        <v>26</v>
      </c>
      <c r="I1638" s="36" t="str">
        <f>HYPERLINK("https://open.spotify.com/album/2z76MGJnCuL38TZfZDGin4", "S")</f>
        <v>S</v>
      </c>
      <c r="J1638" s="35" t="s">
        <v>100</v>
      </c>
      <c r="K1638" s="57"/>
      <c r="L1638" s="84"/>
    </row>
    <row r="1639">
      <c r="A1639" s="32" t="s">
        <v>4408</v>
      </c>
      <c r="B1639" s="32" t="s">
        <v>4409</v>
      </c>
      <c r="C1639" s="33">
        <v>45881.0</v>
      </c>
      <c r="D1639" s="34" t="s">
        <v>22</v>
      </c>
      <c r="E1639" s="32" t="s">
        <v>4410</v>
      </c>
      <c r="F1639" s="34" t="s">
        <v>31</v>
      </c>
      <c r="G1639" s="34" t="s">
        <v>202</v>
      </c>
      <c r="H1639" s="35" t="s">
        <v>26</v>
      </c>
      <c r="I1639" s="35" t="s">
        <v>27</v>
      </c>
      <c r="J1639" s="57"/>
      <c r="K1639" s="57"/>
      <c r="L1639" s="84"/>
    </row>
    <row r="1640">
      <c r="A1640" s="32" t="s">
        <v>4411</v>
      </c>
      <c r="B1640" s="32" t="s">
        <v>4412</v>
      </c>
      <c r="C1640" s="33">
        <v>45882.0</v>
      </c>
      <c r="D1640" s="34" t="s">
        <v>22</v>
      </c>
      <c r="E1640" s="32" t="s">
        <v>513</v>
      </c>
      <c r="F1640" s="34" t="s">
        <v>156</v>
      </c>
      <c r="G1640" s="34" t="s">
        <v>3251</v>
      </c>
      <c r="H1640" s="35" t="s">
        <v>26</v>
      </c>
      <c r="I1640" s="35" t="s">
        <v>27</v>
      </c>
      <c r="J1640" s="57"/>
      <c r="K1640" s="57"/>
      <c r="L1640" s="84"/>
    </row>
    <row r="1641">
      <c r="A1641" s="32" t="s">
        <v>4413</v>
      </c>
      <c r="B1641" s="32" t="s">
        <v>4414</v>
      </c>
      <c r="C1641" s="33">
        <v>45882.0</v>
      </c>
      <c r="D1641" s="34" t="s">
        <v>22</v>
      </c>
      <c r="E1641" s="32" t="s">
        <v>4415</v>
      </c>
      <c r="F1641" s="34" t="s">
        <v>53</v>
      </c>
      <c r="G1641" s="34" t="s">
        <v>561</v>
      </c>
      <c r="H1641" s="66"/>
      <c r="I1641" s="36" t="str">
        <f>HYPERLINK("https://open.spotify.com/album/0hXYSmAh2qU9D7AFYZaMHQ", "S")</f>
        <v>S</v>
      </c>
      <c r="J1641" s="57"/>
      <c r="K1641" s="57"/>
      <c r="L1641" s="84"/>
    </row>
    <row r="1642">
      <c r="A1642" s="32" t="s">
        <v>4416</v>
      </c>
      <c r="B1642" s="32" t="s">
        <v>4417</v>
      </c>
      <c r="C1642" s="33">
        <v>45883.0</v>
      </c>
      <c r="D1642" s="34" t="s">
        <v>22</v>
      </c>
      <c r="E1642" s="32" t="s">
        <v>4418</v>
      </c>
      <c r="F1642" s="34" t="s">
        <v>24</v>
      </c>
      <c r="G1642" s="34" t="s">
        <v>3240</v>
      </c>
      <c r="H1642" s="35" t="s">
        <v>26</v>
      </c>
      <c r="I1642" s="104"/>
      <c r="J1642" s="57"/>
      <c r="K1642" s="57"/>
      <c r="L1642" s="84"/>
    </row>
    <row r="1643">
      <c r="A1643" s="32" t="s">
        <v>4419</v>
      </c>
      <c r="B1643" s="32" t="s">
        <v>4420</v>
      </c>
      <c r="C1643" s="33">
        <v>45883.0</v>
      </c>
      <c r="D1643" s="34" t="s">
        <v>22</v>
      </c>
      <c r="E1643" s="32" t="s">
        <v>263</v>
      </c>
      <c r="F1643" s="34" t="s">
        <v>53</v>
      </c>
      <c r="G1643" s="34" t="s">
        <v>41</v>
      </c>
      <c r="H1643" s="35" t="s">
        <v>26</v>
      </c>
      <c r="I1643" s="35" t="s">
        <v>27</v>
      </c>
      <c r="J1643" s="57"/>
      <c r="K1643" s="57"/>
      <c r="L1643" s="84"/>
    </row>
    <row r="1644">
      <c r="A1644" s="32" t="s">
        <v>4421</v>
      </c>
      <c r="B1644" s="32" t="s">
        <v>4422</v>
      </c>
      <c r="C1644" s="33">
        <v>45884.0</v>
      </c>
      <c r="D1644" s="34" t="s">
        <v>22</v>
      </c>
      <c r="E1644" s="32" t="s">
        <v>4423</v>
      </c>
      <c r="F1644" s="34" t="s">
        <v>156</v>
      </c>
      <c r="G1644" s="34" t="s">
        <v>4424</v>
      </c>
      <c r="H1644" s="35" t="s">
        <v>26</v>
      </c>
      <c r="I1644" s="35" t="s">
        <v>27</v>
      </c>
      <c r="J1644" s="35" t="s">
        <v>100</v>
      </c>
      <c r="K1644" s="57"/>
      <c r="L1644" s="84"/>
    </row>
    <row r="1645">
      <c r="A1645" s="32" t="s">
        <v>4421</v>
      </c>
      <c r="B1645" s="32" t="s">
        <v>4425</v>
      </c>
      <c r="C1645" s="33">
        <v>45884.0</v>
      </c>
      <c r="D1645" s="69" t="s">
        <v>22</v>
      </c>
      <c r="E1645" s="32" t="s">
        <v>69</v>
      </c>
      <c r="F1645" s="34" t="s">
        <v>53</v>
      </c>
      <c r="G1645" s="34" t="s">
        <v>4424</v>
      </c>
      <c r="H1645" s="35" t="s">
        <v>26</v>
      </c>
      <c r="I1645" s="35" t="s">
        <v>27</v>
      </c>
      <c r="J1645" s="35" t="s">
        <v>100</v>
      </c>
      <c r="K1645" s="57"/>
      <c r="L1645" s="84"/>
    </row>
    <row r="1646">
      <c r="A1646" s="32" t="s">
        <v>4426</v>
      </c>
      <c r="B1646" s="32" t="s">
        <v>4427</v>
      </c>
      <c r="C1646" s="33">
        <v>45884.0</v>
      </c>
      <c r="D1646" s="34" t="s">
        <v>22</v>
      </c>
      <c r="E1646" s="32" t="s">
        <v>61</v>
      </c>
      <c r="F1646" s="34" t="s">
        <v>24</v>
      </c>
      <c r="G1646" s="34" t="s">
        <v>4428</v>
      </c>
      <c r="H1646" s="35" t="s">
        <v>26</v>
      </c>
      <c r="I1646" s="35" t="s">
        <v>27</v>
      </c>
      <c r="J1646" s="57"/>
      <c r="K1646" s="57"/>
      <c r="L1646" s="84"/>
    </row>
    <row r="1647">
      <c r="A1647" s="32" t="s">
        <v>4429</v>
      </c>
      <c r="B1647" s="32" t="s">
        <v>4430</v>
      </c>
      <c r="C1647" s="33">
        <v>45884.0</v>
      </c>
      <c r="D1647" s="34" t="s">
        <v>22</v>
      </c>
      <c r="E1647" s="32" t="s">
        <v>61</v>
      </c>
      <c r="F1647" s="34" t="s">
        <v>24</v>
      </c>
      <c r="G1647" s="34" t="s">
        <v>514</v>
      </c>
      <c r="H1647" s="35" t="s">
        <v>26</v>
      </c>
      <c r="I1647" s="35" t="s">
        <v>27</v>
      </c>
      <c r="J1647" s="57"/>
      <c r="K1647" s="57"/>
      <c r="L1647" s="84"/>
    </row>
    <row r="1648">
      <c r="A1648" s="32" t="s">
        <v>4431</v>
      </c>
      <c r="B1648" s="32" t="s">
        <v>4432</v>
      </c>
      <c r="C1648" s="33">
        <v>45884.0</v>
      </c>
      <c r="D1648" s="34" t="s">
        <v>39</v>
      </c>
      <c r="E1648" s="32" t="s">
        <v>61</v>
      </c>
      <c r="F1648" s="34" t="s">
        <v>24</v>
      </c>
      <c r="G1648" s="34" t="s">
        <v>161</v>
      </c>
      <c r="H1648" s="35" t="s">
        <v>26</v>
      </c>
      <c r="I1648" s="35" t="s">
        <v>27</v>
      </c>
      <c r="J1648" s="57"/>
      <c r="K1648" s="57"/>
      <c r="L1648" s="84"/>
    </row>
    <row r="1649">
      <c r="A1649" s="32" t="s">
        <v>4433</v>
      </c>
      <c r="B1649" s="32" t="s">
        <v>4434</v>
      </c>
      <c r="C1649" s="33">
        <v>45884.0</v>
      </c>
      <c r="D1649" s="34" t="s">
        <v>22</v>
      </c>
      <c r="E1649" s="32" t="s">
        <v>4435</v>
      </c>
      <c r="F1649" s="34" t="s">
        <v>156</v>
      </c>
      <c r="G1649" s="34" t="s">
        <v>4436</v>
      </c>
      <c r="H1649" s="66"/>
      <c r="I1649" s="35" t="s">
        <v>27</v>
      </c>
      <c r="J1649" s="57"/>
      <c r="K1649" s="57"/>
      <c r="L1649" s="84"/>
    </row>
    <row r="1650">
      <c r="A1650" s="32" t="s">
        <v>4437</v>
      </c>
      <c r="B1650" s="32" t="s">
        <v>4438</v>
      </c>
      <c r="C1650" s="33">
        <v>45884.0</v>
      </c>
      <c r="D1650" s="34" t="s">
        <v>22</v>
      </c>
      <c r="E1650" s="32" t="s">
        <v>4439</v>
      </c>
      <c r="F1650" s="34" t="s">
        <v>156</v>
      </c>
      <c r="G1650" s="34" t="s">
        <v>202</v>
      </c>
      <c r="H1650" s="35" t="s">
        <v>26</v>
      </c>
      <c r="I1650" s="35" t="s">
        <v>27</v>
      </c>
      <c r="J1650" s="57"/>
      <c r="K1650" s="57"/>
      <c r="L1650" s="84"/>
    </row>
    <row r="1651">
      <c r="A1651" s="32" t="s">
        <v>4440</v>
      </c>
      <c r="B1651" s="32" t="s">
        <v>4441</v>
      </c>
      <c r="C1651" s="33">
        <v>45884.0</v>
      </c>
      <c r="D1651" s="34" t="s">
        <v>22</v>
      </c>
      <c r="E1651" s="32" t="s">
        <v>61</v>
      </c>
      <c r="F1651" s="34" t="s">
        <v>24</v>
      </c>
      <c r="G1651" s="34" t="s">
        <v>365</v>
      </c>
      <c r="H1651" s="35" t="s">
        <v>26</v>
      </c>
      <c r="I1651" s="35" t="s">
        <v>27</v>
      </c>
      <c r="J1651" s="57"/>
      <c r="K1651" s="57"/>
      <c r="L1651" s="84"/>
    </row>
    <row r="1652">
      <c r="A1652" s="32" t="s">
        <v>4442</v>
      </c>
      <c r="B1652" s="32" t="s">
        <v>4443</v>
      </c>
      <c r="C1652" s="33">
        <v>45884.0</v>
      </c>
      <c r="D1652" s="34" t="s">
        <v>22</v>
      </c>
      <c r="E1652" s="32" t="s">
        <v>4147</v>
      </c>
      <c r="F1652" s="34" t="s">
        <v>24</v>
      </c>
      <c r="G1652" s="34" t="s">
        <v>202</v>
      </c>
      <c r="H1652" s="35" t="s">
        <v>26</v>
      </c>
      <c r="I1652" s="34"/>
      <c r="J1652" s="57"/>
      <c r="K1652" s="57"/>
      <c r="L1652" s="84"/>
    </row>
    <row r="1653">
      <c r="A1653" s="32" t="s">
        <v>4444</v>
      </c>
      <c r="B1653" s="32" t="s">
        <v>4445</v>
      </c>
      <c r="C1653" s="33">
        <v>45884.0</v>
      </c>
      <c r="D1653" s="47" t="s">
        <v>22</v>
      </c>
      <c r="E1653" s="32" t="s">
        <v>335</v>
      </c>
      <c r="F1653" s="34" t="s">
        <v>24</v>
      </c>
      <c r="G1653" s="34" t="s">
        <v>2363</v>
      </c>
      <c r="H1653" s="35" t="s">
        <v>26</v>
      </c>
      <c r="I1653" s="35" t="s">
        <v>27</v>
      </c>
      <c r="J1653" s="57"/>
      <c r="K1653" s="57"/>
      <c r="L1653" s="84"/>
    </row>
    <row r="1654">
      <c r="A1654" s="32" t="s">
        <v>4446</v>
      </c>
      <c r="B1654" s="32" t="s">
        <v>4447</v>
      </c>
      <c r="C1654" s="33">
        <v>45884.0</v>
      </c>
      <c r="D1654" s="47" t="s">
        <v>22</v>
      </c>
      <c r="E1654" s="32" t="s">
        <v>374</v>
      </c>
      <c r="F1654" s="34" t="s">
        <v>24</v>
      </c>
      <c r="G1654" s="34" t="s">
        <v>54</v>
      </c>
      <c r="H1654" s="35" t="s">
        <v>26</v>
      </c>
      <c r="I1654" s="35" t="s">
        <v>27</v>
      </c>
      <c r="J1654" s="35" t="s">
        <v>100</v>
      </c>
      <c r="K1654" s="57"/>
      <c r="L1654" s="84"/>
    </row>
    <row r="1655">
      <c r="A1655" s="32" t="s">
        <v>4448</v>
      </c>
      <c r="B1655" s="32" t="s">
        <v>4449</v>
      </c>
      <c r="C1655" s="33">
        <v>45884.0</v>
      </c>
      <c r="D1655" s="34" t="s">
        <v>22</v>
      </c>
      <c r="E1655" s="32" t="s">
        <v>4450</v>
      </c>
      <c r="F1655" s="34" t="s">
        <v>53</v>
      </c>
      <c r="G1655" s="34" t="s">
        <v>892</v>
      </c>
      <c r="H1655" s="35" t="s">
        <v>26</v>
      </c>
      <c r="I1655" s="35" t="s">
        <v>27</v>
      </c>
      <c r="J1655" s="35" t="s">
        <v>100</v>
      </c>
      <c r="K1655" s="57"/>
      <c r="L1655" s="84"/>
    </row>
    <row r="1656">
      <c r="A1656" s="32" t="s">
        <v>904</v>
      </c>
      <c r="B1656" s="32" t="s">
        <v>4451</v>
      </c>
      <c r="C1656" s="33">
        <v>45884.0</v>
      </c>
      <c r="D1656" s="34" t="s">
        <v>22</v>
      </c>
      <c r="E1656" s="32" t="s">
        <v>608</v>
      </c>
      <c r="F1656" s="34" t="s">
        <v>24</v>
      </c>
      <c r="G1656" s="34" t="s">
        <v>693</v>
      </c>
      <c r="H1656" s="35" t="s">
        <v>26</v>
      </c>
      <c r="I1656" s="35" t="s">
        <v>27</v>
      </c>
      <c r="J1656" s="57"/>
      <c r="K1656" s="57"/>
      <c r="L1656" s="84"/>
    </row>
    <row r="1657">
      <c r="A1657" s="32" t="s">
        <v>4452</v>
      </c>
      <c r="B1657" s="32" t="s">
        <v>4453</v>
      </c>
      <c r="C1657" s="33">
        <v>45884.0</v>
      </c>
      <c r="D1657" s="34" t="s">
        <v>22</v>
      </c>
      <c r="E1657" s="32" t="s">
        <v>61</v>
      </c>
      <c r="F1657" s="34" t="s">
        <v>24</v>
      </c>
      <c r="G1657" s="34" t="s">
        <v>4454</v>
      </c>
      <c r="H1657" s="66"/>
      <c r="I1657" s="35" t="s">
        <v>27</v>
      </c>
      <c r="J1657" s="35" t="s">
        <v>100</v>
      </c>
      <c r="K1657" s="57"/>
      <c r="L1657" s="84"/>
    </row>
    <row r="1658">
      <c r="A1658" s="32" t="s">
        <v>4455</v>
      </c>
      <c r="B1658" s="32" t="s">
        <v>4456</v>
      </c>
      <c r="C1658" s="33">
        <v>45884.0</v>
      </c>
      <c r="D1658" s="47" t="s">
        <v>22</v>
      </c>
      <c r="E1658" s="32" t="s">
        <v>4457</v>
      </c>
      <c r="F1658" s="34" t="s">
        <v>53</v>
      </c>
      <c r="G1658" s="34" t="s">
        <v>4458</v>
      </c>
      <c r="H1658" s="35" t="s">
        <v>26</v>
      </c>
      <c r="I1658" s="35" t="s">
        <v>27</v>
      </c>
      <c r="J1658" s="57"/>
      <c r="K1658" s="57"/>
      <c r="L1658" s="84"/>
    </row>
    <row r="1659">
      <c r="A1659" s="32" t="s">
        <v>792</v>
      </c>
      <c r="B1659" s="32" t="s">
        <v>4459</v>
      </c>
      <c r="C1659" s="33">
        <v>45884.0</v>
      </c>
      <c r="D1659" s="34" t="s">
        <v>22</v>
      </c>
      <c r="E1659" s="32" t="s">
        <v>321</v>
      </c>
      <c r="F1659" s="34" t="s">
        <v>156</v>
      </c>
      <c r="G1659" s="34" t="s">
        <v>1566</v>
      </c>
      <c r="H1659" s="35" t="s">
        <v>26</v>
      </c>
      <c r="I1659" s="35" t="s">
        <v>27</v>
      </c>
      <c r="J1659" s="57"/>
      <c r="K1659" s="57"/>
      <c r="L1659" s="84"/>
    </row>
    <row r="1660">
      <c r="A1660" s="32" t="s">
        <v>4460</v>
      </c>
      <c r="B1660" s="32" t="s">
        <v>4461</v>
      </c>
      <c r="C1660" s="33">
        <v>45884.0</v>
      </c>
      <c r="D1660" s="47" t="s">
        <v>39</v>
      </c>
      <c r="E1660" s="32" t="s">
        <v>4462</v>
      </c>
      <c r="F1660" s="34" t="s">
        <v>156</v>
      </c>
      <c r="G1660" s="34" t="s">
        <v>4463</v>
      </c>
      <c r="H1660" s="35" t="s">
        <v>26</v>
      </c>
      <c r="I1660" s="35" t="s">
        <v>27</v>
      </c>
      <c r="J1660" s="57"/>
      <c r="K1660" s="57"/>
      <c r="L1660" s="84"/>
    </row>
    <row r="1661">
      <c r="A1661" s="32" t="s">
        <v>4464</v>
      </c>
      <c r="B1661" s="32" t="s">
        <v>4465</v>
      </c>
      <c r="C1661" s="33">
        <v>45884.0</v>
      </c>
      <c r="D1661" s="34" t="s">
        <v>22</v>
      </c>
      <c r="E1661" s="32" t="s">
        <v>4466</v>
      </c>
      <c r="F1661" s="34" t="s">
        <v>53</v>
      </c>
      <c r="G1661" s="34" t="s">
        <v>1104</v>
      </c>
      <c r="H1661" s="35" t="s">
        <v>26</v>
      </c>
      <c r="I1661" s="96" t="s">
        <v>27</v>
      </c>
      <c r="J1661" s="35" t="s">
        <v>100</v>
      </c>
      <c r="K1661" s="57"/>
      <c r="L1661" s="84"/>
    </row>
    <row r="1662">
      <c r="A1662" s="32" t="s">
        <v>4467</v>
      </c>
      <c r="B1662" s="32" t="s">
        <v>4468</v>
      </c>
      <c r="C1662" s="33">
        <v>45884.0</v>
      </c>
      <c r="D1662" s="34" t="s">
        <v>22</v>
      </c>
      <c r="E1662" s="32" t="s">
        <v>4469</v>
      </c>
      <c r="F1662" s="34" t="s">
        <v>31</v>
      </c>
      <c r="G1662" s="34" t="s">
        <v>1092</v>
      </c>
      <c r="H1662" s="35" t="s">
        <v>26</v>
      </c>
      <c r="I1662" s="58" t="str">
        <f>HYPERLINK("https://open.spotify.com/album/2F97WsmjhtNTRcJq0xw7ha", "S")</f>
        <v>S</v>
      </c>
      <c r="J1662" s="57"/>
      <c r="K1662" s="57"/>
      <c r="L1662" s="84"/>
    </row>
    <row r="1663">
      <c r="A1663" s="32" t="s">
        <v>4470</v>
      </c>
      <c r="B1663" s="32" t="s">
        <v>4471</v>
      </c>
      <c r="C1663" s="33">
        <v>45884.0</v>
      </c>
      <c r="D1663" s="34" t="s">
        <v>39</v>
      </c>
      <c r="E1663" s="32" t="s">
        <v>817</v>
      </c>
      <c r="F1663" s="34" t="s">
        <v>53</v>
      </c>
      <c r="G1663" s="34" t="s">
        <v>279</v>
      </c>
      <c r="H1663" s="35" t="s">
        <v>26</v>
      </c>
      <c r="I1663" s="96" t="s">
        <v>27</v>
      </c>
      <c r="J1663" s="57"/>
      <c r="K1663" s="57"/>
      <c r="L1663" s="84"/>
    </row>
    <row r="1664">
      <c r="A1664" s="32" t="s">
        <v>4472</v>
      </c>
      <c r="B1664" s="32" t="s">
        <v>4473</v>
      </c>
      <c r="C1664" s="33">
        <v>45884.0</v>
      </c>
      <c r="D1664" s="34" t="s">
        <v>22</v>
      </c>
      <c r="E1664" s="32" t="s">
        <v>4474</v>
      </c>
      <c r="F1664" s="34" t="s">
        <v>24</v>
      </c>
      <c r="G1664" s="34" t="s">
        <v>4475</v>
      </c>
      <c r="H1664" s="66"/>
      <c r="I1664" s="35" t="s">
        <v>27</v>
      </c>
      <c r="J1664" s="57"/>
      <c r="K1664" s="57"/>
      <c r="L1664" s="84"/>
    </row>
    <row r="1665">
      <c r="A1665" s="32" t="s">
        <v>4476</v>
      </c>
      <c r="B1665" s="32" t="s">
        <v>4477</v>
      </c>
      <c r="C1665" s="33">
        <v>45884.0</v>
      </c>
      <c r="D1665" s="34" t="s">
        <v>39</v>
      </c>
      <c r="E1665" s="32" t="s">
        <v>73</v>
      </c>
      <c r="F1665" s="34" t="s">
        <v>24</v>
      </c>
      <c r="G1665" s="34" t="s">
        <v>218</v>
      </c>
      <c r="H1665" s="35" t="s">
        <v>26</v>
      </c>
      <c r="I1665" s="57"/>
      <c r="J1665" s="57"/>
      <c r="K1665" s="57"/>
      <c r="L1665" s="84"/>
    </row>
    <row r="1666">
      <c r="A1666" s="32" t="s">
        <v>4478</v>
      </c>
      <c r="B1666" s="32" t="s">
        <v>4479</v>
      </c>
      <c r="C1666" s="33">
        <v>45884.0</v>
      </c>
      <c r="D1666" s="69" t="s">
        <v>22</v>
      </c>
      <c r="E1666" s="32" t="s">
        <v>98</v>
      </c>
      <c r="F1666" s="34" t="s">
        <v>24</v>
      </c>
      <c r="G1666" s="34" t="s">
        <v>2345</v>
      </c>
      <c r="H1666" s="35" t="s">
        <v>26</v>
      </c>
      <c r="I1666" s="35" t="s">
        <v>27</v>
      </c>
      <c r="J1666" s="57"/>
      <c r="K1666" s="57"/>
      <c r="L1666" s="84"/>
    </row>
    <row r="1667">
      <c r="A1667" s="32" t="s">
        <v>4480</v>
      </c>
      <c r="B1667" s="32" t="s">
        <v>4481</v>
      </c>
      <c r="C1667" s="33">
        <v>45884.0</v>
      </c>
      <c r="D1667" s="34" t="s">
        <v>39</v>
      </c>
      <c r="E1667" s="32" t="s">
        <v>817</v>
      </c>
      <c r="F1667" s="34" t="s">
        <v>53</v>
      </c>
      <c r="G1667" s="34" t="s">
        <v>892</v>
      </c>
      <c r="H1667" s="35" t="s">
        <v>26</v>
      </c>
      <c r="I1667" s="35" t="s">
        <v>27</v>
      </c>
      <c r="J1667" s="35" t="s">
        <v>100</v>
      </c>
      <c r="K1667" s="57"/>
      <c r="L1667" s="84"/>
    </row>
    <row r="1668">
      <c r="A1668" s="32" t="s">
        <v>4482</v>
      </c>
      <c r="B1668" s="32" t="s">
        <v>4483</v>
      </c>
      <c r="C1668" s="33">
        <v>45884.0</v>
      </c>
      <c r="D1668" s="47" t="s">
        <v>22</v>
      </c>
      <c r="E1668" s="32" t="s">
        <v>122</v>
      </c>
      <c r="F1668" s="34" t="s">
        <v>53</v>
      </c>
      <c r="G1668" s="34" t="s">
        <v>32</v>
      </c>
      <c r="H1668" s="35" t="s">
        <v>26</v>
      </c>
      <c r="I1668" s="66"/>
      <c r="J1668" s="35" t="s">
        <v>100</v>
      </c>
      <c r="K1668" s="57"/>
      <c r="L1668" s="84"/>
    </row>
    <row r="1669">
      <c r="A1669" s="32" t="s">
        <v>4484</v>
      </c>
      <c r="B1669" s="32" t="s">
        <v>4089</v>
      </c>
      <c r="C1669" s="33">
        <v>45884.0</v>
      </c>
      <c r="D1669" s="47" t="s">
        <v>39</v>
      </c>
      <c r="E1669" s="32" t="s">
        <v>4485</v>
      </c>
      <c r="F1669" s="34" t="s">
        <v>24</v>
      </c>
      <c r="G1669" s="34" t="s">
        <v>3289</v>
      </c>
      <c r="H1669" s="35" t="s">
        <v>26</v>
      </c>
      <c r="I1669" s="35" t="s">
        <v>27</v>
      </c>
      <c r="J1669" s="57"/>
      <c r="K1669" s="57"/>
      <c r="L1669" s="84"/>
    </row>
    <row r="1670">
      <c r="A1670" s="32" t="s">
        <v>4486</v>
      </c>
      <c r="B1670" s="32" t="s">
        <v>4487</v>
      </c>
      <c r="C1670" s="33">
        <v>45887.0</v>
      </c>
      <c r="D1670" s="47" t="s">
        <v>22</v>
      </c>
      <c r="E1670" s="32" t="s">
        <v>817</v>
      </c>
      <c r="F1670" s="34" t="s">
        <v>31</v>
      </c>
      <c r="G1670" s="34" t="s">
        <v>4488</v>
      </c>
      <c r="H1670" s="35" t="s">
        <v>26</v>
      </c>
      <c r="I1670" s="35" t="s">
        <v>27</v>
      </c>
      <c r="J1670" s="57"/>
      <c r="K1670" s="57"/>
      <c r="L1670" s="84"/>
    </row>
    <row r="1671">
      <c r="A1671" s="32" t="s">
        <v>4489</v>
      </c>
      <c r="B1671" s="32" t="s">
        <v>4490</v>
      </c>
      <c r="C1671" s="33">
        <v>45888.0</v>
      </c>
      <c r="D1671" s="47" t="s">
        <v>39</v>
      </c>
      <c r="E1671" s="32" t="s">
        <v>2196</v>
      </c>
      <c r="F1671" s="34" t="s">
        <v>24</v>
      </c>
      <c r="G1671" s="34" t="s">
        <v>487</v>
      </c>
      <c r="H1671" s="35" t="s">
        <v>26</v>
      </c>
      <c r="I1671" s="66"/>
      <c r="J1671" s="57"/>
      <c r="K1671" s="57"/>
      <c r="L1671" s="84"/>
    </row>
    <row r="1672">
      <c r="A1672" s="32" t="s">
        <v>4491</v>
      </c>
      <c r="B1672" s="32" t="s">
        <v>4492</v>
      </c>
      <c r="C1672" s="33">
        <v>45889.0</v>
      </c>
      <c r="D1672" s="47" t="s">
        <v>22</v>
      </c>
      <c r="E1672" s="32" t="s">
        <v>44</v>
      </c>
      <c r="F1672" s="34" t="s">
        <v>53</v>
      </c>
      <c r="G1672" s="34" t="s">
        <v>365</v>
      </c>
      <c r="H1672" s="35" t="s">
        <v>26</v>
      </c>
      <c r="I1672" s="35" t="s">
        <v>27</v>
      </c>
      <c r="J1672" s="57"/>
      <c r="K1672" s="57"/>
      <c r="L1672" s="84"/>
    </row>
    <row r="1673">
      <c r="A1673" s="32" t="s">
        <v>4493</v>
      </c>
      <c r="B1673" s="32" t="s">
        <v>4494</v>
      </c>
      <c r="C1673" s="33">
        <v>45890.0</v>
      </c>
      <c r="D1673" s="34" t="s">
        <v>22</v>
      </c>
      <c r="E1673" s="32" t="s">
        <v>2338</v>
      </c>
      <c r="F1673" s="34" t="s">
        <v>24</v>
      </c>
      <c r="G1673" s="34" t="s">
        <v>693</v>
      </c>
      <c r="H1673" s="35" t="s">
        <v>26</v>
      </c>
      <c r="I1673" s="35" t="s">
        <v>27</v>
      </c>
      <c r="J1673" s="35" t="s">
        <v>100</v>
      </c>
      <c r="K1673" s="57"/>
      <c r="L1673" s="84"/>
    </row>
    <row r="1674">
      <c r="A1674" s="32" t="s">
        <v>4495</v>
      </c>
      <c r="B1674" s="32" t="s">
        <v>4496</v>
      </c>
      <c r="C1674" s="33">
        <v>45891.0</v>
      </c>
      <c r="D1674" s="34" t="s">
        <v>22</v>
      </c>
      <c r="E1674" s="32" t="s">
        <v>4497</v>
      </c>
      <c r="F1674" s="34" t="s">
        <v>53</v>
      </c>
      <c r="G1674" s="34" t="s">
        <v>231</v>
      </c>
      <c r="H1674" s="66"/>
      <c r="I1674" s="35" t="s">
        <v>27</v>
      </c>
      <c r="J1674" s="57"/>
      <c r="K1674" s="57"/>
      <c r="L1674" s="84"/>
    </row>
    <row r="1675">
      <c r="A1675" s="32" t="s">
        <v>4498</v>
      </c>
      <c r="B1675" s="32" t="s">
        <v>4499</v>
      </c>
      <c r="C1675" s="33">
        <v>45891.0</v>
      </c>
      <c r="D1675" s="34" t="s">
        <v>22</v>
      </c>
      <c r="E1675" s="32" t="s">
        <v>4500</v>
      </c>
      <c r="F1675" s="34" t="s">
        <v>156</v>
      </c>
      <c r="G1675" s="34" t="s">
        <v>1856</v>
      </c>
      <c r="H1675" s="66"/>
      <c r="I1675" s="35" t="s">
        <v>27</v>
      </c>
      <c r="J1675" s="57"/>
      <c r="K1675" s="57"/>
      <c r="L1675" s="84"/>
    </row>
    <row r="1676">
      <c r="A1676" s="32" t="s">
        <v>4501</v>
      </c>
      <c r="B1676" s="32" t="s">
        <v>4502</v>
      </c>
      <c r="C1676" s="33">
        <v>45891.0</v>
      </c>
      <c r="D1676" s="34" t="s">
        <v>22</v>
      </c>
      <c r="E1676" s="32" t="s">
        <v>122</v>
      </c>
      <c r="F1676" s="34" t="s">
        <v>156</v>
      </c>
      <c r="G1676" s="34" t="s">
        <v>49</v>
      </c>
      <c r="H1676" s="66"/>
      <c r="I1676" s="35" t="s">
        <v>27</v>
      </c>
      <c r="J1676" s="57"/>
      <c r="K1676" s="57"/>
      <c r="L1676" s="84"/>
    </row>
    <row r="1677">
      <c r="A1677" s="32" t="s">
        <v>280</v>
      </c>
      <c r="B1677" s="32" t="s">
        <v>4503</v>
      </c>
      <c r="C1677" s="33">
        <v>45891.0</v>
      </c>
      <c r="D1677" s="69" t="s">
        <v>22</v>
      </c>
      <c r="E1677" s="32" t="s">
        <v>122</v>
      </c>
      <c r="F1677" s="34" t="s">
        <v>156</v>
      </c>
      <c r="G1677" s="34" t="s">
        <v>96</v>
      </c>
      <c r="H1677" s="35" t="s">
        <v>26</v>
      </c>
      <c r="I1677" s="34"/>
      <c r="J1677" s="57"/>
      <c r="K1677" s="57"/>
      <c r="L1677" s="84"/>
    </row>
    <row r="1678">
      <c r="A1678" s="32" t="s">
        <v>4504</v>
      </c>
      <c r="B1678" s="32" t="s">
        <v>4505</v>
      </c>
      <c r="C1678" s="33">
        <v>45891.0</v>
      </c>
      <c r="D1678" s="69" t="s">
        <v>22</v>
      </c>
      <c r="E1678" s="32" t="s">
        <v>2400</v>
      </c>
      <c r="F1678" s="34" t="s">
        <v>31</v>
      </c>
      <c r="G1678" s="34" t="s">
        <v>1404</v>
      </c>
      <c r="H1678" s="35" t="s">
        <v>26</v>
      </c>
      <c r="I1678" s="35" t="s">
        <v>27</v>
      </c>
      <c r="J1678" s="57"/>
      <c r="K1678" s="57"/>
      <c r="L1678" s="84"/>
    </row>
    <row r="1679">
      <c r="A1679" s="32" t="s">
        <v>4506</v>
      </c>
      <c r="B1679" s="32" t="s">
        <v>4507</v>
      </c>
      <c r="C1679" s="33">
        <v>45891.0</v>
      </c>
      <c r="D1679" s="34" t="s">
        <v>22</v>
      </c>
      <c r="E1679" s="32" t="s">
        <v>4508</v>
      </c>
      <c r="F1679" s="34" t="s">
        <v>156</v>
      </c>
      <c r="G1679" s="34" t="s">
        <v>605</v>
      </c>
      <c r="H1679" s="66"/>
      <c r="I1679" s="35" t="s">
        <v>27</v>
      </c>
      <c r="J1679" s="57"/>
      <c r="K1679" s="57"/>
      <c r="L1679" s="84"/>
    </row>
    <row r="1680">
      <c r="A1680" s="32" t="s">
        <v>4509</v>
      </c>
      <c r="B1680" s="32" t="s">
        <v>4510</v>
      </c>
      <c r="C1680" s="33">
        <v>45891.0</v>
      </c>
      <c r="D1680" s="34" t="s">
        <v>22</v>
      </c>
      <c r="E1680" s="32" t="s">
        <v>4511</v>
      </c>
      <c r="F1680" s="34" t="s">
        <v>53</v>
      </c>
      <c r="G1680" s="34" t="s">
        <v>654</v>
      </c>
      <c r="H1680" s="35" t="s">
        <v>26</v>
      </c>
      <c r="I1680" s="35" t="s">
        <v>27</v>
      </c>
      <c r="J1680" s="57"/>
      <c r="K1680" s="57"/>
      <c r="L1680" s="84"/>
    </row>
    <row r="1681">
      <c r="A1681" s="32" t="s">
        <v>4512</v>
      </c>
      <c r="B1681" s="32" t="s">
        <v>4513</v>
      </c>
      <c r="C1681" s="33">
        <v>45891.0</v>
      </c>
      <c r="D1681" s="34" t="s">
        <v>22</v>
      </c>
      <c r="E1681" s="32" t="s">
        <v>2987</v>
      </c>
      <c r="F1681" s="34" t="s">
        <v>53</v>
      </c>
      <c r="G1681" s="34" t="s">
        <v>2544</v>
      </c>
      <c r="H1681" s="66"/>
      <c r="I1681" s="35" t="s">
        <v>27</v>
      </c>
      <c r="J1681" s="57"/>
      <c r="K1681" s="57"/>
      <c r="L1681" s="84"/>
    </row>
    <row r="1682">
      <c r="A1682" s="32" t="s">
        <v>4514</v>
      </c>
      <c r="B1682" s="32" t="s">
        <v>4515</v>
      </c>
      <c r="C1682" s="33">
        <v>45891.0</v>
      </c>
      <c r="D1682" s="34" t="s">
        <v>22</v>
      </c>
      <c r="E1682" s="32" t="s">
        <v>335</v>
      </c>
      <c r="F1682" s="34" t="s">
        <v>24</v>
      </c>
      <c r="G1682" s="34" t="s">
        <v>702</v>
      </c>
      <c r="H1682" s="35" t="s">
        <v>26</v>
      </c>
      <c r="I1682" s="35" t="s">
        <v>27</v>
      </c>
      <c r="J1682" s="35" t="s">
        <v>100</v>
      </c>
      <c r="K1682" s="57"/>
      <c r="L1682" s="84"/>
    </row>
    <row r="1683">
      <c r="A1683" s="32" t="s">
        <v>4516</v>
      </c>
      <c r="B1683" s="32" t="s">
        <v>4517</v>
      </c>
      <c r="C1683" s="33">
        <v>45891.0</v>
      </c>
      <c r="D1683" s="34" t="s">
        <v>22</v>
      </c>
      <c r="E1683" s="32" t="s">
        <v>1753</v>
      </c>
      <c r="F1683" s="34" t="s">
        <v>24</v>
      </c>
      <c r="G1683" s="34" t="s">
        <v>1925</v>
      </c>
      <c r="H1683" s="35" t="s">
        <v>26</v>
      </c>
      <c r="I1683" s="35" t="s">
        <v>27</v>
      </c>
      <c r="J1683" s="57"/>
      <c r="K1683" s="57"/>
      <c r="L1683" s="84"/>
    </row>
    <row r="1684">
      <c r="A1684" s="32" t="s">
        <v>4518</v>
      </c>
      <c r="B1684" s="32" t="s">
        <v>4519</v>
      </c>
      <c r="C1684" s="33">
        <v>45891.0</v>
      </c>
      <c r="D1684" s="34" t="s">
        <v>22</v>
      </c>
      <c r="E1684" s="32" t="s">
        <v>4520</v>
      </c>
      <c r="F1684" s="34" t="s">
        <v>53</v>
      </c>
      <c r="G1684" s="34" t="s">
        <v>231</v>
      </c>
      <c r="H1684" s="35" t="s">
        <v>26</v>
      </c>
      <c r="I1684" s="35" t="s">
        <v>27</v>
      </c>
      <c r="J1684" s="35" t="s">
        <v>100</v>
      </c>
      <c r="K1684" s="57"/>
      <c r="L1684" s="84"/>
    </row>
    <row r="1685">
      <c r="A1685" s="32" t="s">
        <v>4521</v>
      </c>
      <c r="B1685" s="32" t="s">
        <v>4522</v>
      </c>
      <c r="C1685" s="33">
        <v>45891.0</v>
      </c>
      <c r="D1685" s="34" t="s">
        <v>22</v>
      </c>
      <c r="E1685" s="32" t="s">
        <v>817</v>
      </c>
      <c r="F1685" s="34" t="s">
        <v>53</v>
      </c>
      <c r="G1685" s="34" t="s">
        <v>4523</v>
      </c>
      <c r="H1685" s="66"/>
      <c r="I1685" s="35" t="s">
        <v>27</v>
      </c>
      <c r="J1685" s="57"/>
      <c r="K1685" s="57"/>
      <c r="L1685" s="84"/>
    </row>
    <row r="1686">
      <c r="A1686" s="32" t="s">
        <v>4524</v>
      </c>
      <c r="B1686" s="32" t="s">
        <v>4525</v>
      </c>
      <c r="C1686" s="33">
        <v>45891.0</v>
      </c>
      <c r="D1686" s="34" t="s">
        <v>22</v>
      </c>
      <c r="E1686" s="32" t="s">
        <v>126</v>
      </c>
      <c r="F1686" s="34" t="s">
        <v>24</v>
      </c>
      <c r="G1686" s="34" t="s">
        <v>202</v>
      </c>
      <c r="H1686" s="35" t="s">
        <v>26</v>
      </c>
      <c r="I1686" s="35" t="s">
        <v>27</v>
      </c>
      <c r="J1686" s="57"/>
      <c r="K1686" s="57"/>
      <c r="L1686" s="84"/>
    </row>
    <row r="1687">
      <c r="A1687" s="32" t="s">
        <v>4526</v>
      </c>
      <c r="B1687" s="32" t="s">
        <v>4527</v>
      </c>
      <c r="C1687" s="33">
        <v>45891.0</v>
      </c>
      <c r="D1687" s="34" t="s">
        <v>22</v>
      </c>
      <c r="E1687" s="32" t="s">
        <v>98</v>
      </c>
      <c r="F1687" s="34" t="s">
        <v>24</v>
      </c>
      <c r="G1687" s="34" t="s">
        <v>1583</v>
      </c>
      <c r="H1687" s="35" t="s">
        <v>26</v>
      </c>
      <c r="I1687" s="35" t="s">
        <v>27</v>
      </c>
      <c r="J1687" s="57"/>
      <c r="K1687" s="57"/>
      <c r="L1687" s="84"/>
    </row>
    <row r="1688">
      <c r="A1688" s="32" t="s">
        <v>4528</v>
      </c>
      <c r="B1688" s="32" t="s">
        <v>4529</v>
      </c>
      <c r="C1688" s="33">
        <v>45891.0</v>
      </c>
      <c r="D1688" s="47" t="s">
        <v>22</v>
      </c>
      <c r="E1688" s="32" t="s">
        <v>61</v>
      </c>
      <c r="F1688" s="34" t="s">
        <v>24</v>
      </c>
      <c r="G1688" s="34" t="s">
        <v>4530</v>
      </c>
      <c r="H1688" s="35" t="s">
        <v>26</v>
      </c>
      <c r="I1688" s="35" t="s">
        <v>27</v>
      </c>
      <c r="J1688" s="35" t="s">
        <v>100</v>
      </c>
      <c r="K1688" s="57"/>
      <c r="L1688" s="84"/>
    </row>
    <row r="1689">
      <c r="A1689" s="32" t="s">
        <v>4531</v>
      </c>
      <c r="B1689" s="32" t="s">
        <v>4532</v>
      </c>
      <c r="C1689" s="33">
        <v>45891.0</v>
      </c>
      <c r="D1689" s="34" t="s">
        <v>22</v>
      </c>
      <c r="E1689" s="32" t="s">
        <v>4533</v>
      </c>
      <c r="F1689" s="34" t="s">
        <v>156</v>
      </c>
      <c r="G1689" s="34" t="s">
        <v>660</v>
      </c>
      <c r="H1689" s="35" t="s">
        <v>26</v>
      </c>
      <c r="I1689" s="35" t="s">
        <v>27</v>
      </c>
      <c r="J1689" s="57"/>
      <c r="K1689" s="57"/>
      <c r="L1689" s="84"/>
    </row>
    <row r="1690">
      <c r="A1690" s="32" t="s">
        <v>4534</v>
      </c>
      <c r="B1690" s="32" t="s">
        <v>4535</v>
      </c>
      <c r="C1690" s="33">
        <v>45891.0</v>
      </c>
      <c r="D1690" s="34" t="s">
        <v>22</v>
      </c>
      <c r="E1690" s="32" t="s">
        <v>1031</v>
      </c>
      <c r="F1690" s="34" t="s">
        <v>156</v>
      </c>
      <c r="G1690" s="34" t="s">
        <v>4536</v>
      </c>
      <c r="H1690" s="35" t="s">
        <v>26</v>
      </c>
      <c r="I1690" s="35" t="s">
        <v>27</v>
      </c>
      <c r="J1690" s="57"/>
      <c r="K1690" s="57"/>
      <c r="L1690" s="84"/>
    </row>
    <row r="1691">
      <c r="A1691" s="32" t="s">
        <v>4537</v>
      </c>
      <c r="B1691" s="32" t="s">
        <v>4538</v>
      </c>
      <c r="C1691" s="33">
        <v>45891.0</v>
      </c>
      <c r="D1691" s="47" t="s">
        <v>22</v>
      </c>
      <c r="E1691" s="32" t="s">
        <v>4539</v>
      </c>
      <c r="F1691" s="34" t="s">
        <v>24</v>
      </c>
      <c r="G1691" s="34" t="s">
        <v>892</v>
      </c>
      <c r="H1691" s="35" t="s">
        <v>26</v>
      </c>
      <c r="I1691" s="35" t="s">
        <v>27</v>
      </c>
      <c r="J1691" s="35" t="s">
        <v>100</v>
      </c>
      <c r="K1691" s="57"/>
      <c r="L1691" s="84"/>
    </row>
    <row r="1692">
      <c r="A1692" s="32" t="s">
        <v>4540</v>
      </c>
      <c r="B1692" s="32" t="s">
        <v>4541</v>
      </c>
      <c r="C1692" s="33">
        <v>45891.0</v>
      </c>
      <c r="D1692" s="34" t="s">
        <v>22</v>
      </c>
      <c r="E1692" s="32" t="s">
        <v>513</v>
      </c>
      <c r="F1692" s="34" t="s">
        <v>156</v>
      </c>
      <c r="G1692" s="34" t="s">
        <v>4542</v>
      </c>
      <c r="H1692" s="35" t="s">
        <v>26</v>
      </c>
      <c r="I1692" s="35" t="s">
        <v>27</v>
      </c>
      <c r="J1692" s="57"/>
      <c r="K1692" s="57"/>
      <c r="L1692" s="84"/>
    </row>
    <row r="1693">
      <c r="A1693" s="32" t="s">
        <v>4543</v>
      </c>
      <c r="B1693" s="32" t="s">
        <v>4544</v>
      </c>
      <c r="C1693" s="33">
        <v>45891.0</v>
      </c>
      <c r="D1693" s="34" t="s">
        <v>22</v>
      </c>
      <c r="E1693" s="32" t="s">
        <v>98</v>
      </c>
      <c r="F1693" s="34" t="s">
        <v>24</v>
      </c>
      <c r="G1693" s="34" t="s">
        <v>440</v>
      </c>
      <c r="H1693" s="35" t="s">
        <v>26</v>
      </c>
      <c r="I1693" s="35" t="s">
        <v>27</v>
      </c>
      <c r="J1693" s="57"/>
      <c r="K1693" s="57"/>
      <c r="L1693" s="84"/>
    </row>
    <row r="1694">
      <c r="A1694" s="32" t="s">
        <v>4545</v>
      </c>
      <c r="B1694" s="32" t="s">
        <v>4546</v>
      </c>
      <c r="C1694" s="33">
        <v>45891.0</v>
      </c>
      <c r="D1694" s="69" t="s">
        <v>22</v>
      </c>
      <c r="E1694" s="32" t="s">
        <v>328</v>
      </c>
      <c r="F1694" s="34" t="s">
        <v>156</v>
      </c>
      <c r="G1694" s="34" t="s">
        <v>4547</v>
      </c>
      <c r="H1694" s="35" t="s">
        <v>26</v>
      </c>
      <c r="I1694" s="35" t="s">
        <v>27</v>
      </c>
      <c r="J1694" s="35" t="s">
        <v>100</v>
      </c>
      <c r="K1694" s="57"/>
      <c r="L1694" s="84"/>
    </row>
    <row r="1695">
      <c r="A1695" s="32" t="s">
        <v>4548</v>
      </c>
      <c r="B1695" s="32" t="s">
        <v>4549</v>
      </c>
      <c r="C1695" s="33">
        <v>45891.0</v>
      </c>
      <c r="D1695" s="34" t="s">
        <v>22</v>
      </c>
      <c r="E1695" s="32" t="s">
        <v>2196</v>
      </c>
      <c r="F1695" s="34" t="s">
        <v>24</v>
      </c>
      <c r="G1695" s="34" t="s">
        <v>54</v>
      </c>
      <c r="H1695" s="35" t="s">
        <v>26</v>
      </c>
      <c r="I1695" s="35" t="s">
        <v>27</v>
      </c>
      <c r="J1695" s="57"/>
      <c r="K1695" s="57"/>
      <c r="L1695" s="84"/>
    </row>
    <row r="1696">
      <c r="A1696" s="32" t="s">
        <v>4550</v>
      </c>
      <c r="B1696" s="32" t="s">
        <v>4551</v>
      </c>
      <c r="C1696" s="33">
        <v>45891.0</v>
      </c>
      <c r="D1696" s="34" t="s">
        <v>22</v>
      </c>
      <c r="E1696" s="32" t="s">
        <v>61</v>
      </c>
      <c r="F1696" s="34" t="s">
        <v>24</v>
      </c>
      <c r="G1696" s="34" t="s">
        <v>375</v>
      </c>
      <c r="H1696" s="35" t="s">
        <v>26</v>
      </c>
      <c r="I1696" s="35" t="s">
        <v>27</v>
      </c>
      <c r="J1696" s="57"/>
      <c r="K1696" s="57"/>
      <c r="L1696" s="84"/>
    </row>
    <row r="1697">
      <c r="A1697" s="32" t="s">
        <v>4552</v>
      </c>
      <c r="B1697" s="32" t="s">
        <v>4553</v>
      </c>
      <c r="C1697" s="33">
        <v>45891.0</v>
      </c>
      <c r="D1697" s="34" t="s">
        <v>22</v>
      </c>
      <c r="E1697" s="32" t="s">
        <v>2056</v>
      </c>
      <c r="F1697" s="34" t="s">
        <v>24</v>
      </c>
      <c r="G1697" s="34" t="s">
        <v>4554</v>
      </c>
      <c r="H1697" s="35" t="s">
        <v>26</v>
      </c>
      <c r="I1697" s="35" t="s">
        <v>27</v>
      </c>
      <c r="J1697" s="35" t="s">
        <v>100</v>
      </c>
      <c r="K1697" s="57"/>
      <c r="L1697" s="84"/>
    </row>
    <row r="1698">
      <c r="A1698" s="32" t="s">
        <v>4555</v>
      </c>
      <c r="B1698" s="32" t="s">
        <v>4556</v>
      </c>
      <c r="C1698" s="33">
        <v>45891.0</v>
      </c>
      <c r="D1698" s="34" t="s">
        <v>22</v>
      </c>
      <c r="E1698" s="32" t="s">
        <v>4557</v>
      </c>
      <c r="F1698" s="34" t="s">
        <v>156</v>
      </c>
      <c r="G1698" s="34" t="s">
        <v>4558</v>
      </c>
      <c r="H1698" s="35" t="s">
        <v>26</v>
      </c>
      <c r="I1698" s="35" t="s">
        <v>27</v>
      </c>
      <c r="J1698" s="57"/>
      <c r="K1698" s="57"/>
      <c r="L1698" s="84"/>
    </row>
    <row r="1699">
      <c r="A1699" s="32" t="s">
        <v>4559</v>
      </c>
      <c r="B1699" s="32" t="s">
        <v>4560</v>
      </c>
      <c r="C1699" s="33">
        <v>45891.0</v>
      </c>
      <c r="D1699" s="34" t="s">
        <v>22</v>
      </c>
      <c r="E1699" s="32" t="s">
        <v>325</v>
      </c>
      <c r="F1699" s="34" t="s">
        <v>156</v>
      </c>
      <c r="G1699" s="34" t="s">
        <v>939</v>
      </c>
      <c r="H1699" s="35" t="s">
        <v>26</v>
      </c>
      <c r="I1699" s="35" t="s">
        <v>27</v>
      </c>
      <c r="J1699" s="57"/>
      <c r="K1699" s="57"/>
      <c r="L1699" s="84"/>
    </row>
    <row r="1700">
      <c r="A1700" s="32" t="s">
        <v>4561</v>
      </c>
      <c r="B1700" s="32" t="s">
        <v>4562</v>
      </c>
      <c r="C1700" s="33">
        <v>45891.0</v>
      </c>
      <c r="D1700" s="34" t="s">
        <v>22</v>
      </c>
      <c r="E1700" s="32" t="s">
        <v>284</v>
      </c>
      <c r="F1700" s="34" t="s">
        <v>24</v>
      </c>
      <c r="G1700" s="34" t="s">
        <v>1092</v>
      </c>
      <c r="H1700" s="35" t="s">
        <v>26</v>
      </c>
      <c r="I1700" s="35" t="s">
        <v>27</v>
      </c>
      <c r="J1700" s="57"/>
      <c r="K1700" s="57"/>
      <c r="L1700" s="84"/>
    </row>
    <row r="1701">
      <c r="A1701" s="32" t="s">
        <v>4563</v>
      </c>
      <c r="B1701" s="32" t="s">
        <v>4564</v>
      </c>
      <c r="C1701" s="33">
        <v>45891.0</v>
      </c>
      <c r="D1701" s="34" t="s">
        <v>39</v>
      </c>
      <c r="E1701" s="32" t="s">
        <v>73</v>
      </c>
      <c r="F1701" s="34" t="s">
        <v>24</v>
      </c>
      <c r="G1701" s="34" t="s">
        <v>599</v>
      </c>
      <c r="H1701" s="35" t="s">
        <v>26</v>
      </c>
      <c r="I1701" s="35" t="s">
        <v>27</v>
      </c>
      <c r="J1701" s="57"/>
      <c r="K1701" s="57"/>
      <c r="L1701" s="84"/>
    </row>
    <row r="1702">
      <c r="A1702" s="32" t="s">
        <v>4565</v>
      </c>
      <c r="B1702" s="32" t="s">
        <v>4566</v>
      </c>
      <c r="C1702" s="33">
        <v>45891.0</v>
      </c>
      <c r="D1702" s="47" t="s">
        <v>22</v>
      </c>
      <c r="E1702" s="32" t="s">
        <v>61</v>
      </c>
      <c r="F1702" s="34" t="s">
        <v>24</v>
      </c>
      <c r="G1702" s="34" t="s">
        <v>423</v>
      </c>
      <c r="H1702" s="35" t="s">
        <v>26</v>
      </c>
      <c r="I1702" s="35" t="s">
        <v>27</v>
      </c>
      <c r="J1702" s="35" t="s">
        <v>100</v>
      </c>
      <c r="K1702" s="57"/>
      <c r="L1702" s="84"/>
    </row>
    <row r="1703">
      <c r="A1703" s="32" t="s">
        <v>4567</v>
      </c>
      <c r="B1703" s="32" t="s">
        <v>4568</v>
      </c>
      <c r="C1703" s="33">
        <v>45891.0</v>
      </c>
      <c r="D1703" s="47" t="s">
        <v>22</v>
      </c>
      <c r="E1703" s="32" t="s">
        <v>2099</v>
      </c>
      <c r="F1703" s="34" t="s">
        <v>53</v>
      </c>
      <c r="G1703" s="34" t="s">
        <v>41</v>
      </c>
      <c r="H1703" s="35" t="s">
        <v>26</v>
      </c>
      <c r="I1703" s="35" t="s">
        <v>27</v>
      </c>
      <c r="J1703" s="57"/>
      <c r="K1703" s="57"/>
      <c r="L1703" s="84"/>
    </row>
    <row r="1704">
      <c r="A1704" s="32" t="s">
        <v>4569</v>
      </c>
      <c r="B1704" s="32" t="s">
        <v>4569</v>
      </c>
      <c r="C1704" s="33">
        <v>45891.0</v>
      </c>
      <c r="D1704" s="34" t="s">
        <v>22</v>
      </c>
      <c r="E1704" s="32" t="s">
        <v>817</v>
      </c>
      <c r="F1704" s="34" t="s">
        <v>53</v>
      </c>
      <c r="G1704" s="34" t="s">
        <v>41</v>
      </c>
      <c r="H1704" s="66"/>
      <c r="I1704" s="35" t="s">
        <v>27</v>
      </c>
      <c r="J1704" s="57"/>
      <c r="K1704" s="57"/>
      <c r="L1704" s="84"/>
    </row>
    <row r="1705">
      <c r="A1705" s="32" t="s">
        <v>4570</v>
      </c>
      <c r="B1705" s="32" t="s">
        <v>4571</v>
      </c>
      <c r="C1705" s="33">
        <v>45891.0</v>
      </c>
      <c r="D1705" s="34" t="s">
        <v>22</v>
      </c>
      <c r="E1705" s="32" t="s">
        <v>3976</v>
      </c>
      <c r="F1705" s="34" t="s">
        <v>24</v>
      </c>
      <c r="G1705" s="34" t="s">
        <v>342</v>
      </c>
      <c r="H1705" s="35" t="s">
        <v>26</v>
      </c>
      <c r="I1705" s="35" t="s">
        <v>27</v>
      </c>
      <c r="J1705" s="57"/>
      <c r="K1705" s="57"/>
      <c r="L1705" s="84"/>
    </row>
    <row r="1706">
      <c r="A1706" s="32" t="s">
        <v>4572</v>
      </c>
      <c r="B1706" s="32" t="s">
        <v>4573</v>
      </c>
      <c r="C1706" s="33">
        <v>45891.0</v>
      </c>
      <c r="D1706" s="47" t="s">
        <v>39</v>
      </c>
      <c r="E1706" s="32" t="s">
        <v>4574</v>
      </c>
      <c r="F1706" s="34" t="s">
        <v>24</v>
      </c>
      <c r="G1706" s="34" t="s">
        <v>702</v>
      </c>
      <c r="H1706" s="35" t="s">
        <v>26</v>
      </c>
      <c r="I1706" s="35" t="s">
        <v>27</v>
      </c>
      <c r="J1706" s="57"/>
      <c r="K1706" s="57"/>
      <c r="L1706" s="84"/>
    </row>
    <row r="1707">
      <c r="A1707" s="32" t="s">
        <v>4575</v>
      </c>
      <c r="B1707" s="32" t="s">
        <v>4576</v>
      </c>
      <c r="C1707" s="33">
        <v>45891.0</v>
      </c>
      <c r="D1707" s="47" t="s">
        <v>22</v>
      </c>
      <c r="E1707" s="32" t="s">
        <v>4577</v>
      </c>
      <c r="F1707" s="34" t="s">
        <v>31</v>
      </c>
      <c r="G1707" s="34" t="s">
        <v>526</v>
      </c>
      <c r="H1707" s="35" t="s">
        <v>26</v>
      </c>
      <c r="I1707" s="35" t="s">
        <v>27</v>
      </c>
      <c r="J1707" s="57"/>
      <c r="K1707" s="57"/>
      <c r="L1707" s="84"/>
    </row>
    <row r="1708">
      <c r="A1708" s="32" t="s">
        <v>4578</v>
      </c>
      <c r="B1708" s="32" t="s">
        <v>4579</v>
      </c>
      <c r="C1708" s="33">
        <v>45891.0</v>
      </c>
      <c r="D1708" s="47" t="s">
        <v>22</v>
      </c>
      <c r="E1708" s="32" t="s">
        <v>122</v>
      </c>
      <c r="F1708" s="34" t="s">
        <v>156</v>
      </c>
      <c r="G1708" s="34" t="s">
        <v>1938</v>
      </c>
      <c r="H1708" s="35" t="s">
        <v>26</v>
      </c>
      <c r="I1708" s="35" t="s">
        <v>27</v>
      </c>
      <c r="J1708" s="57"/>
      <c r="K1708" s="57"/>
      <c r="L1708" s="84"/>
    </row>
    <row r="1709">
      <c r="A1709" s="32" t="s">
        <v>4580</v>
      </c>
      <c r="B1709" s="32" t="s">
        <v>4581</v>
      </c>
      <c r="C1709" s="33">
        <v>45891.0</v>
      </c>
      <c r="D1709" s="47" t="s">
        <v>39</v>
      </c>
      <c r="E1709" s="32" t="s">
        <v>4582</v>
      </c>
      <c r="F1709" s="34" t="s">
        <v>24</v>
      </c>
      <c r="G1709" s="34" t="s">
        <v>336</v>
      </c>
      <c r="H1709" s="35" t="str">
        <f>HYPERLINK("https://thewretchednocturne.bandcamp.com/album/lucid-nightmare", "BC")</f>
        <v>BC</v>
      </c>
      <c r="I1709" s="36" t="str">
        <f>HYPERLINK("https://open.spotify.com/album/6JP0Rppe3r04Hq078sXiea", "S")</f>
        <v>S</v>
      </c>
      <c r="J1709" s="57"/>
      <c r="K1709" s="57"/>
      <c r="L1709" s="84"/>
    </row>
    <row r="1710">
      <c r="A1710" s="32" t="s">
        <v>4583</v>
      </c>
      <c r="B1710" s="32" t="s">
        <v>4584</v>
      </c>
      <c r="C1710" s="33">
        <v>45892.0</v>
      </c>
      <c r="D1710" s="34" t="s">
        <v>22</v>
      </c>
      <c r="E1710" s="32" t="s">
        <v>632</v>
      </c>
      <c r="F1710" s="34" t="s">
        <v>24</v>
      </c>
      <c r="G1710" s="34" t="s">
        <v>670</v>
      </c>
      <c r="H1710" s="35" t="s">
        <v>26</v>
      </c>
      <c r="I1710" s="36" t="str">
        <f>HYPERLINK("https://open.spotify.com/album/0BdSVpjGCAxEziLnrAN4wR", "S")</f>
        <v>S</v>
      </c>
      <c r="J1710" s="57"/>
      <c r="K1710" s="57"/>
      <c r="L1710" s="84"/>
    </row>
    <row r="1711">
      <c r="A1711" s="32" t="s">
        <v>4585</v>
      </c>
      <c r="B1711" s="32" t="s">
        <v>4586</v>
      </c>
      <c r="C1711" s="33">
        <v>45895.0</v>
      </c>
      <c r="D1711" s="34" t="s">
        <v>22</v>
      </c>
      <c r="E1711" s="32" t="s">
        <v>4587</v>
      </c>
      <c r="F1711" s="34" t="s">
        <v>53</v>
      </c>
      <c r="G1711" s="34" t="s">
        <v>365</v>
      </c>
      <c r="H1711" s="35" t="s">
        <v>26</v>
      </c>
      <c r="I1711" s="36" t="str">
        <f>HYPERLINK("https://open.spotify.com/album/0WnvsTsQh7ZEtvDFWvdzb2", "S")</f>
        <v>S</v>
      </c>
      <c r="J1711" s="57"/>
      <c r="K1711" s="57"/>
      <c r="L1711" s="84"/>
    </row>
    <row r="1712">
      <c r="A1712" s="32" t="s">
        <v>4588</v>
      </c>
      <c r="B1712" s="32" t="s">
        <v>4589</v>
      </c>
      <c r="C1712" s="33">
        <v>45895.0</v>
      </c>
      <c r="D1712" s="34" t="s">
        <v>22</v>
      </c>
      <c r="E1712" s="32" t="s">
        <v>3129</v>
      </c>
      <c r="F1712" s="34" t="s">
        <v>24</v>
      </c>
      <c r="G1712" s="34" t="s">
        <v>299</v>
      </c>
      <c r="H1712" s="35" t="s">
        <v>26</v>
      </c>
      <c r="I1712" s="36" t="str">
        <f>HYPERLINK("https://open.spotify.com/album/74Cngv2sd8jITaGPOv3BXd", "S")</f>
        <v>S</v>
      </c>
      <c r="J1712" s="57"/>
      <c r="K1712" s="57"/>
      <c r="L1712" s="84"/>
    </row>
    <row r="1713">
      <c r="A1713" s="32" t="s">
        <v>4590</v>
      </c>
      <c r="B1713" s="32" t="s">
        <v>4591</v>
      </c>
      <c r="C1713" s="33">
        <v>45897.0</v>
      </c>
      <c r="D1713" s="47" t="s">
        <v>22</v>
      </c>
      <c r="E1713" s="32" t="s">
        <v>4592</v>
      </c>
      <c r="F1713" s="34" t="s">
        <v>53</v>
      </c>
      <c r="G1713" s="34" t="s">
        <v>1617</v>
      </c>
      <c r="H1713" s="35" t="s">
        <v>26</v>
      </c>
      <c r="I1713" s="57"/>
      <c r="J1713" s="57"/>
      <c r="K1713" s="57"/>
      <c r="L1713" s="84"/>
    </row>
    <row r="1714">
      <c r="A1714" s="32" t="s">
        <v>4593</v>
      </c>
      <c r="B1714" s="32" t="s">
        <v>4594</v>
      </c>
      <c r="C1714" s="33">
        <v>45898.0</v>
      </c>
      <c r="D1714" s="34" t="s">
        <v>22</v>
      </c>
      <c r="E1714" s="32" t="s">
        <v>4595</v>
      </c>
      <c r="F1714" s="34" t="s">
        <v>24</v>
      </c>
      <c r="G1714" s="34" t="s">
        <v>4596</v>
      </c>
      <c r="H1714" s="35" t="s">
        <v>26</v>
      </c>
      <c r="I1714" s="35" t="s">
        <v>27</v>
      </c>
      <c r="J1714" s="57"/>
      <c r="K1714" s="57"/>
      <c r="L1714" s="84"/>
    </row>
    <row r="1715">
      <c r="A1715" s="32" t="s">
        <v>4597</v>
      </c>
      <c r="B1715" s="32" t="s">
        <v>4369</v>
      </c>
      <c r="C1715" s="33">
        <v>45898.0</v>
      </c>
      <c r="D1715" s="47" t="s">
        <v>39</v>
      </c>
      <c r="E1715" s="32" t="s">
        <v>122</v>
      </c>
      <c r="F1715" s="34" t="s">
        <v>31</v>
      </c>
      <c r="G1715" s="34" t="s">
        <v>792</v>
      </c>
      <c r="H1715" s="35" t="s">
        <v>26</v>
      </c>
      <c r="I1715" s="35" t="s">
        <v>27</v>
      </c>
      <c r="J1715" s="57"/>
      <c r="K1715" s="57"/>
      <c r="L1715" s="84"/>
    </row>
    <row r="1716">
      <c r="A1716" s="32" t="s">
        <v>4598</v>
      </c>
      <c r="B1716" s="32" t="s">
        <v>4598</v>
      </c>
      <c r="C1716" s="33">
        <v>45898.0</v>
      </c>
      <c r="D1716" s="47" t="s">
        <v>22</v>
      </c>
      <c r="E1716" s="32" t="s">
        <v>1717</v>
      </c>
      <c r="F1716" s="34" t="s">
        <v>53</v>
      </c>
      <c r="G1716" s="34" t="s">
        <v>1392</v>
      </c>
      <c r="H1716" s="35" t="s">
        <v>26</v>
      </c>
      <c r="I1716" s="35" t="str">
        <f>HYPERLINK("https://open.spotify.com/album/2Ajn8a9yVs6wmUfQW0wYyB", "S")</f>
        <v>S</v>
      </c>
      <c r="J1716" s="57"/>
      <c r="K1716" s="57"/>
      <c r="L1716" s="84"/>
    </row>
    <row r="1717">
      <c r="A1717" s="32" t="s">
        <v>4599</v>
      </c>
      <c r="B1717" s="32" t="s">
        <v>4600</v>
      </c>
      <c r="C1717" s="33">
        <v>45898.0</v>
      </c>
      <c r="D1717" s="34" t="s">
        <v>22</v>
      </c>
      <c r="E1717" s="32" t="s">
        <v>4601</v>
      </c>
      <c r="F1717" s="34" t="s">
        <v>53</v>
      </c>
      <c r="G1717" s="34" t="s">
        <v>4602</v>
      </c>
      <c r="H1717" s="35" t="s">
        <v>26</v>
      </c>
      <c r="I1717" s="34"/>
      <c r="J1717" s="35" t="s">
        <v>100</v>
      </c>
      <c r="K1717" s="57"/>
      <c r="L1717" s="84"/>
    </row>
    <row r="1718">
      <c r="A1718" s="98" t="s">
        <v>4603</v>
      </c>
      <c r="B1718" s="32" t="s">
        <v>4604</v>
      </c>
      <c r="C1718" s="33">
        <v>45898.0</v>
      </c>
      <c r="D1718" s="34" t="s">
        <v>22</v>
      </c>
      <c r="E1718" s="32" t="s">
        <v>4605</v>
      </c>
      <c r="F1718" s="34" t="s">
        <v>53</v>
      </c>
      <c r="G1718" s="34" t="s">
        <v>1856</v>
      </c>
      <c r="H1718" s="35" t="s">
        <v>26</v>
      </c>
      <c r="I1718" s="35" t="s">
        <v>27</v>
      </c>
      <c r="J1718" s="57"/>
      <c r="K1718" s="57"/>
      <c r="L1718" s="84"/>
    </row>
    <row r="1719">
      <c r="A1719" s="32" t="s">
        <v>4606</v>
      </c>
      <c r="B1719" s="32" t="s">
        <v>4607</v>
      </c>
      <c r="C1719" s="33">
        <v>45898.0</v>
      </c>
      <c r="D1719" s="34" t="s">
        <v>22</v>
      </c>
      <c r="E1719" s="32" t="s">
        <v>1717</v>
      </c>
      <c r="F1719" s="34" t="s">
        <v>24</v>
      </c>
      <c r="G1719" s="34" t="s">
        <v>4608</v>
      </c>
      <c r="H1719" s="35" t="s">
        <v>26</v>
      </c>
      <c r="I1719" s="35" t="s">
        <v>27</v>
      </c>
      <c r="J1719" s="57"/>
      <c r="K1719" s="57"/>
      <c r="L1719" s="84"/>
    </row>
    <row r="1720">
      <c r="A1720" s="32" t="s">
        <v>4609</v>
      </c>
      <c r="B1720" s="32" t="s">
        <v>4610</v>
      </c>
      <c r="C1720" s="33">
        <v>45898.0</v>
      </c>
      <c r="D1720" s="34" t="s">
        <v>39</v>
      </c>
      <c r="E1720" s="32" t="s">
        <v>4611</v>
      </c>
      <c r="F1720" s="34" t="s">
        <v>53</v>
      </c>
      <c r="G1720" s="34" t="s">
        <v>213</v>
      </c>
      <c r="H1720" s="66"/>
      <c r="I1720" s="35" t="s">
        <v>27</v>
      </c>
      <c r="J1720" s="57"/>
      <c r="K1720" s="57"/>
      <c r="L1720" s="84"/>
    </row>
    <row r="1721">
      <c r="A1721" s="32" t="s">
        <v>4612</v>
      </c>
      <c r="B1721" s="32" t="s">
        <v>4613</v>
      </c>
      <c r="C1721" s="33">
        <v>45898.0</v>
      </c>
      <c r="D1721" s="34" t="s">
        <v>22</v>
      </c>
      <c r="E1721" s="32" t="s">
        <v>4614</v>
      </c>
      <c r="F1721" s="34" t="s">
        <v>31</v>
      </c>
      <c r="G1721" s="34" t="s">
        <v>1673</v>
      </c>
      <c r="H1721" s="35" t="s">
        <v>26</v>
      </c>
      <c r="I1721" s="35" t="s">
        <v>27</v>
      </c>
      <c r="J1721" s="57"/>
      <c r="K1721" s="57"/>
      <c r="L1721" s="84"/>
    </row>
    <row r="1722">
      <c r="A1722" s="32" t="s">
        <v>4615</v>
      </c>
      <c r="B1722" s="32" t="s">
        <v>4616</v>
      </c>
      <c r="C1722" s="33">
        <v>45898.0</v>
      </c>
      <c r="D1722" s="34" t="s">
        <v>22</v>
      </c>
      <c r="E1722" s="32" t="s">
        <v>1000</v>
      </c>
      <c r="F1722" s="34" t="s">
        <v>53</v>
      </c>
      <c r="G1722" s="34" t="s">
        <v>4617</v>
      </c>
      <c r="H1722" s="35" t="s">
        <v>26</v>
      </c>
      <c r="I1722" s="35" t="s">
        <v>27</v>
      </c>
      <c r="J1722" s="35" t="s">
        <v>100</v>
      </c>
      <c r="K1722" s="57"/>
      <c r="L1722" s="84"/>
    </row>
    <row r="1723">
      <c r="A1723" s="32" t="s">
        <v>4618</v>
      </c>
      <c r="B1723" s="32" t="s">
        <v>4619</v>
      </c>
      <c r="C1723" s="33">
        <v>45898.0</v>
      </c>
      <c r="D1723" s="47" t="s">
        <v>22</v>
      </c>
      <c r="E1723" s="32" t="s">
        <v>1868</v>
      </c>
      <c r="F1723" s="34" t="s">
        <v>24</v>
      </c>
      <c r="G1723" s="34" t="s">
        <v>510</v>
      </c>
      <c r="H1723" s="35" t="s">
        <v>26</v>
      </c>
      <c r="I1723" s="35" t="s">
        <v>27</v>
      </c>
      <c r="J1723" s="57"/>
      <c r="K1723" s="57"/>
      <c r="L1723" s="84"/>
    </row>
    <row r="1724">
      <c r="A1724" s="32" t="s">
        <v>4620</v>
      </c>
      <c r="B1724" s="32" t="s">
        <v>4621</v>
      </c>
      <c r="C1724" s="33">
        <v>45898.0</v>
      </c>
      <c r="D1724" s="34" t="s">
        <v>22</v>
      </c>
      <c r="E1724" s="32" t="s">
        <v>817</v>
      </c>
      <c r="F1724" s="34" t="s">
        <v>156</v>
      </c>
      <c r="G1724" s="34" t="s">
        <v>442</v>
      </c>
      <c r="H1724" s="35" t="s">
        <v>26</v>
      </c>
      <c r="I1724" s="35" t="s">
        <v>27</v>
      </c>
      <c r="J1724" s="57"/>
      <c r="K1724" s="57"/>
      <c r="L1724" s="84"/>
    </row>
    <row r="1725">
      <c r="A1725" s="32" t="s">
        <v>4622</v>
      </c>
      <c r="B1725" s="32" t="s">
        <v>4623</v>
      </c>
      <c r="C1725" s="33">
        <v>45898.0</v>
      </c>
      <c r="D1725" s="34" t="s">
        <v>22</v>
      </c>
      <c r="E1725" s="32" t="s">
        <v>1525</v>
      </c>
      <c r="F1725" s="34" t="s">
        <v>53</v>
      </c>
      <c r="G1725" s="34" t="s">
        <v>342</v>
      </c>
      <c r="H1725" s="35" t="s">
        <v>26</v>
      </c>
      <c r="I1725" s="35" t="s">
        <v>27</v>
      </c>
      <c r="J1725" s="57"/>
      <c r="K1725" s="57"/>
      <c r="L1725" s="84"/>
    </row>
    <row r="1726">
      <c r="A1726" s="32" t="s">
        <v>4624</v>
      </c>
      <c r="B1726" s="32" t="s">
        <v>4625</v>
      </c>
      <c r="C1726" s="33">
        <v>45898.0</v>
      </c>
      <c r="D1726" s="34" t="s">
        <v>22</v>
      </c>
      <c r="E1726" s="32" t="s">
        <v>98</v>
      </c>
      <c r="F1726" s="34" t="s">
        <v>24</v>
      </c>
      <c r="G1726" s="34" t="s">
        <v>96</v>
      </c>
      <c r="H1726" s="35" t="s">
        <v>26</v>
      </c>
      <c r="I1726" s="35" t="s">
        <v>27</v>
      </c>
      <c r="J1726" s="57"/>
      <c r="K1726" s="57"/>
      <c r="L1726" s="84"/>
    </row>
    <row r="1727">
      <c r="A1727" s="32" t="s">
        <v>4626</v>
      </c>
      <c r="B1727" s="32" t="s">
        <v>4627</v>
      </c>
      <c r="C1727" s="33">
        <v>45898.0</v>
      </c>
      <c r="D1727" s="34" t="s">
        <v>22</v>
      </c>
      <c r="E1727" s="32" t="s">
        <v>1031</v>
      </c>
      <c r="F1727" s="34" t="s">
        <v>156</v>
      </c>
      <c r="G1727" s="34" t="s">
        <v>199</v>
      </c>
      <c r="H1727" s="66"/>
      <c r="I1727" s="35" t="s">
        <v>27</v>
      </c>
      <c r="J1727" s="57"/>
      <c r="K1727" s="57"/>
      <c r="L1727" s="84"/>
    </row>
    <row r="1728">
      <c r="A1728" s="32" t="s">
        <v>4628</v>
      </c>
      <c r="B1728" s="32" t="s">
        <v>4629</v>
      </c>
      <c r="C1728" s="33">
        <v>45898.0</v>
      </c>
      <c r="D1728" s="34" t="s">
        <v>22</v>
      </c>
      <c r="E1728" s="32" t="s">
        <v>4630</v>
      </c>
      <c r="F1728" s="34" t="s">
        <v>53</v>
      </c>
      <c r="G1728" s="34" t="s">
        <v>104</v>
      </c>
      <c r="H1728" s="35" t="s">
        <v>26</v>
      </c>
      <c r="I1728" s="35" t="s">
        <v>27</v>
      </c>
      <c r="J1728" s="57"/>
      <c r="K1728" s="57"/>
      <c r="L1728" s="84"/>
    </row>
    <row r="1729">
      <c r="A1729" s="32" t="s">
        <v>4631</v>
      </c>
      <c r="B1729" s="32" t="s">
        <v>4632</v>
      </c>
      <c r="C1729" s="33">
        <v>45898.0</v>
      </c>
      <c r="D1729" s="34" t="s">
        <v>22</v>
      </c>
      <c r="E1729" s="32" t="s">
        <v>4633</v>
      </c>
      <c r="F1729" s="34" t="s">
        <v>24</v>
      </c>
      <c r="G1729" s="34" t="s">
        <v>702</v>
      </c>
      <c r="H1729" s="35" t="s">
        <v>26</v>
      </c>
      <c r="I1729" s="35" t="s">
        <v>27</v>
      </c>
      <c r="J1729" s="35" t="s">
        <v>100</v>
      </c>
      <c r="K1729" s="57"/>
      <c r="L1729" s="84"/>
    </row>
    <row r="1730">
      <c r="A1730" s="32" t="s">
        <v>4634</v>
      </c>
      <c r="B1730" s="32" t="s">
        <v>4635</v>
      </c>
      <c r="C1730" s="33">
        <v>45898.0</v>
      </c>
      <c r="D1730" s="34" t="s">
        <v>22</v>
      </c>
      <c r="E1730" s="32" t="s">
        <v>4636</v>
      </c>
      <c r="F1730" s="34" t="s">
        <v>53</v>
      </c>
      <c r="G1730" s="34" t="s">
        <v>4637</v>
      </c>
      <c r="H1730" s="35" t="s">
        <v>26</v>
      </c>
      <c r="I1730" s="35" t="s">
        <v>27</v>
      </c>
      <c r="J1730" s="57"/>
      <c r="K1730" s="57"/>
      <c r="L1730" s="84"/>
    </row>
    <row r="1731">
      <c r="A1731" s="32" t="s">
        <v>4638</v>
      </c>
      <c r="B1731" s="32" t="s">
        <v>4639</v>
      </c>
      <c r="C1731" s="33">
        <v>45898.0</v>
      </c>
      <c r="D1731" s="34" t="s">
        <v>22</v>
      </c>
      <c r="E1731" s="32" t="s">
        <v>4640</v>
      </c>
      <c r="F1731" s="34" t="s">
        <v>156</v>
      </c>
      <c r="G1731" s="34" t="s">
        <v>1683</v>
      </c>
      <c r="H1731" s="35" t="s">
        <v>26</v>
      </c>
      <c r="I1731" s="35" t="s">
        <v>27</v>
      </c>
      <c r="J1731" s="57"/>
      <c r="K1731" s="57"/>
      <c r="L1731" s="84"/>
    </row>
    <row r="1732">
      <c r="A1732" s="32" t="s">
        <v>4641</v>
      </c>
      <c r="B1732" s="32" t="s">
        <v>4642</v>
      </c>
      <c r="C1732" s="33">
        <v>45898.0</v>
      </c>
      <c r="D1732" s="34" t="s">
        <v>22</v>
      </c>
      <c r="E1732" s="32" t="s">
        <v>61</v>
      </c>
      <c r="F1732" s="34" t="s">
        <v>24</v>
      </c>
      <c r="G1732" s="34" t="s">
        <v>70</v>
      </c>
      <c r="H1732" s="35" t="s">
        <v>26</v>
      </c>
      <c r="I1732" s="35" t="s">
        <v>27</v>
      </c>
      <c r="J1732" s="57"/>
      <c r="K1732" s="57"/>
      <c r="L1732" s="84"/>
    </row>
    <row r="1733">
      <c r="A1733" s="32" t="s">
        <v>4643</v>
      </c>
      <c r="B1733" s="32" t="s">
        <v>4644</v>
      </c>
      <c r="C1733" s="33">
        <v>45898.0</v>
      </c>
      <c r="D1733" s="34" t="s">
        <v>22</v>
      </c>
      <c r="E1733" s="32" t="s">
        <v>4645</v>
      </c>
      <c r="F1733" s="34" t="s">
        <v>156</v>
      </c>
      <c r="G1733" s="34" t="s">
        <v>62</v>
      </c>
      <c r="H1733" s="35" t="s">
        <v>26</v>
      </c>
      <c r="I1733" s="35" t="s">
        <v>27</v>
      </c>
      <c r="J1733" s="35" t="s">
        <v>100</v>
      </c>
      <c r="K1733" s="57"/>
      <c r="L1733" s="84"/>
    </row>
    <row r="1734">
      <c r="A1734" s="32" t="s">
        <v>4646</v>
      </c>
      <c r="B1734" s="32" t="s">
        <v>4646</v>
      </c>
      <c r="C1734" s="33">
        <v>45898.0</v>
      </c>
      <c r="D1734" s="34" t="s">
        <v>22</v>
      </c>
      <c r="E1734" s="32" t="s">
        <v>69</v>
      </c>
      <c r="F1734" s="34" t="s">
        <v>24</v>
      </c>
      <c r="G1734" s="34" t="s">
        <v>712</v>
      </c>
      <c r="H1734" s="35" t="s">
        <v>26</v>
      </c>
      <c r="I1734" s="35" t="s">
        <v>27</v>
      </c>
      <c r="J1734" s="35" t="s">
        <v>100</v>
      </c>
      <c r="K1734" s="57"/>
      <c r="L1734" s="84"/>
    </row>
    <row r="1735">
      <c r="A1735" s="32" t="s">
        <v>4647</v>
      </c>
      <c r="B1735" s="32" t="s">
        <v>4648</v>
      </c>
      <c r="C1735" s="33">
        <v>45898.0</v>
      </c>
      <c r="D1735" s="34" t="s">
        <v>22</v>
      </c>
      <c r="E1735" s="32" t="s">
        <v>4388</v>
      </c>
      <c r="F1735" s="34" t="s">
        <v>24</v>
      </c>
      <c r="G1735" s="34" t="s">
        <v>2003</v>
      </c>
      <c r="H1735" s="35" t="s">
        <v>26</v>
      </c>
      <c r="I1735" s="35" t="s">
        <v>27</v>
      </c>
      <c r="J1735" s="57"/>
      <c r="K1735" s="57"/>
      <c r="L1735" s="84"/>
    </row>
    <row r="1736">
      <c r="A1736" s="32" t="s">
        <v>2261</v>
      </c>
      <c r="B1736" s="32" t="s">
        <v>4649</v>
      </c>
      <c r="C1736" s="33">
        <v>45898.0</v>
      </c>
      <c r="D1736" s="47" t="s">
        <v>22</v>
      </c>
      <c r="E1736" s="32" t="s">
        <v>61</v>
      </c>
      <c r="F1736" s="34" t="s">
        <v>24</v>
      </c>
      <c r="G1736" s="34" t="s">
        <v>3655</v>
      </c>
      <c r="H1736" s="35" t="s">
        <v>26</v>
      </c>
      <c r="I1736" s="35" t="s">
        <v>27</v>
      </c>
      <c r="J1736" s="35" t="s">
        <v>100</v>
      </c>
      <c r="K1736" s="57"/>
      <c r="L1736" s="84"/>
    </row>
    <row r="1737">
      <c r="A1737" s="32" t="s">
        <v>4650</v>
      </c>
      <c r="B1737" s="32" t="s">
        <v>4651</v>
      </c>
      <c r="C1737" s="33">
        <v>45898.0</v>
      </c>
      <c r="D1737" s="34" t="s">
        <v>22</v>
      </c>
      <c r="E1737" s="32" t="s">
        <v>335</v>
      </c>
      <c r="F1737" s="34" t="s">
        <v>53</v>
      </c>
      <c r="G1737" s="34" t="s">
        <v>4652</v>
      </c>
      <c r="H1737" s="35" t="s">
        <v>26</v>
      </c>
      <c r="I1737" s="35" t="s">
        <v>27</v>
      </c>
      <c r="J1737" s="35" t="s">
        <v>100</v>
      </c>
      <c r="K1737" s="57"/>
      <c r="L1737" s="84"/>
    </row>
    <row r="1738">
      <c r="A1738" s="32" t="s">
        <v>4653</v>
      </c>
      <c r="B1738" s="32" t="s">
        <v>4654</v>
      </c>
      <c r="C1738" s="33">
        <v>45898.0</v>
      </c>
      <c r="D1738" s="34" t="s">
        <v>22</v>
      </c>
      <c r="E1738" s="32" t="s">
        <v>1758</v>
      </c>
      <c r="F1738" s="34" t="s">
        <v>24</v>
      </c>
      <c r="G1738" s="34" t="s">
        <v>4655</v>
      </c>
      <c r="H1738" s="35" t="s">
        <v>26</v>
      </c>
      <c r="I1738" s="35" t="s">
        <v>27</v>
      </c>
      <c r="J1738" s="57"/>
      <c r="K1738" s="57"/>
      <c r="L1738" s="84"/>
    </row>
    <row r="1739">
      <c r="A1739" s="32" t="s">
        <v>4656</v>
      </c>
      <c r="B1739" s="32" t="s">
        <v>4657</v>
      </c>
      <c r="C1739" s="33">
        <v>45898.0</v>
      </c>
      <c r="D1739" s="34" t="s">
        <v>22</v>
      </c>
      <c r="E1739" s="32" t="s">
        <v>160</v>
      </c>
      <c r="F1739" s="34" t="s">
        <v>53</v>
      </c>
      <c r="G1739" s="34" t="s">
        <v>4658</v>
      </c>
      <c r="H1739" s="35" t="s">
        <v>26</v>
      </c>
      <c r="I1739" s="35" t="s">
        <v>27</v>
      </c>
      <c r="J1739" s="35" t="s">
        <v>100</v>
      </c>
      <c r="K1739" s="57"/>
      <c r="L1739" s="84"/>
    </row>
    <row r="1740">
      <c r="A1740" s="32" t="s">
        <v>4659</v>
      </c>
      <c r="B1740" s="32" t="s">
        <v>4660</v>
      </c>
      <c r="C1740" s="33">
        <v>45898.0</v>
      </c>
      <c r="D1740" s="34" t="s">
        <v>22</v>
      </c>
      <c r="E1740" s="32" t="s">
        <v>1138</v>
      </c>
      <c r="F1740" s="34" t="s">
        <v>24</v>
      </c>
      <c r="G1740" s="34" t="s">
        <v>4661</v>
      </c>
      <c r="H1740" s="35" t="s">
        <v>26</v>
      </c>
      <c r="I1740" s="35" t="s">
        <v>27</v>
      </c>
      <c r="J1740" s="57"/>
      <c r="K1740" s="57"/>
      <c r="L1740" s="84"/>
    </row>
    <row r="1741">
      <c r="A1741" s="32" t="s">
        <v>4662</v>
      </c>
      <c r="B1741" s="32" t="s">
        <v>4663</v>
      </c>
      <c r="C1741" s="33">
        <v>45898.0</v>
      </c>
      <c r="D1741" s="34" t="s">
        <v>39</v>
      </c>
      <c r="E1741" s="32" t="s">
        <v>4664</v>
      </c>
      <c r="F1741" s="34" t="s">
        <v>24</v>
      </c>
      <c r="G1741" s="34" t="s">
        <v>62</v>
      </c>
      <c r="H1741" s="35" t="s">
        <v>26</v>
      </c>
      <c r="I1741" s="35" t="s">
        <v>27</v>
      </c>
      <c r="J1741" s="35" t="s">
        <v>100</v>
      </c>
      <c r="K1741" s="57"/>
      <c r="L1741" s="84"/>
    </row>
    <row r="1742">
      <c r="A1742" s="32" t="s">
        <v>4665</v>
      </c>
      <c r="B1742" s="32" t="s">
        <v>4666</v>
      </c>
      <c r="C1742" s="33">
        <v>45898.0</v>
      </c>
      <c r="D1742" s="47" t="s">
        <v>22</v>
      </c>
      <c r="E1742" s="32" t="s">
        <v>1818</v>
      </c>
      <c r="F1742" s="34" t="s">
        <v>53</v>
      </c>
      <c r="G1742" s="34" t="s">
        <v>1229</v>
      </c>
      <c r="H1742" s="35" t="s">
        <v>26</v>
      </c>
      <c r="I1742" s="35" t="s">
        <v>27</v>
      </c>
      <c r="J1742" s="57"/>
      <c r="K1742" s="57"/>
      <c r="L1742" s="84"/>
    </row>
    <row r="1743">
      <c r="A1743" s="32" t="s">
        <v>4667</v>
      </c>
      <c r="B1743" s="32" t="s">
        <v>4668</v>
      </c>
      <c r="C1743" s="33">
        <v>45898.0</v>
      </c>
      <c r="D1743" s="34" t="s">
        <v>22</v>
      </c>
      <c r="E1743" s="32" t="s">
        <v>69</v>
      </c>
      <c r="F1743" s="34" t="s">
        <v>53</v>
      </c>
      <c r="G1743" s="34" t="s">
        <v>257</v>
      </c>
      <c r="H1743" s="35" t="s">
        <v>26</v>
      </c>
      <c r="I1743" s="35" t="s">
        <v>27</v>
      </c>
      <c r="J1743" s="35" t="s">
        <v>100</v>
      </c>
      <c r="K1743" s="57"/>
      <c r="L1743" s="84"/>
    </row>
    <row r="1744">
      <c r="A1744" s="32" t="s">
        <v>4669</v>
      </c>
      <c r="B1744" s="32" t="s">
        <v>4670</v>
      </c>
      <c r="C1744" s="33">
        <v>45898.0</v>
      </c>
      <c r="D1744" s="34" t="s">
        <v>22</v>
      </c>
      <c r="E1744" s="32" t="s">
        <v>1089</v>
      </c>
      <c r="F1744" s="34" t="s">
        <v>24</v>
      </c>
      <c r="G1744" s="34" t="s">
        <v>3448</v>
      </c>
      <c r="H1744" s="35" t="s">
        <v>26</v>
      </c>
      <c r="I1744" s="35" t="s">
        <v>27</v>
      </c>
      <c r="J1744" s="57"/>
      <c r="K1744" s="57"/>
      <c r="L1744" s="84"/>
    </row>
    <row r="1745">
      <c r="A1745" s="32" t="s">
        <v>4671</v>
      </c>
      <c r="B1745" s="32" t="s">
        <v>4672</v>
      </c>
      <c r="C1745" s="33">
        <v>45898.0</v>
      </c>
      <c r="D1745" s="47" t="s">
        <v>39</v>
      </c>
      <c r="E1745" s="32" t="s">
        <v>4673</v>
      </c>
      <c r="F1745" s="34" t="s">
        <v>24</v>
      </c>
      <c r="G1745" s="34" t="s">
        <v>365</v>
      </c>
      <c r="H1745" s="35" t="s">
        <v>26</v>
      </c>
      <c r="I1745" s="104"/>
      <c r="J1745" s="57"/>
      <c r="K1745" s="57"/>
      <c r="L1745" s="84"/>
    </row>
    <row r="1746">
      <c r="A1746" s="32" t="s">
        <v>4674</v>
      </c>
      <c r="B1746" s="32" t="s">
        <v>4675</v>
      </c>
      <c r="C1746" s="33">
        <v>45898.0</v>
      </c>
      <c r="D1746" s="34" t="s">
        <v>39</v>
      </c>
      <c r="E1746" s="32" t="s">
        <v>4676</v>
      </c>
      <c r="F1746" s="34" t="s">
        <v>156</v>
      </c>
      <c r="G1746" s="34" t="s">
        <v>510</v>
      </c>
      <c r="H1746" s="35" t="s">
        <v>26</v>
      </c>
      <c r="I1746" s="35" t="s">
        <v>27</v>
      </c>
      <c r="J1746" s="57"/>
      <c r="K1746" s="57"/>
      <c r="L1746" s="84"/>
    </row>
    <row r="1747">
      <c r="A1747" s="32" t="s">
        <v>1473</v>
      </c>
      <c r="B1747" s="32" t="s">
        <v>4677</v>
      </c>
      <c r="C1747" s="33">
        <v>45898.0</v>
      </c>
      <c r="D1747" s="34" t="s">
        <v>22</v>
      </c>
      <c r="E1747" s="32" t="s">
        <v>61</v>
      </c>
      <c r="F1747" s="34" t="s">
        <v>24</v>
      </c>
      <c r="G1747" s="34" t="s">
        <v>605</v>
      </c>
      <c r="H1747" s="35" t="s">
        <v>26</v>
      </c>
      <c r="I1747" s="36" t="str">
        <f>HYPERLINK("https://open.spotify.com/album/6QU1YJin7qXQFHM6wGhL6N", "S")</f>
        <v>S</v>
      </c>
      <c r="J1747" s="57"/>
      <c r="K1747" s="57"/>
      <c r="L1747" s="84"/>
    </row>
    <row r="1748">
      <c r="A1748" s="32" t="s">
        <v>4678</v>
      </c>
      <c r="B1748" s="32" t="s">
        <v>4678</v>
      </c>
      <c r="C1748" s="33">
        <v>45898.0</v>
      </c>
      <c r="D1748" s="47" t="s">
        <v>39</v>
      </c>
      <c r="E1748" s="32" t="s">
        <v>3098</v>
      </c>
      <c r="F1748" s="34" t="s">
        <v>24</v>
      </c>
      <c r="G1748" s="34" t="s">
        <v>4679</v>
      </c>
      <c r="H1748" s="66"/>
      <c r="I1748" s="35" t="s">
        <v>27</v>
      </c>
      <c r="J1748" s="57"/>
      <c r="K1748" s="57"/>
      <c r="L1748" s="84"/>
    </row>
    <row r="1749">
      <c r="A1749" s="32" t="s">
        <v>4680</v>
      </c>
      <c r="B1749" s="32" t="s">
        <v>4681</v>
      </c>
      <c r="C1749" s="33">
        <v>45898.0</v>
      </c>
      <c r="D1749" s="34" t="s">
        <v>22</v>
      </c>
      <c r="E1749" s="32" t="s">
        <v>4682</v>
      </c>
      <c r="F1749" s="34" t="s">
        <v>24</v>
      </c>
      <c r="G1749" s="34" t="s">
        <v>4683</v>
      </c>
      <c r="H1749" s="35" t="s">
        <v>26</v>
      </c>
      <c r="I1749" s="35" t="s">
        <v>27</v>
      </c>
      <c r="J1749" s="57"/>
      <c r="K1749" s="57"/>
      <c r="L1749" s="84"/>
    </row>
    <row r="1750">
      <c r="A1750" s="32" t="s">
        <v>4684</v>
      </c>
      <c r="B1750" s="32" t="s">
        <v>4685</v>
      </c>
      <c r="C1750" s="33">
        <v>45900.0</v>
      </c>
      <c r="D1750" s="34" t="s">
        <v>22</v>
      </c>
      <c r="E1750" s="32" t="s">
        <v>122</v>
      </c>
      <c r="F1750" s="34" t="s">
        <v>31</v>
      </c>
      <c r="G1750" s="34" t="s">
        <v>239</v>
      </c>
      <c r="H1750" s="35" t="s">
        <v>26</v>
      </c>
      <c r="I1750" s="35" t="s">
        <v>27</v>
      </c>
      <c r="J1750" s="57"/>
      <c r="K1750" s="57"/>
      <c r="L1750" s="84"/>
    </row>
    <row r="1751">
      <c r="A1751" s="32" t="s">
        <v>4686</v>
      </c>
      <c r="B1751" s="32" t="s">
        <v>4687</v>
      </c>
      <c r="C1751" s="33">
        <v>45900.0</v>
      </c>
      <c r="D1751" s="47" t="s">
        <v>22</v>
      </c>
      <c r="E1751" s="32" t="s">
        <v>4688</v>
      </c>
      <c r="F1751" s="34" t="s">
        <v>24</v>
      </c>
      <c r="G1751" s="34" t="s">
        <v>1340</v>
      </c>
      <c r="H1751" s="35" t="s">
        <v>26</v>
      </c>
      <c r="I1751" s="104"/>
      <c r="J1751" s="57"/>
      <c r="K1751" s="57"/>
      <c r="L1751" s="84"/>
    </row>
    <row r="1752">
      <c r="A1752" s="32" t="s">
        <v>4689</v>
      </c>
      <c r="B1752" s="32" t="s">
        <v>4690</v>
      </c>
      <c r="C1752" s="33">
        <v>45900.0</v>
      </c>
      <c r="D1752" s="47" t="s">
        <v>22</v>
      </c>
      <c r="E1752" s="32" t="s">
        <v>4691</v>
      </c>
      <c r="F1752" s="34" t="s">
        <v>53</v>
      </c>
      <c r="G1752" s="34" t="s">
        <v>874</v>
      </c>
      <c r="H1752" s="35" t="s">
        <v>26</v>
      </c>
      <c r="I1752" s="35" t="s">
        <v>27</v>
      </c>
      <c r="J1752" s="57"/>
      <c r="K1752" s="57"/>
      <c r="L1752" s="84"/>
    </row>
    <row r="1753">
      <c r="A1753" s="32" t="s">
        <v>4692</v>
      </c>
      <c r="B1753" s="32" t="s">
        <v>4693</v>
      </c>
      <c r="C1753" s="33">
        <v>45901.0</v>
      </c>
      <c r="D1753" s="34" t="s">
        <v>22</v>
      </c>
      <c r="E1753" s="32" t="s">
        <v>4694</v>
      </c>
      <c r="F1753" s="34" t="s">
        <v>24</v>
      </c>
      <c r="G1753" s="34" t="s">
        <v>4695</v>
      </c>
      <c r="H1753" s="35" t="s">
        <v>26</v>
      </c>
      <c r="I1753" s="57"/>
      <c r="J1753" s="57"/>
      <c r="K1753" s="57"/>
      <c r="L1753" s="84"/>
    </row>
    <row r="1754">
      <c r="A1754" s="32" t="s">
        <v>4696</v>
      </c>
      <c r="B1754" s="32" t="s">
        <v>4697</v>
      </c>
      <c r="C1754" s="33">
        <v>45902.0</v>
      </c>
      <c r="D1754" s="47" t="s">
        <v>22</v>
      </c>
      <c r="E1754" s="32" t="s">
        <v>4698</v>
      </c>
      <c r="F1754" s="34" t="s">
        <v>31</v>
      </c>
      <c r="G1754" s="34" t="s">
        <v>4699</v>
      </c>
      <c r="H1754" s="35" t="s">
        <v>26</v>
      </c>
      <c r="I1754" s="35" t="s">
        <v>27</v>
      </c>
      <c r="J1754" s="57"/>
      <c r="K1754" s="57"/>
      <c r="L1754" s="84"/>
    </row>
    <row r="1755">
      <c r="A1755" s="32" t="s">
        <v>4700</v>
      </c>
      <c r="B1755" s="32" t="s">
        <v>4701</v>
      </c>
      <c r="C1755" s="33">
        <v>45902.0</v>
      </c>
      <c r="D1755" s="34" t="s">
        <v>22</v>
      </c>
      <c r="E1755" s="32" t="s">
        <v>4702</v>
      </c>
      <c r="F1755" s="34" t="s">
        <v>31</v>
      </c>
      <c r="G1755" s="34" t="s">
        <v>41</v>
      </c>
      <c r="H1755" s="35" t="s">
        <v>26</v>
      </c>
      <c r="I1755" s="57"/>
      <c r="J1755" s="57"/>
      <c r="K1755" s="57"/>
      <c r="L1755" s="84"/>
    </row>
    <row r="1756">
      <c r="A1756" s="32" t="s">
        <v>4703</v>
      </c>
      <c r="B1756" s="32" t="s">
        <v>4704</v>
      </c>
      <c r="C1756" s="33">
        <v>45903.0</v>
      </c>
      <c r="D1756" s="47" t="s">
        <v>22</v>
      </c>
      <c r="E1756" s="32" t="s">
        <v>122</v>
      </c>
      <c r="F1756" s="34" t="s">
        <v>53</v>
      </c>
      <c r="G1756" s="34" t="s">
        <v>792</v>
      </c>
      <c r="H1756" s="66"/>
      <c r="I1756" s="36" t="str">
        <f>HYPERLINK("https://open.spotify.com/album/00SpceC92a4A705aSUGsYo", "S")</f>
        <v>S</v>
      </c>
      <c r="J1756" s="57"/>
      <c r="K1756" s="57"/>
      <c r="L1756" s="84"/>
    </row>
    <row r="1757">
      <c r="A1757" s="32" t="s">
        <v>4705</v>
      </c>
      <c r="B1757" s="32" t="s">
        <v>4706</v>
      </c>
      <c r="C1757" s="33">
        <v>45903.0</v>
      </c>
      <c r="D1757" s="34" t="s">
        <v>22</v>
      </c>
      <c r="E1757" s="32" t="s">
        <v>4707</v>
      </c>
      <c r="F1757" s="34" t="s">
        <v>53</v>
      </c>
      <c r="G1757" s="34" t="s">
        <v>1213</v>
      </c>
      <c r="H1757" s="35" t="s">
        <v>26</v>
      </c>
      <c r="I1757" s="57"/>
      <c r="J1757" s="57"/>
      <c r="K1757" s="57"/>
      <c r="L1757" s="84"/>
    </row>
    <row r="1758">
      <c r="A1758" s="32" t="s">
        <v>4708</v>
      </c>
      <c r="B1758" s="32" t="s">
        <v>4709</v>
      </c>
      <c r="C1758" s="33">
        <v>45903.0</v>
      </c>
      <c r="D1758" s="34" t="s">
        <v>39</v>
      </c>
      <c r="E1758" s="32" t="s">
        <v>98</v>
      </c>
      <c r="F1758" s="34" t="s">
        <v>24</v>
      </c>
      <c r="G1758" s="34" t="s">
        <v>1808</v>
      </c>
      <c r="H1758" s="35" t="s">
        <v>26</v>
      </c>
      <c r="I1758" s="35" t="s">
        <v>27</v>
      </c>
      <c r="J1758" s="57"/>
      <c r="K1758" s="57"/>
      <c r="L1758" s="84"/>
    </row>
    <row r="1759">
      <c r="A1759" s="32" t="s">
        <v>4710</v>
      </c>
      <c r="B1759" s="32" t="s">
        <v>4711</v>
      </c>
      <c r="C1759" s="33">
        <v>45904.0</v>
      </c>
      <c r="D1759" s="34" t="s">
        <v>39</v>
      </c>
      <c r="E1759" s="32" t="s">
        <v>73</v>
      </c>
      <c r="F1759" s="34" t="s">
        <v>24</v>
      </c>
      <c r="G1759" s="34" t="s">
        <v>4428</v>
      </c>
      <c r="H1759" s="35" t="s">
        <v>26</v>
      </c>
      <c r="I1759" s="57"/>
      <c r="J1759" s="57"/>
      <c r="K1759" s="57"/>
      <c r="L1759" s="84"/>
    </row>
    <row r="1760">
      <c r="A1760" s="32" t="s">
        <v>4712</v>
      </c>
      <c r="B1760" s="32" t="s">
        <v>4713</v>
      </c>
      <c r="C1760" s="33">
        <v>45905.0</v>
      </c>
      <c r="D1760" s="34" t="s">
        <v>22</v>
      </c>
      <c r="E1760" s="32" t="s">
        <v>4714</v>
      </c>
      <c r="F1760" s="34" t="s">
        <v>53</v>
      </c>
      <c r="G1760" s="34" t="s">
        <v>437</v>
      </c>
      <c r="H1760" s="66"/>
      <c r="I1760" s="35" t="s">
        <v>27</v>
      </c>
      <c r="J1760" s="35" t="s">
        <v>100</v>
      </c>
      <c r="K1760" s="57"/>
      <c r="L1760" s="84"/>
    </row>
    <row r="1761">
      <c r="A1761" s="32" t="s">
        <v>4715</v>
      </c>
      <c r="B1761" s="32" t="s">
        <v>4716</v>
      </c>
      <c r="C1761" s="33">
        <v>45905.0</v>
      </c>
      <c r="D1761" s="34" t="s">
        <v>22</v>
      </c>
      <c r="E1761" s="32" t="s">
        <v>2072</v>
      </c>
      <c r="F1761" s="34" t="s">
        <v>53</v>
      </c>
      <c r="G1761" s="34" t="s">
        <v>4717</v>
      </c>
      <c r="H1761" s="35" t="s">
        <v>26</v>
      </c>
      <c r="I1761" s="35" t="s">
        <v>27</v>
      </c>
      <c r="J1761" s="57"/>
      <c r="K1761" s="57"/>
      <c r="L1761" s="84"/>
    </row>
    <row r="1762">
      <c r="A1762" s="32" t="s">
        <v>4718</v>
      </c>
      <c r="B1762" s="32" t="s">
        <v>4719</v>
      </c>
      <c r="C1762" s="33">
        <v>45905.0</v>
      </c>
      <c r="D1762" s="34" t="s">
        <v>22</v>
      </c>
      <c r="E1762" s="32" t="s">
        <v>160</v>
      </c>
      <c r="F1762" s="34" t="s">
        <v>24</v>
      </c>
      <c r="G1762" s="34" t="s">
        <v>1534</v>
      </c>
      <c r="H1762" s="66"/>
      <c r="I1762" s="35" t="s">
        <v>27</v>
      </c>
      <c r="J1762" s="57"/>
      <c r="K1762" s="57"/>
      <c r="L1762" s="84"/>
    </row>
    <row r="1763">
      <c r="A1763" s="32" t="s">
        <v>4720</v>
      </c>
      <c r="B1763" s="32" t="s">
        <v>4721</v>
      </c>
      <c r="C1763" s="33">
        <v>45905.0</v>
      </c>
      <c r="D1763" s="34" t="s">
        <v>22</v>
      </c>
      <c r="E1763" s="32" t="s">
        <v>122</v>
      </c>
      <c r="F1763" s="34" t="s">
        <v>156</v>
      </c>
      <c r="G1763" s="34" t="s">
        <v>510</v>
      </c>
      <c r="H1763" s="35" t="s">
        <v>26</v>
      </c>
      <c r="I1763" s="58" t="str">
        <f>HYPERLINK("https://open.spotify.com/album/0ST93e8H82PcD4E3KSYlWa", "S")</f>
        <v>S</v>
      </c>
      <c r="J1763" s="57"/>
      <c r="K1763" s="57"/>
      <c r="L1763" s="84"/>
    </row>
    <row r="1764">
      <c r="A1764" s="32" t="s">
        <v>4722</v>
      </c>
      <c r="B1764" s="32" t="s">
        <v>4723</v>
      </c>
      <c r="C1764" s="33">
        <v>45905.0</v>
      </c>
      <c r="D1764" s="34" t="s">
        <v>22</v>
      </c>
      <c r="E1764" s="32" t="s">
        <v>328</v>
      </c>
      <c r="F1764" s="34" t="s">
        <v>156</v>
      </c>
      <c r="G1764" s="34" t="s">
        <v>89</v>
      </c>
      <c r="H1764" s="35" t="s">
        <v>26</v>
      </c>
      <c r="I1764" s="35" t="s">
        <v>27</v>
      </c>
      <c r="J1764" s="57"/>
      <c r="K1764" s="57"/>
      <c r="L1764" s="84"/>
    </row>
    <row r="1765">
      <c r="A1765" s="32" t="s">
        <v>4724</v>
      </c>
      <c r="B1765" s="32" t="s">
        <v>4725</v>
      </c>
      <c r="C1765" s="33">
        <v>45905.0</v>
      </c>
      <c r="D1765" s="34" t="s">
        <v>22</v>
      </c>
      <c r="E1765" s="32" t="s">
        <v>1042</v>
      </c>
      <c r="F1765" s="34" t="s">
        <v>53</v>
      </c>
      <c r="G1765" s="34" t="s">
        <v>4726</v>
      </c>
      <c r="H1765" s="35" t="s">
        <v>26</v>
      </c>
      <c r="I1765" s="35" t="s">
        <v>27</v>
      </c>
      <c r="J1765" s="35" t="s">
        <v>100</v>
      </c>
      <c r="K1765" s="57"/>
      <c r="L1765" s="84"/>
    </row>
    <row r="1766">
      <c r="A1766" s="32" t="s">
        <v>4727</v>
      </c>
      <c r="B1766" s="32" t="s">
        <v>4728</v>
      </c>
      <c r="C1766" s="33">
        <v>45905.0</v>
      </c>
      <c r="D1766" s="34" t="s">
        <v>22</v>
      </c>
      <c r="E1766" s="32" t="s">
        <v>364</v>
      </c>
      <c r="F1766" s="34" t="s">
        <v>24</v>
      </c>
      <c r="G1766" s="34" t="s">
        <v>119</v>
      </c>
      <c r="H1766" s="35" t="s">
        <v>26</v>
      </c>
      <c r="I1766" s="34"/>
      <c r="J1766" s="57"/>
      <c r="K1766" s="57"/>
      <c r="L1766" s="84"/>
    </row>
    <row r="1767">
      <c r="A1767" s="32" t="s">
        <v>4729</v>
      </c>
      <c r="B1767" s="32" t="s">
        <v>4730</v>
      </c>
      <c r="C1767" s="33">
        <v>45905.0</v>
      </c>
      <c r="D1767" s="34" t="s">
        <v>22</v>
      </c>
      <c r="E1767" s="32" t="s">
        <v>4731</v>
      </c>
      <c r="F1767" s="34" t="s">
        <v>24</v>
      </c>
      <c r="G1767" s="34" t="s">
        <v>1158</v>
      </c>
      <c r="H1767" s="35" t="s">
        <v>26</v>
      </c>
      <c r="I1767" s="35" t="s">
        <v>27</v>
      </c>
      <c r="J1767" s="57"/>
      <c r="K1767" s="57"/>
      <c r="L1767" s="84"/>
    </row>
    <row r="1768">
      <c r="A1768" s="32" t="s">
        <v>4732</v>
      </c>
      <c r="B1768" s="32" t="s">
        <v>4733</v>
      </c>
      <c r="C1768" s="33">
        <v>45905.0</v>
      </c>
      <c r="D1768" s="34" t="s">
        <v>22</v>
      </c>
      <c r="E1768" s="32" t="s">
        <v>4325</v>
      </c>
      <c r="F1768" s="34" t="s">
        <v>24</v>
      </c>
      <c r="G1768" s="34" t="s">
        <v>510</v>
      </c>
      <c r="H1768" s="35" t="s">
        <v>26</v>
      </c>
      <c r="I1768" s="35" t="s">
        <v>27</v>
      </c>
      <c r="J1768" s="57"/>
      <c r="K1768" s="57"/>
      <c r="L1768" s="84"/>
    </row>
    <row r="1769">
      <c r="A1769" s="32" t="s">
        <v>4734</v>
      </c>
      <c r="B1769" s="32" t="s">
        <v>4735</v>
      </c>
      <c r="C1769" s="33">
        <v>45905.0</v>
      </c>
      <c r="D1769" s="47" t="s">
        <v>22</v>
      </c>
      <c r="E1769" s="32" t="s">
        <v>1444</v>
      </c>
      <c r="F1769" s="34" t="s">
        <v>24</v>
      </c>
      <c r="G1769" s="34" t="s">
        <v>442</v>
      </c>
      <c r="H1769" s="35" t="s">
        <v>26</v>
      </c>
      <c r="I1769" s="34"/>
      <c r="J1769" s="57"/>
      <c r="K1769" s="57"/>
      <c r="L1769" s="84"/>
    </row>
    <row r="1770">
      <c r="A1770" s="32" t="s">
        <v>4736</v>
      </c>
      <c r="B1770" s="32" t="s">
        <v>4737</v>
      </c>
      <c r="C1770" s="33">
        <v>45905.0</v>
      </c>
      <c r="D1770" s="34" t="s">
        <v>22</v>
      </c>
      <c r="E1770" s="32" t="s">
        <v>4508</v>
      </c>
      <c r="F1770" s="34" t="s">
        <v>156</v>
      </c>
      <c r="G1770" s="34" t="s">
        <v>4738</v>
      </c>
      <c r="H1770" s="35" t="s">
        <v>26</v>
      </c>
      <c r="I1770" s="35" t="s">
        <v>27</v>
      </c>
      <c r="J1770" s="57"/>
      <c r="K1770" s="57"/>
      <c r="L1770" s="84"/>
    </row>
    <row r="1771">
      <c r="A1771" s="32" t="s">
        <v>4739</v>
      </c>
      <c r="B1771" s="32" t="s">
        <v>4740</v>
      </c>
      <c r="C1771" s="33">
        <v>45905.0</v>
      </c>
      <c r="D1771" s="34" t="s">
        <v>22</v>
      </c>
      <c r="E1771" s="32" t="s">
        <v>4741</v>
      </c>
      <c r="F1771" s="34" t="s">
        <v>24</v>
      </c>
      <c r="G1771" s="34" t="s">
        <v>292</v>
      </c>
      <c r="H1771" s="35" t="s">
        <v>26</v>
      </c>
      <c r="I1771" s="35" t="s">
        <v>27</v>
      </c>
      <c r="J1771" s="57"/>
      <c r="K1771" s="57"/>
      <c r="L1771" s="84"/>
    </row>
    <row r="1772">
      <c r="A1772" s="32" t="s">
        <v>4742</v>
      </c>
      <c r="B1772" s="32" t="s">
        <v>4743</v>
      </c>
      <c r="C1772" s="33">
        <v>45905.0</v>
      </c>
      <c r="D1772" s="34" t="s">
        <v>22</v>
      </c>
      <c r="E1772" s="32" t="s">
        <v>632</v>
      </c>
      <c r="F1772" s="34" t="s">
        <v>24</v>
      </c>
      <c r="G1772" s="34" t="s">
        <v>32</v>
      </c>
      <c r="H1772" s="35" t="s">
        <v>26</v>
      </c>
      <c r="I1772" s="35" t="s">
        <v>27</v>
      </c>
      <c r="J1772" s="57"/>
      <c r="K1772" s="57"/>
      <c r="L1772" s="84"/>
    </row>
    <row r="1773">
      <c r="A1773" s="32" t="s">
        <v>4744</v>
      </c>
      <c r="B1773" s="32" t="s">
        <v>4745</v>
      </c>
      <c r="C1773" s="33">
        <v>45905.0</v>
      </c>
      <c r="D1773" s="34" t="s">
        <v>22</v>
      </c>
      <c r="E1773" s="32" t="s">
        <v>69</v>
      </c>
      <c r="F1773" s="34" t="s">
        <v>24</v>
      </c>
      <c r="G1773" s="34" t="s">
        <v>352</v>
      </c>
      <c r="H1773" s="35" t="s">
        <v>26</v>
      </c>
      <c r="I1773" s="35" t="s">
        <v>27</v>
      </c>
      <c r="J1773" s="57"/>
      <c r="K1773" s="57"/>
      <c r="L1773" s="84"/>
    </row>
    <row r="1774">
      <c r="A1774" s="32" t="s">
        <v>4746</v>
      </c>
      <c r="B1774" s="32" t="s">
        <v>4747</v>
      </c>
      <c r="C1774" s="33">
        <v>45905.0</v>
      </c>
      <c r="D1774" s="34" t="s">
        <v>22</v>
      </c>
      <c r="E1774" s="32" t="s">
        <v>3345</v>
      </c>
      <c r="F1774" s="34" t="s">
        <v>24</v>
      </c>
      <c r="G1774" s="34" t="s">
        <v>292</v>
      </c>
      <c r="H1774" s="35" t="s">
        <v>26</v>
      </c>
      <c r="I1774" s="35" t="s">
        <v>27</v>
      </c>
      <c r="J1774" s="35" t="s">
        <v>100</v>
      </c>
      <c r="K1774" s="57"/>
      <c r="L1774" s="84"/>
    </row>
    <row r="1775">
      <c r="A1775" s="32" t="s">
        <v>4748</v>
      </c>
      <c r="B1775" s="32" t="s">
        <v>4749</v>
      </c>
      <c r="C1775" s="33">
        <v>45905.0</v>
      </c>
      <c r="D1775" s="34" t="s">
        <v>22</v>
      </c>
      <c r="E1775" s="32" t="s">
        <v>122</v>
      </c>
      <c r="F1775" s="34" t="s">
        <v>156</v>
      </c>
      <c r="G1775" s="34" t="s">
        <v>2246</v>
      </c>
      <c r="H1775" s="35" t="s">
        <v>26</v>
      </c>
      <c r="I1775" s="35" t="s">
        <v>27</v>
      </c>
      <c r="J1775" s="35" t="s">
        <v>100</v>
      </c>
      <c r="K1775" s="57"/>
      <c r="L1775" s="84"/>
    </row>
    <row r="1776">
      <c r="A1776" s="32" t="s">
        <v>4750</v>
      </c>
      <c r="B1776" s="32" t="s">
        <v>4751</v>
      </c>
      <c r="C1776" s="33">
        <v>45905.0</v>
      </c>
      <c r="D1776" s="34" t="s">
        <v>22</v>
      </c>
      <c r="E1776" s="32" t="s">
        <v>1516</v>
      </c>
      <c r="F1776" s="34" t="s">
        <v>53</v>
      </c>
      <c r="G1776" s="34" t="s">
        <v>1392</v>
      </c>
      <c r="H1776" s="66"/>
      <c r="I1776" s="35" t="s">
        <v>27</v>
      </c>
      <c r="J1776" s="57"/>
      <c r="K1776" s="57"/>
      <c r="L1776" s="84"/>
    </row>
    <row r="1777">
      <c r="A1777" s="32" t="s">
        <v>4752</v>
      </c>
      <c r="B1777" s="32" t="s">
        <v>4753</v>
      </c>
      <c r="C1777" s="33">
        <v>45905.0</v>
      </c>
      <c r="D1777" s="34" t="s">
        <v>22</v>
      </c>
      <c r="E1777" s="32" t="s">
        <v>505</v>
      </c>
      <c r="F1777" s="34" t="s">
        <v>156</v>
      </c>
      <c r="G1777" s="34" t="s">
        <v>4754</v>
      </c>
      <c r="H1777" s="35" t="s">
        <v>26</v>
      </c>
      <c r="I1777" s="35" t="s">
        <v>27</v>
      </c>
      <c r="J1777" s="57"/>
      <c r="K1777" s="57"/>
      <c r="L1777" s="84"/>
    </row>
    <row r="1778">
      <c r="A1778" s="32" t="s">
        <v>4755</v>
      </c>
      <c r="B1778" s="32" t="s">
        <v>4756</v>
      </c>
      <c r="C1778" s="33">
        <v>45905.0</v>
      </c>
      <c r="D1778" s="34" t="s">
        <v>22</v>
      </c>
      <c r="E1778" s="32" t="s">
        <v>1301</v>
      </c>
      <c r="F1778" s="34" t="s">
        <v>53</v>
      </c>
      <c r="G1778" s="34" t="s">
        <v>225</v>
      </c>
      <c r="H1778" s="35" t="s">
        <v>26</v>
      </c>
      <c r="I1778" s="35" t="s">
        <v>27</v>
      </c>
      <c r="J1778" s="35" t="s">
        <v>100</v>
      </c>
      <c r="K1778" s="57"/>
      <c r="L1778" s="84"/>
    </row>
    <row r="1779">
      <c r="A1779" s="32" t="s">
        <v>4757</v>
      </c>
      <c r="B1779" s="32" t="s">
        <v>4758</v>
      </c>
      <c r="C1779" s="33">
        <v>45905.0</v>
      </c>
      <c r="D1779" s="47" t="s">
        <v>22</v>
      </c>
      <c r="E1779" s="32" t="s">
        <v>4759</v>
      </c>
      <c r="F1779" s="34" t="s">
        <v>156</v>
      </c>
      <c r="G1779" s="34" t="s">
        <v>231</v>
      </c>
      <c r="H1779" s="35" t="s">
        <v>26</v>
      </c>
      <c r="I1779" s="35" t="s">
        <v>27</v>
      </c>
      <c r="J1779" s="57"/>
      <c r="K1779" s="57"/>
      <c r="L1779" s="84"/>
    </row>
    <row r="1780">
      <c r="A1780" s="32" t="s">
        <v>4760</v>
      </c>
      <c r="B1780" s="32" t="s">
        <v>4761</v>
      </c>
      <c r="C1780" s="33">
        <v>45905.0</v>
      </c>
      <c r="D1780" s="34" t="s">
        <v>22</v>
      </c>
      <c r="E1780" s="32" t="s">
        <v>4762</v>
      </c>
      <c r="F1780" s="34" t="s">
        <v>24</v>
      </c>
      <c r="G1780" s="34" t="s">
        <v>4763</v>
      </c>
      <c r="H1780" s="35" t="s">
        <v>26</v>
      </c>
      <c r="I1780" s="35" t="s">
        <v>27</v>
      </c>
      <c r="J1780" s="35" t="s">
        <v>100</v>
      </c>
      <c r="K1780" s="57"/>
      <c r="L1780" s="84"/>
    </row>
    <row r="1781">
      <c r="A1781" s="32" t="s">
        <v>4764</v>
      </c>
      <c r="B1781" s="32" t="s">
        <v>4765</v>
      </c>
      <c r="C1781" s="33">
        <v>45905.0</v>
      </c>
      <c r="D1781" s="34" t="s">
        <v>22</v>
      </c>
      <c r="E1781" s="32" t="s">
        <v>160</v>
      </c>
      <c r="F1781" s="34" t="s">
        <v>53</v>
      </c>
      <c r="G1781" s="34" t="s">
        <v>299</v>
      </c>
      <c r="H1781" s="66"/>
      <c r="I1781" s="35" t="s">
        <v>27</v>
      </c>
      <c r="J1781" s="57"/>
      <c r="K1781" s="57"/>
      <c r="L1781" s="84"/>
    </row>
    <row r="1782">
      <c r="A1782" s="32" t="s">
        <v>4766</v>
      </c>
      <c r="B1782" s="32" t="s">
        <v>4767</v>
      </c>
      <c r="C1782" s="33">
        <v>45905.0</v>
      </c>
      <c r="D1782" s="34" t="s">
        <v>22</v>
      </c>
      <c r="E1782" s="32" t="s">
        <v>4768</v>
      </c>
      <c r="F1782" s="34" t="s">
        <v>53</v>
      </c>
      <c r="G1782" s="34" t="s">
        <v>599</v>
      </c>
      <c r="H1782" s="35" t="s">
        <v>26</v>
      </c>
      <c r="I1782" s="35" t="s">
        <v>27</v>
      </c>
      <c r="J1782" s="57"/>
      <c r="K1782" s="57"/>
      <c r="L1782" s="84"/>
    </row>
    <row r="1783">
      <c r="A1783" s="32" t="s">
        <v>4769</v>
      </c>
      <c r="B1783" s="32" t="s">
        <v>4770</v>
      </c>
      <c r="C1783" s="33">
        <v>45905.0</v>
      </c>
      <c r="D1783" s="34" t="s">
        <v>22</v>
      </c>
      <c r="E1783" s="32" t="s">
        <v>4771</v>
      </c>
      <c r="F1783" s="34" t="s">
        <v>24</v>
      </c>
      <c r="G1783" s="34" t="s">
        <v>253</v>
      </c>
      <c r="H1783" s="35" t="s">
        <v>26</v>
      </c>
      <c r="I1783" s="35" t="s">
        <v>27</v>
      </c>
      <c r="J1783" s="35" t="s">
        <v>100</v>
      </c>
      <c r="K1783" s="57"/>
      <c r="L1783" s="84"/>
    </row>
    <row r="1784">
      <c r="A1784" s="32" t="s">
        <v>4772</v>
      </c>
      <c r="B1784" s="32" t="s">
        <v>4773</v>
      </c>
      <c r="C1784" s="33">
        <v>45905.0</v>
      </c>
      <c r="D1784" s="34" t="s">
        <v>22</v>
      </c>
      <c r="E1784" s="32" t="s">
        <v>4774</v>
      </c>
      <c r="F1784" s="34" t="s">
        <v>53</v>
      </c>
      <c r="G1784" s="34" t="s">
        <v>4775</v>
      </c>
      <c r="H1784" s="35" t="s">
        <v>26</v>
      </c>
      <c r="I1784" s="35" t="s">
        <v>27</v>
      </c>
      <c r="J1784" s="57"/>
      <c r="K1784" s="57"/>
      <c r="L1784" s="84"/>
    </row>
    <row r="1785">
      <c r="A1785" s="32" t="s">
        <v>4776</v>
      </c>
      <c r="B1785" s="32" t="s">
        <v>4777</v>
      </c>
      <c r="C1785" s="33">
        <v>45905.0</v>
      </c>
      <c r="D1785" s="34" t="s">
        <v>22</v>
      </c>
      <c r="E1785" s="32" t="s">
        <v>3107</v>
      </c>
      <c r="F1785" s="34" t="s">
        <v>156</v>
      </c>
      <c r="G1785" s="34" t="s">
        <v>4778</v>
      </c>
      <c r="H1785" s="35" t="s">
        <v>26</v>
      </c>
      <c r="I1785" s="35" t="s">
        <v>27</v>
      </c>
      <c r="J1785" s="57"/>
      <c r="K1785" s="57"/>
      <c r="L1785" s="84"/>
    </row>
    <row r="1786">
      <c r="A1786" s="32" t="s">
        <v>4779</v>
      </c>
      <c r="B1786" s="32" t="s">
        <v>4780</v>
      </c>
      <c r="C1786" s="33">
        <v>45905.0</v>
      </c>
      <c r="D1786" s="34" t="s">
        <v>22</v>
      </c>
      <c r="E1786" s="32" t="s">
        <v>1042</v>
      </c>
      <c r="F1786" s="34" t="s">
        <v>53</v>
      </c>
      <c r="G1786" s="34" t="s">
        <v>4781</v>
      </c>
      <c r="H1786" s="35" t="s">
        <v>26</v>
      </c>
      <c r="I1786" s="35" t="s">
        <v>27</v>
      </c>
      <c r="J1786" s="57"/>
      <c r="K1786" s="57"/>
      <c r="L1786" s="84"/>
    </row>
    <row r="1787">
      <c r="A1787" s="32" t="s">
        <v>4782</v>
      </c>
      <c r="B1787" s="32" t="s">
        <v>4783</v>
      </c>
      <c r="C1787" s="33">
        <v>45905.0</v>
      </c>
      <c r="D1787" s="34" t="s">
        <v>22</v>
      </c>
      <c r="E1787" s="32" t="s">
        <v>4784</v>
      </c>
      <c r="F1787" s="34" t="s">
        <v>24</v>
      </c>
      <c r="G1787" s="34" t="s">
        <v>62</v>
      </c>
      <c r="H1787" s="35" t="s">
        <v>26</v>
      </c>
      <c r="I1787" s="35" t="s">
        <v>27</v>
      </c>
      <c r="J1787" s="57"/>
      <c r="K1787" s="57"/>
      <c r="L1787" s="84"/>
    </row>
    <row r="1788">
      <c r="A1788" s="32" t="s">
        <v>4785</v>
      </c>
      <c r="B1788" s="32" t="s">
        <v>4786</v>
      </c>
      <c r="C1788" s="33">
        <v>45905.0</v>
      </c>
      <c r="D1788" s="34" t="s">
        <v>22</v>
      </c>
      <c r="E1788" s="32" t="s">
        <v>4787</v>
      </c>
      <c r="F1788" s="34" t="s">
        <v>24</v>
      </c>
      <c r="G1788" s="34" t="s">
        <v>342</v>
      </c>
      <c r="H1788" s="35" t="s">
        <v>26</v>
      </c>
      <c r="I1788" s="35" t="s">
        <v>27</v>
      </c>
      <c r="J1788" s="35" t="s">
        <v>100</v>
      </c>
      <c r="K1788" s="57"/>
      <c r="L1788" s="84"/>
    </row>
    <row r="1789">
      <c r="A1789" s="32" t="s">
        <v>4788</v>
      </c>
      <c r="B1789" s="32" t="s">
        <v>4789</v>
      </c>
      <c r="C1789" s="33">
        <v>45905.0</v>
      </c>
      <c r="D1789" s="34" t="s">
        <v>22</v>
      </c>
      <c r="E1789" s="32" t="s">
        <v>1264</v>
      </c>
      <c r="F1789" s="34" t="s">
        <v>156</v>
      </c>
      <c r="G1789" s="34" t="s">
        <v>442</v>
      </c>
      <c r="H1789" s="35" t="s">
        <v>26</v>
      </c>
      <c r="I1789" s="35" t="s">
        <v>27</v>
      </c>
      <c r="J1789" s="35" t="s">
        <v>100</v>
      </c>
      <c r="K1789" s="57"/>
      <c r="L1789" s="84"/>
    </row>
    <row r="1790">
      <c r="A1790" s="32" t="s">
        <v>4790</v>
      </c>
      <c r="B1790" s="32" t="s">
        <v>4791</v>
      </c>
      <c r="C1790" s="33">
        <v>45905.0</v>
      </c>
      <c r="D1790" s="34" t="s">
        <v>22</v>
      </c>
      <c r="E1790" s="32" t="s">
        <v>4702</v>
      </c>
      <c r="F1790" s="34" t="s">
        <v>31</v>
      </c>
      <c r="G1790" s="34" t="s">
        <v>3596</v>
      </c>
      <c r="H1790" s="35" t="s">
        <v>26</v>
      </c>
      <c r="I1790" s="35" t="s">
        <v>27</v>
      </c>
      <c r="J1790" s="35" t="s">
        <v>100</v>
      </c>
      <c r="K1790" s="57"/>
      <c r="L1790" s="84"/>
    </row>
    <row r="1791">
      <c r="A1791" s="32" t="s">
        <v>4792</v>
      </c>
      <c r="B1791" s="32" t="s">
        <v>4793</v>
      </c>
      <c r="C1791" s="33">
        <v>45905.0</v>
      </c>
      <c r="D1791" s="34" t="s">
        <v>22</v>
      </c>
      <c r="E1791" s="32" t="s">
        <v>770</v>
      </c>
      <c r="F1791" s="34" t="s">
        <v>24</v>
      </c>
      <c r="G1791" s="34" t="s">
        <v>62</v>
      </c>
      <c r="H1791" s="35" t="s">
        <v>26</v>
      </c>
      <c r="I1791" s="35" t="s">
        <v>27</v>
      </c>
      <c r="J1791" s="57"/>
      <c r="K1791" s="57"/>
      <c r="L1791" s="84"/>
    </row>
    <row r="1792">
      <c r="A1792" s="32" t="s">
        <v>4794</v>
      </c>
      <c r="B1792" s="32" t="s">
        <v>4795</v>
      </c>
      <c r="C1792" s="33">
        <v>45905.0</v>
      </c>
      <c r="D1792" s="34" t="s">
        <v>22</v>
      </c>
      <c r="E1792" s="32" t="s">
        <v>4796</v>
      </c>
      <c r="F1792" s="34" t="s">
        <v>24</v>
      </c>
      <c r="G1792" s="34" t="s">
        <v>2030</v>
      </c>
      <c r="H1792" s="35" t="s">
        <v>26</v>
      </c>
      <c r="I1792" s="35" t="s">
        <v>27</v>
      </c>
      <c r="J1792" s="35" t="s">
        <v>100</v>
      </c>
      <c r="K1792" s="57"/>
      <c r="L1792" s="84"/>
    </row>
    <row r="1793">
      <c r="A1793" s="32" t="s">
        <v>4797</v>
      </c>
      <c r="B1793" s="32" t="s">
        <v>4798</v>
      </c>
      <c r="C1793" s="33">
        <v>45905.0</v>
      </c>
      <c r="D1793" s="34" t="s">
        <v>22</v>
      </c>
      <c r="E1793" s="32" t="s">
        <v>2930</v>
      </c>
      <c r="F1793" s="34" t="s">
        <v>24</v>
      </c>
      <c r="G1793" s="34" t="s">
        <v>315</v>
      </c>
      <c r="H1793" s="35" t="s">
        <v>26</v>
      </c>
      <c r="I1793" s="35" t="s">
        <v>27</v>
      </c>
      <c r="J1793" s="57"/>
      <c r="K1793" s="57"/>
      <c r="L1793" s="84"/>
    </row>
    <row r="1794">
      <c r="A1794" s="32" t="s">
        <v>4799</v>
      </c>
      <c r="B1794" s="32" t="s">
        <v>4800</v>
      </c>
      <c r="C1794" s="33">
        <v>45905.0</v>
      </c>
      <c r="D1794" s="47" t="s">
        <v>22</v>
      </c>
      <c r="E1794" s="32" t="s">
        <v>513</v>
      </c>
      <c r="F1794" s="34" t="s">
        <v>156</v>
      </c>
      <c r="G1794" s="34" t="s">
        <v>526</v>
      </c>
      <c r="H1794" s="35" t="s">
        <v>26</v>
      </c>
      <c r="I1794" s="35" t="s">
        <v>27</v>
      </c>
      <c r="J1794" s="57"/>
      <c r="K1794" s="57"/>
      <c r="L1794" s="84"/>
    </row>
    <row r="1795">
      <c r="A1795" s="32" t="s">
        <v>4801</v>
      </c>
      <c r="B1795" s="32" t="s">
        <v>4802</v>
      </c>
      <c r="C1795" s="33">
        <v>45905.0</v>
      </c>
      <c r="D1795" s="34" t="s">
        <v>22</v>
      </c>
      <c r="E1795" s="32" t="s">
        <v>61</v>
      </c>
      <c r="F1795" s="34" t="s">
        <v>24</v>
      </c>
      <c r="G1795" s="34" t="s">
        <v>1583</v>
      </c>
      <c r="H1795" s="35" t="s">
        <v>26</v>
      </c>
      <c r="I1795" s="35" t="s">
        <v>27</v>
      </c>
      <c r="J1795" s="35" t="s">
        <v>100</v>
      </c>
      <c r="K1795" s="57"/>
      <c r="L1795" s="84"/>
    </row>
    <row r="1796">
      <c r="A1796" s="32" t="s">
        <v>4803</v>
      </c>
      <c r="B1796" s="32" t="s">
        <v>4804</v>
      </c>
      <c r="C1796" s="33">
        <v>45905.0</v>
      </c>
      <c r="D1796" s="34" t="s">
        <v>39</v>
      </c>
      <c r="E1796" s="32" t="s">
        <v>136</v>
      </c>
      <c r="F1796" s="34" t="s">
        <v>53</v>
      </c>
      <c r="G1796" s="34" t="s">
        <v>440</v>
      </c>
      <c r="H1796" s="35" t="s">
        <v>26</v>
      </c>
      <c r="I1796" s="105" t="str">
        <f>HYPERLINK("https://open.spotify.com/album/0iGDXuhVOnilJgNJvyJVRK", "S")</f>
        <v>S</v>
      </c>
      <c r="J1796" s="57"/>
      <c r="K1796" s="57"/>
      <c r="L1796" s="84"/>
    </row>
    <row r="1797">
      <c r="A1797" s="32" t="s">
        <v>4805</v>
      </c>
      <c r="B1797" s="32" t="s">
        <v>4806</v>
      </c>
      <c r="C1797" s="33">
        <v>45905.0</v>
      </c>
      <c r="D1797" s="34" t="s">
        <v>22</v>
      </c>
      <c r="E1797" s="32" t="s">
        <v>73</v>
      </c>
      <c r="F1797" s="34" t="s">
        <v>24</v>
      </c>
      <c r="G1797" s="34" t="s">
        <v>4807</v>
      </c>
      <c r="H1797" s="35" t="s">
        <v>26</v>
      </c>
      <c r="I1797" s="35" t="s">
        <v>27</v>
      </c>
      <c r="J1797" s="57"/>
      <c r="K1797" s="57"/>
      <c r="L1797" s="84"/>
    </row>
    <row r="1798">
      <c r="A1798" s="32" t="s">
        <v>4808</v>
      </c>
      <c r="B1798" s="32" t="s">
        <v>4809</v>
      </c>
      <c r="C1798" s="33">
        <v>45905.0</v>
      </c>
      <c r="D1798" s="34" t="s">
        <v>22</v>
      </c>
      <c r="E1798" s="32" t="s">
        <v>4810</v>
      </c>
      <c r="F1798" s="34" t="s">
        <v>24</v>
      </c>
      <c r="G1798" s="34" t="s">
        <v>41</v>
      </c>
      <c r="H1798" s="35" t="s">
        <v>26</v>
      </c>
      <c r="I1798" s="35" t="s">
        <v>27</v>
      </c>
      <c r="J1798" s="35" t="s">
        <v>100</v>
      </c>
      <c r="K1798" s="57"/>
      <c r="L1798" s="84"/>
    </row>
    <row r="1799">
      <c r="A1799" s="32" t="s">
        <v>4811</v>
      </c>
      <c r="B1799" s="32" t="s">
        <v>4812</v>
      </c>
      <c r="C1799" s="33">
        <v>45905.0</v>
      </c>
      <c r="D1799" s="34" t="s">
        <v>22</v>
      </c>
      <c r="E1799" s="32" t="s">
        <v>632</v>
      </c>
      <c r="F1799" s="34" t="s">
        <v>24</v>
      </c>
      <c r="G1799" s="34" t="s">
        <v>2185</v>
      </c>
      <c r="H1799" s="35" t="s">
        <v>26</v>
      </c>
      <c r="I1799" s="35" t="s">
        <v>27</v>
      </c>
      <c r="J1799" s="57"/>
      <c r="K1799" s="57"/>
      <c r="L1799" s="84"/>
    </row>
    <row r="1800">
      <c r="A1800" s="32" t="s">
        <v>4813</v>
      </c>
      <c r="B1800" s="32" t="s">
        <v>4814</v>
      </c>
      <c r="C1800" s="33">
        <v>45905.0</v>
      </c>
      <c r="D1800" s="47" t="s">
        <v>22</v>
      </c>
      <c r="E1800" s="32" t="s">
        <v>4815</v>
      </c>
      <c r="F1800" s="34" t="s">
        <v>24</v>
      </c>
      <c r="G1800" s="34" t="s">
        <v>599</v>
      </c>
      <c r="H1800" s="35" t="s">
        <v>26</v>
      </c>
      <c r="I1800" s="35" t="s">
        <v>27</v>
      </c>
      <c r="J1800" s="57"/>
      <c r="K1800" s="57"/>
      <c r="L1800" s="84"/>
    </row>
    <row r="1801">
      <c r="A1801" s="32" t="s">
        <v>4816</v>
      </c>
      <c r="B1801" s="32" t="s">
        <v>4817</v>
      </c>
      <c r="C1801" s="33">
        <v>45905.0</v>
      </c>
      <c r="D1801" s="34" t="s">
        <v>22</v>
      </c>
      <c r="E1801" s="32" t="s">
        <v>73</v>
      </c>
      <c r="F1801" s="34" t="s">
        <v>24</v>
      </c>
      <c r="G1801" s="34" t="s">
        <v>199</v>
      </c>
      <c r="H1801" s="35" t="s">
        <v>26</v>
      </c>
      <c r="I1801" s="35" t="s">
        <v>27</v>
      </c>
      <c r="J1801" s="35" t="s">
        <v>100</v>
      </c>
      <c r="K1801" s="57"/>
      <c r="L1801" s="84"/>
    </row>
    <row r="1802">
      <c r="A1802" s="32" t="s">
        <v>4818</v>
      </c>
      <c r="B1802" s="32" t="s">
        <v>4819</v>
      </c>
      <c r="C1802" s="33">
        <v>45905.0</v>
      </c>
      <c r="D1802" s="34" t="s">
        <v>39</v>
      </c>
      <c r="E1802" s="32" t="s">
        <v>4820</v>
      </c>
      <c r="F1802" s="34" t="s">
        <v>24</v>
      </c>
      <c r="G1802" s="34" t="s">
        <v>725</v>
      </c>
      <c r="H1802" s="35" t="s">
        <v>26</v>
      </c>
      <c r="I1802" s="35" t="s">
        <v>27</v>
      </c>
      <c r="J1802" s="57"/>
      <c r="K1802" s="57"/>
      <c r="L1802" s="84"/>
    </row>
    <row r="1803">
      <c r="A1803" s="32" t="s">
        <v>4821</v>
      </c>
      <c r="B1803" s="32" t="s">
        <v>4822</v>
      </c>
      <c r="C1803" s="33">
        <v>45905.0</v>
      </c>
      <c r="D1803" s="47" t="s">
        <v>39</v>
      </c>
      <c r="E1803" s="32" t="s">
        <v>331</v>
      </c>
      <c r="F1803" s="34" t="s">
        <v>156</v>
      </c>
      <c r="G1803" s="34" t="s">
        <v>336</v>
      </c>
      <c r="H1803" s="35" t="s">
        <v>26</v>
      </c>
      <c r="I1803" s="35" t="s">
        <v>27</v>
      </c>
      <c r="J1803" s="57"/>
      <c r="K1803" s="57"/>
      <c r="L1803" s="84"/>
    </row>
    <row r="1804">
      <c r="A1804" s="32" t="s">
        <v>4823</v>
      </c>
      <c r="B1804" s="32" t="s">
        <v>4824</v>
      </c>
      <c r="C1804" s="33">
        <v>45905.0</v>
      </c>
      <c r="D1804" s="34" t="s">
        <v>22</v>
      </c>
      <c r="E1804" s="32" t="s">
        <v>473</v>
      </c>
      <c r="F1804" s="34" t="s">
        <v>24</v>
      </c>
      <c r="G1804" s="34" t="s">
        <v>3680</v>
      </c>
      <c r="H1804" s="35" t="s">
        <v>26</v>
      </c>
      <c r="I1804" s="35" t="s">
        <v>27</v>
      </c>
      <c r="J1804" s="57"/>
      <c r="K1804" s="57"/>
      <c r="L1804" s="84"/>
    </row>
    <row r="1805">
      <c r="A1805" s="32" t="s">
        <v>4825</v>
      </c>
      <c r="B1805" s="32" t="s">
        <v>4826</v>
      </c>
      <c r="C1805" s="33">
        <v>45905.0</v>
      </c>
      <c r="D1805" s="34" t="s">
        <v>39</v>
      </c>
      <c r="E1805" s="32" t="s">
        <v>335</v>
      </c>
      <c r="F1805" s="34" t="s">
        <v>53</v>
      </c>
      <c r="G1805" s="34" t="s">
        <v>874</v>
      </c>
      <c r="H1805" s="35" t="s">
        <v>26</v>
      </c>
      <c r="I1805" s="35" t="s">
        <v>27</v>
      </c>
      <c r="J1805" s="35" t="s">
        <v>100</v>
      </c>
      <c r="K1805" s="57"/>
      <c r="L1805" s="84"/>
    </row>
    <row r="1806">
      <c r="A1806" s="32" t="s">
        <v>4827</v>
      </c>
      <c r="B1806" s="32" t="s">
        <v>3316</v>
      </c>
      <c r="C1806" s="33">
        <v>45905.0</v>
      </c>
      <c r="D1806" s="34" t="s">
        <v>22</v>
      </c>
      <c r="E1806" s="32" t="s">
        <v>335</v>
      </c>
      <c r="F1806" s="34" t="s">
        <v>24</v>
      </c>
      <c r="G1806" s="34" t="s">
        <v>4828</v>
      </c>
      <c r="H1806" s="35" t="s">
        <v>26</v>
      </c>
      <c r="I1806" s="35" t="s">
        <v>27</v>
      </c>
      <c r="J1806" s="57"/>
      <c r="K1806" s="57"/>
      <c r="L1806" s="84"/>
    </row>
    <row r="1807">
      <c r="A1807" s="32" t="s">
        <v>4829</v>
      </c>
      <c r="B1807" s="32" t="s">
        <v>4830</v>
      </c>
      <c r="C1807" s="33">
        <v>45905.0</v>
      </c>
      <c r="D1807" s="47" t="s">
        <v>39</v>
      </c>
      <c r="E1807" s="32" t="s">
        <v>4831</v>
      </c>
      <c r="F1807" s="34" t="s">
        <v>24</v>
      </c>
      <c r="G1807" s="34" t="s">
        <v>2451</v>
      </c>
      <c r="H1807" s="35" t="s">
        <v>26</v>
      </c>
      <c r="I1807" s="35" t="s">
        <v>27</v>
      </c>
      <c r="J1807" s="57"/>
      <c r="K1807" s="57"/>
      <c r="L1807" s="84"/>
    </row>
    <row r="1808">
      <c r="A1808" s="32" t="s">
        <v>4832</v>
      </c>
      <c r="B1808" s="32" t="s">
        <v>4833</v>
      </c>
      <c r="C1808" s="33">
        <v>45905.0</v>
      </c>
      <c r="D1808" s="34" t="s">
        <v>22</v>
      </c>
      <c r="E1808" s="32" t="s">
        <v>69</v>
      </c>
      <c r="F1808" s="34" t="s">
        <v>24</v>
      </c>
      <c r="G1808" s="34" t="s">
        <v>725</v>
      </c>
      <c r="H1808" s="35" t="s">
        <v>26</v>
      </c>
      <c r="I1808" s="35" t="s">
        <v>27</v>
      </c>
      <c r="J1808" s="57"/>
      <c r="K1808" s="57"/>
      <c r="L1808" s="84"/>
    </row>
    <row r="1809">
      <c r="A1809" s="32" t="s">
        <v>4834</v>
      </c>
      <c r="B1809" s="32" t="s">
        <v>4835</v>
      </c>
      <c r="C1809" s="33">
        <v>45905.0</v>
      </c>
      <c r="D1809" s="34" t="s">
        <v>22</v>
      </c>
      <c r="E1809" s="32" t="s">
        <v>69</v>
      </c>
      <c r="F1809" s="34" t="s">
        <v>24</v>
      </c>
      <c r="G1809" s="34" t="s">
        <v>253</v>
      </c>
      <c r="H1809" s="35" t="s">
        <v>26</v>
      </c>
      <c r="I1809" s="35" t="s">
        <v>27</v>
      </c>
      <c r="J1809" s="35" t="s">
        <v>100</v>
      </c>
      <c r="K1809" s="57"/>
      <c r="L1809" s="84"/>
    </row>
    <row r="1810">
      <c r="A1810" s="32" t="s">
        <v>4836</v>
      </c>
      <c r="B1810" s="32" t="s">
        <v>4837</v>
      </c>
      <c r="C1810" s="33">
        <v>45905.0</v>
      </c>
      <c r="D1810" s="34" t="s">
        <v>22</v>
      </c>
      <c r="E1810" s="32" t="s">
        <v>73</v>
      </c>
      <c r="F1810" s="34" t="s">
        <v>24</v>
      </c>
      <c r="G1810" s="34" t="s">
        <v>253</v>
      </c>
      <c r="H1810" s="35" t="s">
        <v>26</v>
      </c>
      <c r="I1810" s="35" t="s">
        <v>27</v>
      </c>
      <c r="J1810" s="57"/>
      <c r="K1810" s="57"/>
      <c r="L1810" s="84"/>
    </row>
    <row r="1811">
      <c r="A1811" s="32" t="s">
        <v>4838</v>
      </c>
      <c r="B1811" s="32" t="s">
        <v>4839</v>
      </c>
      <c r="C1811" s="33">
        <v>45905.0</v>
      </c>
      <c r="D1811" s="34" t="s">
        <v>22</v>
      </c>
      <c r="E1811" s="32" t="s">
        <v>4840</v>
      </c>
      <c r="F1811" s="34" t="s">
        <v>24</v>
      </c>
      <c r="G1811" s="34" t="s">
        <v>1127</v>
      </c>
      <c r="H1811" s="35" t="s">
        <v>26</v>
      </c>
      <c r="I1811" s="34"/>
      <c r="J1811" s="35" t="s">
        <v>100</v>
      </c>
      <c r="K1811" s="57"/>
      <c r="L1811" s="84"/>
    </row>
    <row r="1812">
      <c r="A1812" s="32" t="s">
        <v>4841</v>
      </c>
      <c r="B1812" s="32" t="s">
        <v>4842</v>
      </c>
      <c r="C1812" s="33">
        <v>45905.0</v>
      </c>
      <c r="D1812" s="34" t="s">
        <v>22</v>
      </c>
      <c r="E1812" s="32" t="s">
        <v>4611</v>
      </c>
      <c r="F1812" s="34" t="s">
        <v>53</v>
      </c>
      <c r="G1812" s="34" t="s">
        <v>49</v>
      </c>
      <c r="H1812" s="35" t="s">
        <v>26</v>
      </c>
      <c r="I1812" s="35" t="s">
        <v>27</v>
      </c>
      <c r="J1812" s="57"/>
      <c r="K1812" s="57"/>
      <c r="L1812" s="84"/>
    </row>
    <row r="1813">
      <c r="A1813" s="32" t="s">
        <v>4843</v>
      </c>
      <c r="B1813" s="32" t="s">
        <v>4844</v>
      </c>
      <c r="C1813" s="33">
        <v>45906.0</v>
      </c>
      <c r="D1813" s="34" t="s">
        <v>22</v>
      </c>
      <c r="E1813" s="32" t="s">
        <v>4845</v>
      </c>
      <c r="F1813" s="34" t="s">
        <v>53</v>
      </c>
      <c r="G1813" s="34" t="s">
        <v>3417</v>
      </c>
      <c r="H1813" s="35" t="s">
        <v>26</v>
      </c>
      <c r="I1813" s="36" t="str">
        <f>HYPERLINK("https://open.spotify.com/album/5Tj7rDDg6e7vg2ZwoLA4GL", "S")</f>
        <v>S</v>
      </c>
      <c r="J1813" s="57"/>
      <c r="K1813" s="57"/>
      <c r="L1813" s="84"/>
    </row>
    <row r="1814">
      <c r="A1814" s="32" t="s">
        <v>4846</v>
      </c>
      <c r="B1814" s="32" t="s">
        <v>4847</v>
      </c>
      <c r="C1814" s="33">
        <v>45906.0</v>
      </c>
      <c r="D1814" s="34" t="s">
        <v>22</v>
      </c>
      <c r="E1814" s="32" t="s">
        <v>4848</v>
      </c>
      <c r="F1814" s="34" t="s">
        <v>24</v>
      </c>
      <c r="G1814" s="34" t="s">
        <v>4849</v>
      </c>
      <c r="H1814" s="35" t="s">
        <v>26</v>
      </c>
      <c r="I1814" s="35" t="s">
        <v>27</v>
      </c>
      <c r="J1814" s="57"/>
      <c r="K1814" s="57"/>
      <c r="L1814" s="84"/>
    </row>
    <row r="1815">
      <c r="A1815" s="32" t="s">
        <v>4850</v>
      </c>
      <c r="B1815" s="32" t="s">
        <v>4851</v>
      </c>
      <c r="C1815" s="33">
        <v>45906.0</v>
      </c>
      <c r="D1815" s="47" t="s">
        <v>22</v>
      </c>
      <c r="E1815" s="32" t="s">
        <v>556</v>
      </c>
      <c r="F1815" s="34" t="s">
        <v>156</v>
      </c>
      <c r="G1815" s="34" t="s">
        <v>442</v>
      </c>
      <c r="H1815" s="35" t="s">
        <v>26</v>
      </c>
      <c r="I1815" s="57"/>
      <c r="J1815" s="57"/>
      <c r="K1815" s="57"/>
      <c r="L1815" s="84"/>
    </row>
    <row r="1816">
      <c r="A1816" s="32" t="s">
        <v>4852</v>
      </c>
      <c r="B1816" s="32" t="s">
        <v>4853</v>
      </c>
      <c r="C1816" s="33">
        <v>45907.0</v>
      </c>
      <c r="D1816" s="47" t="s">
        <v>22</v>
      </c>
      <c r="E1816" s="32" t="s">
        <v>370</v>
      </c>
      <c r="F1816" s="34" t="s">
        <v>24</v>
      </c>
      <c r="G1816" s="34" t="s">
        <v>4854</v>
      </c>
      <c r="H1816" s="35" t="s">
        <v>26</v>
      </c>
      <c r="I1816" s="36" t="str">
        <f>HYPERLINK("https://open.spotify.com/album/7kU88zz9kIchOLUT7GsQOP", "S")</f>
        <v>S</v>
      </c>
      <c r="J1816" s="57"/>
      <c r="K1816" s="57"/>
      <c r="L1816" s="84"/>
    </row>
    <row r="1817">
      <c r="A1817" s="32" t="s">
        <v>4855</v>
      </c>
      <c r="B1817" s="32" t="s">
        <v>4856</v>
      </c>
      <c r="C1817" s="33">
        <v>45908.0</v>
      </c>
      <c r="D1817" s="34" t="s">
        <v>22</v>
      </c>
      <c r="E1817" s="32" t="s">
        <v>4857</v>
      </c>
      <c r="F1817" s="34" t="s">
        <v>24</v>
      </c>
      <c r="G1817" s="34" t="s">
        <v>1340</v>
      </c>
      <c r="H1817" s="35" t="s">
        <v>26</v>
      </c>
      <c r="I1817" s="36" t="str">
        <f>HYPERLINK("https://open.spotify.com/album/5jgcE5TFeMPcrYJ25mCQu9", "S")</f>
        <v>S</v>
      </c>
      <c r="J1817" s="57"/>
      <c r="K1817" s="57"/>
      <c r="L1817" s="84"/>
    </row>
    <row r="1818">
      <c r="A1818" s="32" t="s">
        <v>4858</v>
      </c>
      <c r="B1818" s="32" t="s">
        <v>4859</v>
      </c>
      <c r="C1818" s="33">
        <v>45908.0</v>
      </c>
      <c r="D1818" s="34" t="s">
        <v>22</v>
      </c>
      <c r="E1818" s="32" t="s">
        <v>44</v>
      </c>
      <c r="F1818" s="34" t="s">
        <v>24</v>
      </c>
      <c r="G1818" s="34" t="s">
        <v>3369</v>
      </c>
      <c r="H1818" s="35" t="s">
        <v>26</v>
      </c>
      <c r="I1818" s="35" t="s">
        <v>27</v>
      </c>
      <c r="J1818" s="57"/>
      <c r="K1818" s="57"/>
      <c r="L1818" s="84"/>
    </row>
    <row r="1819">
      <c r="A1819" s="32" t="s">
        <v>4860</v>
      </c>
      <c r="B1819" s="32" t="s">
        <v>4861</v>
      </c>
      <c r="C1819" s="33">
        <v>45909.0</v>
      </c>
      <c r="D1819" s="34" t="s">
        <v>22</v>
      </c>
      <c r="E1819" s="32" t="s">
        <v>613</v>
      </c>
      <c r="F1819" s="34" t="s">
        <v>24</v>
      </c>
      <c r="G1819" s="34" t="s">
        <v>32</v>
      </c>
      <c r="H1819" s="35" t="s">
        <v>26</v>
      </c>
      <c r="I1819" s="35" t="s">
        <v>27</v>
      </c>
      <c r="J1819" s="35" t="s">
        <v>100</v>
      </c>
      <c r="K1819" s="57"/>
      <c r="L1819" s="84"/>
    </row>
    <row r="1820">
      <c r="A1820" s="32" t="s">
        <v>4862</v>
      </c>
      <c r="B1820" s="32" t="s">
        <v>4863</v>
      </c>
      <c r="C1820" s="33">
        <v>45909.0</v>
      </c>
      <c r="D1820" s="34" t="s">
        <v>22</v>
      </c>
      <c r="E1820" s="32" t="s">
        <v>122</v>
      </c>
      <c r="F1820" s="34" t="s">
        <v>31</v>
      </c>
      <c r="G1820" s="34" t="s">
        <v>225</v>
      </c>
      <c r="H1820" s="35" t="s">
        <v>26</v>
      </c>
      <c r="I1820" s="57"/>
      <c r="J1820" s="57"/>
      <c r="K1820" s="57"/>
      <c r="L1820" s="84"/>
    </row>
    <row r="1821">
      <c r="A1821" s="32" t="s">
        <v>4864</v>
      </c>
      <c r="B1821" s="32" t="s">
        <v>4865</v>
      </c>
      <c r="C1821" s="33">
        <v>45910.0</v>
      </c>
      <c r="D1821" s="34" t="s">
        <v>39</v>
      </c>
      <c r="E1821" s="32" t="s">
        <v>136</v>
      </c>
      <c r="F1821" s="34" t="s">
        <v>53</v>
      </c>
      <c r="G1821" s="34" t="s">
        <v>627</v>
      </c>
      <c r="H1821" s="35" t="s">
        <v>26</v>
      </c>
      <c r="I1821" s="35" t="s">
        <v>27</v>
      </c>
      <c r="J1821" s="57"/>
      <c r="K1821" s="57"/>
      <c r="L1821" s="84"/>
    </row>
    <row r="1822">
      <c r="A1822" s="32" t="s">
        <v>4866</v>
      </c>
      <c r="B1822" s="32" t="s">
        <v>4867</v>
      </c>
      <c r="C1822" s="33">
        <v>45911.0</v>
      </c>
      <c r="D1822" s="34" t="s">
        <v>22</v>
      </c>
      <c r="E1822" s="32" t="s">
        <v>44</v>
      </c>
      <c r="F1822" s="34" t="s">
        <v>53</v>
      </c>
      <c r="G1822" s="34" t="s">
        <v>4868</v>
      </c>
      <c r="H1822" s="35" t="s">
        <v>26</v>
      </c>
      <c r="I1822" s="36" t="str">
        <f>HYPERLINK("https://open.spotify.com/album/39T9aA2jVkZm8mDebG0hJE", "S")</f>
        <v>S</v>
      </c>
      <c r="J1822" s="57"/>
      <c r="K1822" s="57"/>
      <c r="L1822" s="84"/>
    </row>
    <row r="1823">
      <c r="A1823" s="32" t="s">
        <v>4869</v>
      </c>
      <c r="B1823" s="32" t="s">
        <v>4870</v>
      </c>
      <c r="C1823" s="33">
        <v>45911.0</v>
      </c>
      <c r="D1823" s="34" t="s">
        <v>22</v>
      </c>
      <c r="E1823" s="32" t="s">
        <v>4871</v>
      </c>
      <c r="F1823" s="34" t="s">
        <v>156</v>
      </c>
      <c r="G1823" s="34" t="s">
        <v>4872</v>
      </c>
      <c r="H1823" s="35" t="s">
        <v>26</v>
      </c>
      <c r="I1823" s="36" t="str">
        <f>HYPERLINK("https://open.spotify.com/album/59mi81jM8s81Khx2PF00pB", "S")</f>
        <v>S</v>
      </c>
      <c r="J1823" s="57"/>
      <c r="K1823" s="57"/>
      <c r="L1823" s="84"/>
    </row>
    <row r="1824">
      <c r="A1824" s="32" t="s">
        <v>4873</v>
      </c>
      <c r="B1824" s="32" t="s">
        <v>4874</v>
      </c>
      <c r="C1824" s="33">
        <v>45911.0</v>
      </c>
      <c r="D1824" s="34" t="s">
        <v>22</v>
      </c>
      <c r="E1824" s="32" t="s">
        <v>364</v>
      </c>
      <c r="F1824" s="34" t="s">
        <v>24</v>
      </c>
      <c r="G1824" s="34" t="s">
        <v>4875</v>
      </c>
      <c r="H1824" s="35" t="s">
        <v>26</v>
      </c>
      <c r="I1824" s="36" t="str">
        <f>HYPERLINK("https://open.spotify.com/album/1Cv5VbookaSuPN0QLIm4Zv", "S")</f>
        <v>S</v>
      </c>
      <c r="J1824" s="35" t="s">
        <v>100</v>
      </c>
      <c r="K1824" s="57"/>
      <c r="L1824" s="84"/>
    </row>
    <row r="1825">
      <c r="A1825" s="32" t="s">
        <v>4876</v>
      </c>
      <c r="B1825" s="32" t="s">
        <v>4876</v>
      </c>
      <c r="C1825" s="33">
        <v>45911.0</v>
      </c>
      <c r="D1825" s="47" t="s">
        <v>22</v>
      </c>
      <c r="E1825" s="32" t="s">
        <v>433</v>
      </c>
      <c r="F1825" s="34" t="s">
        <v>24</v>
      </c>
      <c r="G1825" s="34" t="s">
        <v>4877</v>
      </c>
      <c r="H1825" s="35" t="s">
        <v>26</v>
      </c>
      <c r="I1825" s="36" t="str">
        <f>HYPERLINK("https://open.spotify.com/album/6j6rCWLc8KWNAkZMkMp1e3", "S")</f>
        <v>S</v>
      </c>
      <c r="J1825" s="57"/>
      <c r="K1825" s="57"/>
      <c r="L1825" s="84"/>
    </row>
    <row r="1826">
      <c r="A1826" s="32" t="s">
        <v>4878</v>
      </c>
      <c r="B1826" s="32" t="s">
        <v>4879</v>
      </c>
      <c r="C1826" s="33">
        <v>45911.0</v>
      </c>
      <c r="D1826" s="47" t="s">
        <v>22</v>
      </c>
      <c r="E1826" s="32" t="s">
        <v>61</v>
      </c>
      <c r="F1826" s="34" t="s">
        <v>24</v>
      </c>
      <c r="G1826" s="34" t="s">
        <v>4880</v>
      </c>
      <c r="H1826" s="35" t="s">
        <v>26</v>
      </c>
      <c r="I1826" s="57"/>
      <c r="J1826" s="57"/>
      <c r="K1826" s="57"/>
      <c r="L1826" s="84"/>
    </row>
    <row r="1827">
      <c r="A1827" s="32" t="s">
        <v>4881</v>
      </c>
      <c r="B1827" s="32" t="s">
        <v>4882</v>
      </c>
      <c r="C1827" s="33">
        <v>45912.0</v>
      </c>
      <c r="D1827" s="34" t="s">
        <v>22</v>
      </c>
      <c r="E1827" s="32" t="s">
        <v>4883</v>
      </c>
      <c r="F1827" s="34" t="s">
        <v>53</v>
      </c>
      <c r="G1827" s="34" t="s">
        <v>510</v>
      </c>
      <c r="H1827" s="66"/>
      <c r="I1827" s="35" t="s">
        <v>27</v>
      </c>
      <c r="J1827" s="57"/>
      <c r="K1827" s="57"/>
      <c r="L1827" s="84"/>
    </row>
    <row r="1828">
      <c r="A1828" s="32" t="s">
        <v>4884</v>
      </c>
      <c r="B1828" s="32" t="s">
        <v>4885</v>
      </c>
      <c r="C1828" s="33">
        <v>45912.0</v>
      </c>
      <c r="D1828" s="34" t="s">
        <v>22</v>
      </c>
      <c r="E1828" s="32" t="s">
        <v>4886</v>
      </c>
      <c r="F1828" s="34" t="s">
        <v>53</v>
      </c>
      <c r="G1828" s="34" t="s">
        <v>4887</v>
      </c>
      <c r="H1828" s="35" t="s">
        <v>26</v>
      </c>
      <c r="I1828" s="35" t="s">
        <v>27</v>
      </c>
      <c r="J1828" s="57"/>
      <c r="K1828" s="57"/>
      <c r="L1828" s="84"/>
    </row>
    <row r="1829">
      <c r="A1829" s="32" t="s">
        <v>4888</v>
      </c>
      <c r="B1829" s="32" t="s">
        <v>4889</v>
      </c>
      <c r="C1829" s="33">
        <v>45912.0</v>
      </c>
      <c r="D1829" s="34" t="s">
        <v>22</v>
      </c>
      <c r="E1829" s="32" t="s">
        <v>2805</v>
      </c>
      <c r="F1829" s="34" t="s">
        <v>24</v>
      </c>
      <c r="G1829" s="34" t="s">
        <v>4890</v>
      </c>
      <c r="H1829" s="66"/>
      <c r="I1829" s="35" t="s">
        <v>27</v>
      </c>
      <c r="J1829" s="57"/>
      <c r="K1829" s="57"/>
      <c r="L1829" s="84"/>
    </row>
    <row r="1830">
      <c r="A1830" s="32" t="s">
        <v>4891</v>
      </c>
      <c r="B1830" s="32" t="s">
        <v>4892</v>
      </c>
      <c r="C1830" s="33">
        <v>45912.0</v>
      </c>
      <c r="D1830" s="34" t="s">
        <v>22</v>
      </c>
      <c r="E1830" s="32" t="s">
        <v>84</v>
      </c>
      <c r="F1830" s="34" t="s">
        <v>53</v>
      </c>
      <c r="G1830" s="34" t="s">
        <v>654</v>
      </c>
      <c r="H1830" s="35" t="s">
        <v>26</v>
      </c>
      <c r="I1830" s="35" t="s">
        <v>27</v>
      </c>
      <c r="J1830" s="57"/>
      <c r="K1830" s="57"/>
      <c r="L1830" s="84"/>
    </row>
    <row r="1831">
      <c r="A1831" s="32" t="s">
        <v>4893</v>
      </c>
      <c r="B1831" s="32" t="s">
        <v>4894</v>
      </c>
      <c r="C1831" s="33">
        <v>45912.0</v>
      </c>
      <c r="D1831" s="47" t="s">
        <v>22</v>
      </c>
      <c r="E1831" s="32" t="s">
        <v>1519</v>
      </c>
      <c r="F1831" s="34" t="s">
        <v>24</v>
      </c>
      <c r="G1831" s="34" t="s">
        <v>202</v>
      </c>
      <c r="H1831" s="35" t="s">
        <v>26</v>
      </c>
      <c r="I1831" s="35" t="s">
        <v>27</v>
      </c>
      <c r="J1831" s="57"/>
      <c r="K1831" s="57"/>
      <c r="L1831" s="84"/>
    </row>
    <row r="1832">
      <c r="A1832" s="32" t="s">
        <v>4895</v>
      </c>
      <c r="B1832" s="32" t="s">
        <v>4896</v>
      </c>
      <c r="C1832" s="33">
        <v>45912.0</v>
      </c>
      <c r="D1832" s="34" t="s">
        <v>22</v>
      </c>
      <c r="E1832" s="32" t="s">
        <v>945</v>
      </c>
      <c r="F1832" s="34" t="s">
        <v>53</v>
      </c>
      <c r="G1832" s="34" t="s">
        <v>510</v>
      </c>
      <c r="H1832" s="35" t="s">
        <v>26</v>
      </c>
      <c r="I1832" s="35" t="s">
        <v>27</v>
      </c>
      <c r="J1832" s="57"/>
      <c r="K1832" s="57"/>
      <c r="L1832" s="84"/>
    </row>
    <row r="1833">
      <c r="A1833" s="32" t="s">
        <v>4897</v>
      </c>
      <c r="B1833" s="32" t="s">
        <v>4898</v>
      </c>
      <c r="C1833" s="33">
        <v>45912.0</v>
      </c>
      <c r="D1833" s="34" t="s">
        <v>22</v>
      </c>
      <c r="E1833" s="32" t="s">
        <v>3490</v>
      </c>
      <c r="F1833" s="34" t="s">
        <v>156</v>
      </c>
      <c r="G1833" s="34" t="s">
        <v>1520</v>
      </c>
      <c r="H1833" s="35" t="s">
        <v>26</v>
      </c>
      <c r="I1833" s="35" t="s">
        <v>27</v>
      </c>
      <c r="J1833" s="57"/>
      <c r="K1833" s="57"/>
      <c r="L1833" s="84"/>
    </row>
    <row r="1834">
      <c r="A1834" s="32" t="s">
        <v>4899</v>
      </c>
      <c r="B1834" s="32" t="s">
        <v>4900</v>
      </c>
      <c r="C1834" s="33">
        <v>45912.0</v>
      </c>
      <c r="D1834" s="34" t="s">
        <v>22</v>
      </c>
      <c r="E1834" s="32" t="s">
        <v>4901</v>
      </c>
      <c r="F1834" s="34" t="s">
        <v>24</v>
      </c>
      <c r="G1834" s="34" t="s">
        <v>2451</v>
      </c>
      <c r="H1834" s="35" t="s">
        <v>26</v>
      </c>
      <c r="I1834" s="35" t="s">
        <v>27</v>
      </c>
      <c r="J1834" s="57"/>
      <c r="K1834" s="57"/>
      <c r="L1834" s="84"/>
    </row>
    <row r="1835">
      <c r="A1835" s="32" t="s">
        <v>4902</v>
      </c>
      <c r="B1835" s="32" t="s">
        <v>4903</v>
      </c>
      <c r="C1835" s="33">
        <v>45912.0</v>
      </c>
      <c r="D1835" s="34" t="s">
        <v>22</v>
      </c>
      <c r="E1835" s="32" t="s">
        <v>69</v>
      </c>
      <c r="F1835" s="34" t="s">
        <v>53</v>
      </c>
      <c r="G1835" s="34" t="s">
        <v>2855</v>
      </c>
      <c r="H1835" s="35" t="s">
        <v>26</v>
      </c>
      <c r="I1835" s="35" t="s">
        <v>27</v>
      </c>
      <c r="J1835" s="35" t="s">
        <v>100</v>
      </c>
      <c r="K1835" s="57"/>
      <c r="L1835" s="84"/>
    </row>
    <row r="1836">
      <c r="A1836" s="32" t="s">
        <v>4904</v>
      </c>
      <c r="B1836" s="32" t="s">
        <v>4905</v>
      </c>
      <c r="C1836" s="33">
        <v>45912.0</v>
      </c>
      <c r="D1836" s="34" t="s">
        <v>22</v>
      </c>
      <c r="E1836" s="32" t="s">
        <v>122</v>
      </c>
      <c r="F1836" s="34" t="s">
        <v>156</v>
      </c>
      <c r="G1836" s="34" t="s">
        <v>4906</v>
      </c>
      <c r="H1836" s="35" t="s">
        <v>26</v>
      </c>
      <c r="I1836" s="35" t="s">
        <v>27</v>
      </c>
      <c r="J1836" s="57"/>
      <c r="K1836" s="57"/>
      <c r="L1836" s="84"/>
    </row>
    <row r="1837">
      <c r="A1837" s="32" t="s">
        <v>4907</v>
      </c>
      <c r="B1837" s="32" t="s">
        <v>4908</v>
      </c>
      <c r="C1837" s="33">
        <v>45912.0</v>
      </c>
      <c r="D1837" s="34" t="s">
        <v>22</v>
      </c>
      <c r="E1837" s="32" t="s">
        <v>122</v>
      </c>
      <c r="F1837" s="34" t="s">
        <v>53</v>
      </c>
      <c r="G1837" s="34" t="s">
        <v>1067</v>
      </c>
      <c r="H1837" s="35" t="s">
        <v>26</v>
      </c>
      <c r="I1837" s="35" t="s">
        <v>27</v>
      </c>
      <c r="J1837" s="57"/>
      <c r="K1837" s="57"/>
      <c r="L1837" s="84"/>
    </row>
    <row r="1838">
      <c r="A1838" s="32" t="s">
        <v>4909</v>
      </c>
      <c r="B1838" s="32" t="s">
        <v>4910</v>
      </c>
      <c r="C1838" s="33">
        <v>45912.0</v>
      </c>
      <c r="D1838" s="34" t="s">
        <v>22</v>
      </c>
      <c r="E1838" s="32" t="s">
        <v>4911</v>
      </c>
      <c r="F1838" s="34" t="s">
        <v>24</v>
      </c>
      <c r="G1838" s="34" t="s">
        <v>4912</v>
      </c>
      <c r="H1838" s="35" t="s">
        <v>26</v>
      </c>
      <c r="I1838" s="35" t="s">
        <v>27</v>
      </c>
      <c r="J1838" s="57"/>
      <c r="K1838" s="57"/>
      <c r="L1838" s="84"/>
    </row>
    <row r="1839">
      <c r="A1839" s="32" t="s">
        <v>981</v>
      </c>
      <c r="B1839" s="32" t="s">
        <v>4913</v>
      </c>
      <c r="C1839" s="33">
        <v>45912.0</v>
      </c>
      <c r="D1839" s="34" t="s">
        <v>22</v>
      </c>
      <c r="E1839" s="32" t="s">
        <v>136</v>
      </c>
      <c r="F1839" s="34" t="s">
        <v>53</v>
      </c>
      <c r="G1839" s="34" t="s">
        <v>984</v>
      </c>
      <c r="H1839" s="35" t="s">
        <v>26</v>
      </c>
      <c r="I1839" s="35" t="s">
        <v>27</v>
      </c>
      <c r="J1839" s="57"/>
      <c r="K1839" s="57"/>
      <c r="L1839" s="84"/>
    </row>
    <row r="1840">
      <c r="A1840" s="32" t="s">
        <v>4914</v>
      </c>
      <c r="B1840" s="32" t="s">
        <v>1429</v>
      </c>
      <c r="C1840" s="33">
        <v>45912.0</v>
      </c>
      <c r="D1840" s="34" t="s">
        <v>22</v>
      </c>
      <c r="E1840" s="32" t="s">
        <v>4915</v>
      </c>
      <c r="F1840" s="34" t="s">
        <v>53</v>
      </c>
      <c r="G1840" s="34" t="s">
        <v>605</v>
      </c>
      <c r="H1840" s="66"/>
      <c r="I1840" s="35" t="s">
        <v>27</v>
      </c>
      <c r="J1840" s="57"/>
      <c r="K1840" s="57"/>
      <c r="L1840" s="84"/>
    </row>
    <row r="1841">
      <c r="A1841" s="32" t="s">
        <v>4916</v>
      </c>
      <c r="B1841" s="32" t="s">
        <v>4917</v>
      </c>
      <c r="C1841" s="33">
        <v>45912.0</v>
      </c>
      <c r="D1841" s="47" t="s">
        <v>22</v>
      </c>
      <c r="E1841" s="32" t="s">
        <v>4918</v>
      </c>
      <c r="F1841" s="34" t="s">
        <v>53</v>
      </c>
      <c r="G1841" s="34" t="s">
        <v>3658</v>
      </c>
      <c r="H1841" s="35" t="s">
        <v>26</v>
      </c>
      <c r="I1841" s="35" t="s">
        <v>27</v>
      </c>
      <c r="J1841" s="57"/>
      <c r="K1841" s="57"/>
      <c r="L1841" s="84"/>
    </row>
    <row r="1842">
      <c r="A1842" s="32" t="s">
        <v>4919</v>
      </c>
      <c r="B1842" s="32" t="s">
        <v>4920</v>
      </c>
      <c r="C1842" s="33">
        <v>45912.0</v>
      </c>
      <c r="D1842" s="34" t="s">
        <v>22</v>
      </c>
      <c r="E1842" s="32" t="s">
        <v>129</v>
      </c>
      <c r="F1842" s="34" t="s">
        <v>24</v>
      </c>
      <c r="G1842" s="34" t="s">
        <v>3441</v>
      </c>
      <c r="H1842" s="35" t="s">
        <v>26</v>
      </c>
      <c r="I1842" s="35" t="s">
        <v>27</v>
      </c>
      <c r="J1842" s="35" t="s">
        <v>100</v>
      </c>
      <c r="K1842" s="57"/>
      <c r="L1842" s="84"/>
    </row>
    <row r="1843">
      <c r="A1843" s="32" t="s">
        <v>4550</v>
      </c>
      <c r="B1843" s="32" t="s">
        <v>4921</v>
      </c>
      <c r="C1843" s="33">
        <v>45912.0</v>
      </c>
      <c r="D1843" s="47" t="s">
        <v>22</v>
      </c>
      <c r="E1843" s="32" t="s">
        <v>945</v>
      </c>
      <c r="F1843" s="34" t="s">
        <v>53</v>
      </c>
      <c r="G1843" s="34" t="s">
        <v>292</v>
      </c>
      <c r="H1843" s="35" t="s">
        <v>26</v>
      </c>
      <c r="I1843" s="35" t="s">
        <v>27</v>
      </c>
      <c r="J1843" s="57"/>
      <c r="K1843" s="57"/>
      <c r="L1843" s="84"/>
    </row>
    <row r="1844">
      <c r="A1844" s="32" t="s">
        <v>4922</v>
      </c>
      <c r="B1844" s="32" t="s">
        <v>4923</v>
      </c>
      <c r="C1844" s="33">
        <v>45912.0</v>
      </c>
      <c r="D1844" s="34" t="s">
        <v>22</v>
      </c>
      <c r="E1844" s="32" t="s">
        <v>355</v>
      </c>
      <c r="F1844" s="34" t="s">
        <v>53</v>
      </c>
      <c r="G1844" s="34" t="s">
        <v>2298</v>
      </c>
      <c r="H1844" s="35" t="s">
        <v>26</v>
      </c>
      <c r="I1844" s="35" t="s">
        <v>27</v>
      </c>
      <c r="J1844" s="57"/>
      <c r="K1844" s="57"/>
      <c r="L1844" s="84"/>
    </row>
    <row r="1845">
      <c r="A1845" s="32" t="s">
        <v>4924</v>
      </c>
      <c r="B1845" s="32" t="s">
        <v>4925</v>
      </c>
      <c r="C1845" s="33">
        <v>45912.0</v>
      </c>
      <c r="D1845" s="34" t="s">
        <v>39</v>
      </c>
      <c r="E1845" s="32" t="s">
        <v>328</v>
      </c>
      <c r="F1845" s="34" t="s">
        <v>156</v>
      </c>
      <c r="G1845" s="34" t="s">
        <v>4926</v>
      </c>
      <c r="H1845" s="35" t="s">
        <v>26</v>
      </c>
      <c r="I1845" s="35" t="s">
        <v>27</v>
      </c>
      <c r="J1845" s="57"/>
      <c r="K1845" s="57"/>
      <c r="L1845" s="84"/>
    </row>
    <row r="1846">
      <c r="A1846" s="32" t="s">
        <v>4927</v>
      </c>
      <c r="B1846" s="32" t="s">
        <v>4928</v>
      </c>
      <c r="C1846" s="33">
        <v>45912.0</v>
      </c>
      <c r="D1846" s="34" t="s">
        <v>22</v>
      </c>
      <c r="E1846" s="32" t="s">
        <v>4929</v>
      </c>
      <c r="F1846" s="34" t="s">
        <v>24</v>
      </c>
      <c r="G1846" s="34" t="s">
        <v>4930</v>
      </c>
      <c r="H1846" s="35" t="s">
        <v>26</v>
      </c>
      <c r="I1846" s="58" t="str">
        <f>HYPERLINK("https://open.spotify.com/album/5KV4khjR6QvdwynW2Az5xc", "S")</f>
        <v>S</v>
      </c>
      <c r="J1846" s="57"/>
      <c r="K1846" s="57"/>
      <c r="L1846" s="84"/>
    </row>
    <row r="1847">
      <c r="A1847" s="32" t="s">
        <v>4931</v>
      </c>
      <c r="B1847" s="32" t="s">
        <v>4932</v>
      </c>
      <c r="C1847" s="33">
        <v>45912.0</v>
      </c>
      <c r="D1847" s="34" t="s">
        <v>22</v>
      </c>
      <c r="E1847" s="32" t="s">
        <v>1031</v>
      </c>
      <c r="F1847" s="34" t="s">
        <v>156</v>
      </c>
      <c r="G1847" s="34" t="s">
        <v>725</v>
      </c>
      <c r="H1847" s="35" t="s">
        <v>26</v>
      </c>
      <c r="I1847" s="35" t="s">
        <v>27</v>
      </c>
      <c r="J1847" s="57"/>
      <c r="K1847" s="57"/>
      <c r="L1847" s="84"/>
    </row>
    <row r="1848">
      <c r="A1848" s="32" t="s">
        <v>4933</v>
      </c>
      <c r="B1848" s="32" t="s">
        <v>4934</v>
      </c>
      <c r="C1848" s="33">
        <v>45912.0</v>
      </c>
      <c r="D1848" s="34" t="s">
        <v>22</v>
      </c>
      <c r="E1848" s="32" t="s">
        <v>4935</v>
      </c>
      <c r="F1848" s="34" t="s">
        <v>53</v>
      </c>
      <c r="G1848" s="34" t="s">
        <v>4936</v>
      </c>
      <c r="H1848" s="35" t="s">
        <v>26</v>
      </c>
      <c r="I1848" s="35" t="s">
        <v>27</v>
      </c>
      <c r="J1848" s="35" t="s">
        <v>100</v>
      </c>
      <c r="K1848" s="57"/>
      <c r="L1848" s="84"/>
    </row>
    <row r="1849">
      <c r="A1849" s="32" t="s">
        <v>4937</v>
      </c>
      <c r="B1849" s="32" t="s">
        <v>4938</v>
      </c>
      <c r="C1849" s="33">
        <v>45912.0</v>
      </c>
      <c r="D1849" s="47" t="s">
        <v>22</v>
      </c>
      <c r="E1849" s="32" t="s">
        <v>331</v>
      </c>
      <c r="F1849" s="34" t="s">
        <v>156</v>
      </c>
      <c r="G1849" s="34" t="s">
        <v>253</v>
      </c>
      <c r="H1849" s="35" t="s">
        <v>26</v>
      </c>
      <c r="I1849" s="35" t="s">
        <v>27</v>
      </c>
      <c r="J1849" s="57"/>
      <c r="K1849" s="57"/>
      <c r="L1849" s="84"/>
    </row>
    <row r="1850">
      <c r="A1850" s="32" t="s">
        <v>4939</v>
      </c>
      <c r="B1850" s="32" t="s">
        <v>4940</v>
      </c>
      <c r="C1850" s="33">
        <v>45912.0</v>
      </c>
      <c r="D1850" s="34" t="s">
        <v>22</v>
      </c>
      <c r="E1850" s="32" t="s">
        <v>632</v>
      </c>
      <c r="F1850" s="34" t="s">
        <v>24</v>
      </c>
      <c r="G1850" s="34" t="s">
        <v>2363</v>
      </c>
      <c r="H1850" s="35" t="s">
        <v>26</v>
      </c>
      <c r="I1850" s="35" t="s">
        <v>27</v>
      </c>
      <c r="J1850" s="57"/>
      <c r="K1850" s="57"/>
      <c r="L1850" s="84"/>
    </row>
    <row r="1851">
      <c r="A1851" s="32" t="s">
        <v>4941</v>
      </c>
      <c r="B1851" s="32" t="s">
        <v>4942</v>
      </c>
      <c r="C1851" s="33">
        <v>45912.0</v>
      </c>
      <c r="D1851" s="34" t="s">
        <v>22</v>
      </c>
      <c r="E1851" s="32" t="s">
        <v>61</v>
      </c>
      <c r="F1851" s="34" t="s">
        <v>24</v>
      </c>
      <c r="G1851" s="34" t="s">
        <v>4943</v>
      </c>
      <c r="H1851" s="35" t="s">
        <v>26</v>
      </c>
      <c r="I1851" s="34"/>
      <c r="J1851" s="57"/>
      <c r="K1851" s="57"/>
      <c r="L1851" s="84"/>
    </row>
    <row r="1852">
      <c r="A1852" s="32" t="s">
        <v>4944</v>
      </c>
      <c r="B1852" s="32" t="s">
        <v>4945</v>
      </c>
      <c r="C1852" s="33">
        <v>45912.0</v>
      </c>
      <c r="D1852" s="34" t="s">
        <v>22</v>
      </c>
      <c r="E1852" s="32" t="s">
        <v>61</v>
      </c>
      <c r="F1852" s="34" t="s">
        <v>24</v>
      </c>
      <c r="G1852" s="34" t="s">
        <v>654</v>
      </c>
      <c r="H1852" s="35" t="s">
        <v>26</v>
      </c>
      <c r="I1852" s="35" t="s">
        <v>27</v>
      </c>
      <c r="J1852" s="35" t="s">
        <v>100</v>
      </c>
      <c r="K1852" s="57"/>
      <c r="L1852" s="84"/>
    </row>
    <row r="1853">
      <c r="A1853" s="32" t="s">
        <v>4946</v>
      </c>
      <c r="B1853" s="32" t="s">
        <v>4947</v>
      </c>
      <c r="C1853" s="33">
        <v>45912.0</v>
      </c>
      <c r="D1853" s="34" t="s">
        <v>22</v>
      </c>
      <c r="E1853" s="32" t="s">
        <v>61</v>
      </c>
      <c r="F1853" s="34" t="s">
        <v>24</v>
      </c>
      <c r="G1853" s="34" t="s">
        <v>518</v>
      </c>
      <c r="H1853" s="35" t="s">
        <v>26</v>
      </c>
      <c r="I1853" s="35" t="s">
        <v>27</v>
      </c>
      <c r="J1853" s="57"/>
      <c r="K1853" s="57"/>
      <c r="L1853" s="84"/>
    </row>
    <row r="1854">
      <c r="A1854" s="32" t="s">
        <v>4948</v>
      </c>
      <c r="B1854" s="32" t="s">
        <v>4949</v>
      </c>
      <c r="C1854" s="33">
        <v>45912.0</v>
      </c>
      <c r="D1854" s="34" t="s">
        <v>22</v>
      </c>
      <c r="E1854" s="32" t="s">
        <v>4950</v>
      </c>
      <c r="F1854" s="34" t="s">
        <v>31</v>
      </c>
      <c r="G1854" s="34" t="s">
        <v>1878</v>
      </c>
      <c r="H1854" s="35" t="s">
        <v>26</v>
      </c>
      <c r="I1854" s="35" t="s">
        <v>27</v>
      </c>
      <c r="J1854" s="57"/>
      <c r="K1854" s="57"/>
      <c r="L1854" s="84"/>
    </row>
    <row r="1855">
      <c r="A1855" s="32" t="s">
        <v>4951</v>
      </c>
      <c r="B1855" s="32" t="s">
        <v>4952</v>
      </c>
      <c r="C1855" s="33">
        <v>45912.0</v>
      </c>
      <c r="D1855" s="34" t="s">
        <v>22</v>
      </c>
      <c r="E1855" s="32" t="s">
        <v>4953</v>
      </c>
      <c r="F1855" s="34" t="s">
        <v>24</v>
      </c>
      <c r="G1855" s="34" t="s">
        <v>41</v>
      </c>
      <c r="H1855" s="35" t="s">
        <v>26</v>
      </c>
      <c r="I1855" s="35" t="s">
        <v>27</v>
      </c>
      <c r="J1855" s="57"/>
      <c r="K1855" s="57"/>
      <c r="L1855" s="84"/>
    </row>
    <row r="1856">
      <c r="A1856" s="32" t="s">
        <v>4954</v>
      </c>
      <c r="B1856" s="32" t="s">
        <v>4955</v>
      </c>
      <c r="C1856" s="33">
        <v>45912.0</v>
      </c>
      <c r="D1856" s="34" t="s">
        <v>22</v>
      </c>
      <c r="E1856" s="32" t="s">
        <v>4956</v>
      </c>
      <c r="F1856" s="34" t="s">
        <v>53</v>
      </c>
      <c r="G1856" s="34" t="s">
        <v>4957</v>
      </c>
      <c r="H1856" s="35" t="s">
        <v>26</v>
      </c>
      <c r="I1856" s="35" t="s">
        <v>27</v>
      </c>
      <c r="J1856" s="57"/>
      <c r="K1856" s="57"/>
      <c r="L1856" s="84"/>
    </row>
    <row r="1857">
      <c r="A1857" s="32" t="s">
        <v>4958</v>
      </c>
      <c r="B1857" s="32" t="s">
        <v>4959</v>
      </c>
      <c r="C1857" s="33">
        <v>45912.0</v>
      </c>
      <c r="D1857" s="34" t="s">
        <v>22</v>
      </c>
      <c r="E1857" s="32" t="s">
        <v>3585</v>
      </c>
      <c r="F1857" s="34" t="s">
        <v>24</v>
      </c>
      <c r="G1857" s="34" t="s">
        <v>514</v>
      </c>
      <c r="H1857" s="35" t="s">
        <v>26</v>
      </c>
      <c r="I1857" s="35" t="s">
        <v>27</v>
      </c>
      <c r="J1857" s="35" t="s">
        <v>100</v>
      </c>
      <c r="K1857" s="57"/>
      <c r="L1857" s="84"/>
    </row>
    <row r="1858">
      <c r="A1858" s="32" t="s">
        <v>4960</v>
      </c>
      <c r="B1858" s="32" t="s">
        <v>4961</v>
      </c>
      <c r="C1858" s="33">
        <v>45912.0</v>
      </c>
      <c r="D1858" s="34" t="s">
        <v>22</v>
      </c>
      <c r="E1858" s="32" t="s">
        <v>2056</v>
      </c>
      <c r="F1858" s="34" t="s">
        <v>24</v>
      </c>
      <c r="G1858" s="34" t="s">
        <v>1383</v>
      </c>
      <c r="H1858" s="35" t="s">
        <v>26</v>
      </c>
      <c r="I1858" s="35" t="s">
        <v>27</v>
      </c>
      <c r="J1858" s="35" t="s">
        <v>100</v>
      </c>
      <c r="K1858" s="57"/>
      <c r="L1858" s="84"/>
    </row>
    <row r="1859">
      <c r="A1859" s="32" t="s">
        <v>4962</v>
      </c>
      <c r="B1859" s="32" t="s">
        <v>4963</v>
      </c>
      <c r="C1859" s="33">
        <v>45912.0</v>
      </c>
      <c r="D1859" s="47" t="s">
        <v>22</v>
      </c>
      <c r="E1859" s="32" t="s">
        <v>895</v>
      </c>
      <c r="F1859" s="34" t="s">
        <v>156</v>
      </c>
      <c r="G1859" s="34" t="s">
        <v>510</v>
      </c>
      <c r="H1859" s="35" t="s">
        <v>26</v>
      </c>
      <c r="I1859" s="35" t="s">
        <v>27</v>
      </c>
      <c r="J1859" s="35" t="s">
        <v>100</v>
      </c>
      <c r="K1859" s="57"/>
      <c r="L1859" s="84"/>
    </row>
    <row r="1860">
      <c r="A1860" s="32" t="s">
        <v>4964</v>
      </c>
      <c r="B1860" s="32" t="s">
        <v>4965</v>
      </c>
      <c r="C1860" s="33">
        <v>45912.0</v>
      </c>
      <c r="D1860" s="34" t="s">
        <v>22</v>
      </c>
      <c r="E1860" s="32" t="s">
        <v>4966</v>
      </c>
      <c r="F1860" s="34" t="s">
        <v>53</v>
      </c>
      <c r="G1860" s="34" t="s">
        <v>627</v>
      </c>
      <c r="H1860" s="35" t="s">
        <v>26</v>
      </c>
      <c r="I1860" s="35" t="s">
        <v>27</v>
      </c>
      <c r="J1860" s="57"/>
      <c r="K1860" s="57"/>
      <c r="L1860" s="84"/>
    </row>
    <row r="1861">
      <c r="A1861" s="32" t="s">
        <v>4967</v>
      </c>
      <c r="B1861" s="32" t="s">
        <v>4968</v>
      </c>
      <c r="C1861" s="33">
        <v>45912.0</v>
      </c>
      <c r="D1861" s="34" t="s">
        <v>22</v>
      </c>
      <c r="E1861" s="32" t="s">
        <v>73</v>
      </c>
      <c r="F1861" s="34" t="s">
        <v>24</v>
      </c>
      <c r="G1861" s="34" t="s">
        <v>32</v>
      </c>
      <c r="H1861" s="35" t="s">
        <v>26</v>
      </c>
      <c r="I1861" s="35" t="s">
        <v>27</v>
      </c>
      <c r="J1861" s="35" t="s">
        <v>100</v>
      </c>
      <c r="K1861" s="57"/>
      <c r="L1861" s="84"/>
    </row>
    <row r="1862">
      <c r="A1862" s="32" t="s">
        <v>4491</v>
      </c>
      <c r="B1862" s="32" t="s">
        <v>4969</v>
      </c>
      <c r="C1862" s="33">
        <v>45912.0</v>
      </c>
      <c r="D1862" s="47" t="s">
        <v>22</v>
      </c>
      <c r="E1862" s="32" t="s">
        <v>4970</v>
      </c>
      <c r="F1862" s="34" t="s">
        <v>31</v>
      </c>
      <c r="G1862" s="34" t="s">
        <v>218</v>
      </c>
      <c r="H1862" s="35" t="s">
        <v>26</v>
      </c>
      <c r="I1862" s="57"/>
      <c r="J1862" s="57"/>
      <c r="K1862" s="57"/>
      <c r="L1862" s="84"/>
    </row>
    <row r="1863">
      <c r="A1863" s="32" t="s">
        <v>4971</v>
      </c>
      <c r="B1863" s="32" t="s">
        <v>4972</v>
      </c>
      <c r="C1863" s="33">
        <v>45912.0</v>
      </c>
      <c r="D1863" s="47" t="s">
        <v>39</v>
      </c>
      <c r="E1863" s="32" t="s">
        <v>436</v>
      </c>
      <c r="F1863" s="34" t="s">
        <v>24</v>
      </c>
      <c r="G1863" s="34" t="s">
        <v>231</v>
      </c>
      <c r="H1863" s="35" t="s">
        <v>26</v>
      </c>
      <c r="I1863" s="35" t="s">
        <v>27</v>
      </c>
      <c r="J1863" s="57"/>
      <c r="K1863" s="57"/>
      <c r="L1863" s="84"/>
    </row>
    <row r="1864">
      <c r="A1864" s="32" t="s">
        <v>4973</v>
      </c>
      <c r="B1864" s="32" t="s">
        <v>4973</v>
      </c>
      <c r="C1864" s="33">
        <v>45915.0</v>
      </c>
      <c r="D1864" s="47" t="s">
        <v>22</v>
      </c>
      <c r="E1864" s="32" t="s">
        <v>473</v>
      </c>
      <c r="F1864" s="34" t="s">
        <v>24</v>
      </c>
      <c r="G1864" s="34" t="s">
        <v>868</v>
      </c>
      <c r="H1864" s="35" t="s">
        <v>26</v>
      </c>
      <c r="I1864" s="36" t="str">
        <f>HYPERLINK("https://open.spotify.com/album/7EskSOT0oAy5e4wiQXC9ts", "S")</f>
        <v>S</v>
      </c>
      <c r="J1864" s="106"/>
      <c r="K1864" s="57"/>
      <c r="L1864" s="84"/>
    </row>
    <row r="1865">
      <c r="A1865" s="32" t="s">
        <v>2726</v>
      </c>
      <c r="B1865" s="32" t="s">
        <v>4974</v>
      </c>
      <c r="C1865" s="33">
        <v>45915.0</v>
      </c>
      <c r="D1865" s="34" t="s">
        <v>22</v>
      </c>
      <c r="E1865" s="32" t="s">
        <v>374</v>
      </c>
      <c r="F1865" s="34" t="s">
        <v>24</v>
      </c>
      <c r="G1865" s="34" t="s">
        <v>336</v>
      </c>
      <c r="H1865" s="35" t="s">
        <v>26</v>
      </c>
      <c r="I1865" s="57"/>
      <c r="J1865" s="57"/>
      <c r="K1865" s="57"/>
      <c r="L1865" s="84"/>
    </row>
    <row r="1866">
      <c r="A1866" s="32" t="s">
        <v>2726</v>
      </c>
      <c r="B1866" s="32" t="s">
        <v>4975</v>
      </c>
      <c r="C1866" s="33">
        <v>45915.0</v>
      </c>
      <c r="D1866" s="34" t="s">
        <v>22</v>
      </c>
      <c r="E1866" s="32" t="s">
        <v>374</v>
      </c>
      <c r="F1866" s="34" t="s">
        <v>24</v>
      </c>
      <c r="G1866" s="34" t="s">
        <v>336</v>
      </c>
      <c r="H1866" s="35" t="s">
        <v>26</v>
      </c>
      <c r="I1866" s="57"/>
      <c r="J1866" s="57"/>
      <c r="K1866" s="57"/>
      <c r="L1866" s="84"/>
    </row>
    <row r="1867">
      <c r="A1867" s="32" t="s">
        <v>4976</v>
      </c>
      <c r="B1867" s="32" t="s">
        <v>4977</v>
      </c>
      <c r="C1867" s="33">
        <v>45915.0</v>
      </c>
      <c r="D1867" s="34" t="s">
        <v>22</v>
      </c>
      <c r="E1867" s="32" t="s">
        <v>4978</v>
      </c>
      <c r="F1867" s="34" t="s">
        <v>24</v>
      </c>
      <c r="G1867" s="34" t="s">
        <v>1453</v>
      </c>
      <c r="H1867" s="35" t="s">
        <v>26</v>
      </c>
      <c r="I1867" s="36" t="str">
        <f>HYPERLINK("https://open.spotify.com/album/5JjlO7sk1SrhRF2eJRRkKf", "S")</f>
        <v>S</v>
      </c>
      <c r="J1867" s="57"/>
      <c r="K1867" s="57"/>
      <c r="L1867" s="84"/>
    </row>
    <row r="1868">
      <c r="A1868" s="32" t="s">
        <v>4979</v>
      </c>
      <c r="B1868" s="32" t="s">
        <v>4980</v>
      </c>
      <c r="C1868" s="33">
        <v>45915.0</v>
      </c>
      <c r="D1868" s="34" t="s">
        <v>39</v>
      </c>
      <c r="E1868" s="32" t="s">
        <v>1089</v>
      </c>
      <c r="F1868" s="34" t="s">
        <v>24</v>
      </c>
      <c r="G1868" s="34" t="s">
        <v>4981</v>
      </c>
      <c r="H1868" s="35" t="s">
        <v>26</v>
      </c>
      <c r="I1868" s="36" t="str">
        <f>HYPERLINK("https://open.spotify.com/album/1Myu8kwICPGAZUZePJOofY", "S")</f>
        <v>S</v>
      </c>
      <c r="J1868" s="57"/>
      <c r="K1868" s="57"/>
      <c r="L1868" s="84"/>
    </row>
    <row r="1869">
      <c r="A1869" s="32" t="s">
        <v>4982</v>
      </c>
      <c r="B1869" s="32" t="s">
        <v>4983</v>
      </c>
      <c r="C1869" s="33">
        <v>45915.0</v>
      </c>
      <c r="D1869" s="34" t="s">
        <v>22</v>
      </c>
      <c r="E1869" s="32" t="s">
        <v>1089</v>
      </c>
      <c r="F1869" s="34" t="s">
        <v>24</v>
      </c>
      <c r="G1869" s="34" t="s">
        <v>257</v>
      </c>
      <c r="H1869" s="35" t="s">
        <v>26</v>
      </c>
      <c r="I1869" s="35" t="s">
        <v>27</v>
      </c>
      <c r="J1869" s="57"/>
      <c r="K1869" s="57"/>
      <c r="L1869" s="84"/>
    </row>
    <row r="1870">
      <c r="A1870" s="32" t="s">
        <v>4984</v>
      </c>
      <c r="B1870" s="32" t="s">
        <v>4985</v>
      </c>
      <c r="C1870" s="33">
        <v>45916.0</v>
      </c>
      <c r="D1870" s="34" t="s">
        <v>22</v>
      </c>
      <c r="E1870" s="32" t="s">
        <v>1031</v>
      </c>
      <c r="F1870" s="34" t="s">
        <v>156</v>
      </c>
      <c r="G1870" s="34" t="s">
        <v>257</v>
      </c>
      <c r="H1870" s="35" t="s">
        <v>26</v>
      </c>
      <c r="I1870" s="57"/>
      <c r="J1870" s="57"/>
      <c r="K1870" s="57"/>
      <c r="L1870" s="84"/>
    </row>
    <row r="1871">
      <c r="A1871" s="32" t="s">
        <v>4986</v>
      </c>
      <c r="B1871" s="32" t="s">
        <v>4987</v>
      </c>
      <c r="C1871" s="33">
        <v>45916.0</v>
      </c>
      <c r="D1871" s="34" t="s">
        <v>22</v>
      </c>
      <c r="E1871" s="32" t="s">
        <v>4988</v>
      </c>
      <c r="F1871" s="34" t="s">
        <v>24</v>
      </c>
      <c r="G1871" s="34" t="s">
        <v>4214</v>
      </c>
      <c r="H1871" s="35" t="s">
        <v>26</v>
      </c>
      <c r="I1871" s="36" t="str">
        <f>HYPERLINK("https://open.spotify.com/album/5EYTidZKeuUSMo62Pmz8IQ", "S")</f>
        <v>S</v>
      </c>
      <c r="J1871" s="57"/>
      <c r="K1871" s="57"/>
      <c r="L1871" s="84"/>
    </row>
    <row r="1872">
      <c r="A1872" s="32" t="s">
        <v>4989</v>
      </c>
      <c r="B1872" s="32" t="s">
        <v>4989</v>
      </c>
      <c r="C1872" s="33">
        <v>45916.0</v>
      </c>
      <c r="D1872" s="47" t="s">
        <v>22</v>
      </c>
      <c r="E1872" s="32" t="s">
        <v>4990</v>
      </c>
      <c r="F1872" s="34" t="s">
        <v>156</v>
      </c>
      <c r="G1872" s="34" t="s">
        <v>1070</v>
      </c>
      <c r="H1872" s="35" t="s">
        <v>26</v>
      </c>
      <c r="I1872" s="36" t="str">
        <f>HYPERLINK("https://open.spotify.com/album/41LgCc1UWJydfjIyGBf3BX", "S")</f>
        <v>S</v>
      </c>
      <c r="J1872" s="57"/>
      <c r="K1872" s="57"/>
      <c r="L1872" s="84"/>
    </row>
    <row r="1873">
      <c r="A1873" s="32" t="s">
        <v>4991</v>
      </c>
      <c r="B1873" s="32" t="s">
        <v>4992</v>
      </c>
      <c r="C1873" s="33">
        <v>45916.0</v>
      </c>
      <c r="D1873" s="47" t="s">
        <v>22</v>
      </c>
      <c r="E1873" s="32" t="s">
        <v>136</v>
      </c>
      <c r="F1873" s="34" t="s">
        <v>53</v>
      </c>
      <c r="G1873" s="34" t="s">
        <v>54</v>
      </c>
      <c r="H1873" s="35" t="s">
        <v>26</v>
      </c>
      <c r="I1873" s="36" t="str">
        <f>HYPERLINK("https://open.spotify.com/album/0QaFgQr4TBs2Td4l23PugU", "S")</f>
        <v>S</v>
      </c>
      <c r="J1873" s="57"/>
      <c r="K1873" s="57"/>
      <c r="L1873" s="84"/>
    </row>
    <row r="1874">
      <c r="A1874" s="32" t="s">
        <v>4993</v>
      </c>
      <c r="B1874" s="32" t="s">
        <v>4994</v>
      </c>
      <c r="C1874" s="33">
        <v>45916.0</v>
      </c>
      <c r="D1874" s="34" t="s">
        <v>22</v>
      </c>
      <c r="E1874" s="32" t="s">
        <v>737</v>
      </c>
      <c r="F1874" s="34" t="s">
        <v>24</v>
      </c>
      <c r="G1874" s="34" t="s">
        <v>2345</v>
      </c>
      <c r="H1874" s="35" t="s">
        <v>26</v>
      </c>
      <c r="I1874" s="36" t="str">
        <f>HYPERLINK("https://open.spotify.com/album/3CqLi5c2wGBZu9hUzWZEUL", "S")</f>
        <v>S</v>
      </c>
      <c r="J1874" s="57"/>
      <c r="K1874" s="57"/>
      <c r="L1874" s="84"/>
    </row>
    <row r="1875">
      <c r="A1875" s="32" t="s">
        <v>4995</v>
      </c>
      <c r="B1875" s="32" t="s">
        <v>4996</v>
      </c>
      <c r="C1875" s="33">
        <v>45917.0</v>
      </c>
      <c r="D1875" s="34" t="s">
        <v>22</v>
      </c>
      <c r="E1875" s="32" t="s">
        <v>160</v>
      </c>
      <c r="F1875" s="34" t="s">
        <v>24</v>
      </c>
      <c r="G1875" s="34" t="s">
        <v>561</v>
      </c>
      <c r="H1875" s="35" t="s">
        <v>26</v>
      </c>
      <c r="I1875" s="57"/>
      <c r="J1875" s="57"/>
      <c r="K1875" s="57"/>
      <c r="L1875" s="84"/>
    </row>
    <row r="1876">
      <c r="A1876" s="32" t="s">
        <v>4997</v>
      </c>
      <c r="B1876" s="32" t="s">
        <v>4998</v>
      </c>
      <c r="C1876" s="33">
        <v>45917.0</v>
      </c>
      <c r="D1876" s="34" t="s">
        <v>22</v>
      </c>
      <c r="E1876" s="32" t="s">
        <v>126</v>
      </c>
      <c r="F1876" s="34" t="s">
        <v>53</v>
      </c>
      <c r="G1876" s="34" t="s">
        <v>2363</v>
      </c>
      <c r="H1876" s="35" t="s">
        <v>26</v>
      </c>
      <c r="I1876" s="57"/>
      <c r="J1876" s="57"/>
      <c r="K1876" s="57"/>
      <c r="L1876" s="84"/>
    </row>
    <row r="1877">
      <c r="A1877" s="32" t="s">
        <v>4999</v>
      </c>
      <c r="B1877" s="32" t="s">
        <v>5000</v>
      </c>
      <c r="C1877" s="33">
        <v>45917.0</v>
      </c>
      <c r="D1877" s="34" t="s">
        <v>22</v>
      </c>
      <c r="E1877" s="32" t="s">
        <v>4388</v>
      </c>
      <c r="F1877" s="34" t="s">
        <v>24</v>
      </c>
      <c r="G1877" s="34" t="s">
        <v>702</v>
      </c>
      <c r="H1877" s="35" t="s">
        <v>26</v>
      </c>
      <c r="I1877" s="35" t="s">
        <v>27</v>
      </c>
      <c r="J1877" s="57"/>
      <c r="K1877" s="57"/>
      <c r="L1877" s="84"/>
    </row>
    <row r="1878">
      <c r="A1878" s="32" t="s">
        <v>5001</v>
      </c>
      <c r="B1878" s="32" t="s">
        <v>5002</v>
      </c>
      <c r="C1878" s="33">
        <v>45917.0</v>
      </c>
      <c r="D1878" s="47" t="s">
        <v>22</v>
      </c>
      <c r="E1878" s="32" t="s">
        <v>5003</v>
      </c>
      <c r="F1878" s="34" t="s">
        <v>24</v>
      </c>
      <c r="G1878" s="34" t="s">
        <v>693</v>
      </c>
      <c r="H1878" s="35" t="s">
        <v>26</v>
      </c>
      <c r="I1878" s="57"/>
      <c r="J1878" s="57"/>
      <c r="K1878" s="57"/>
      <c r="L1878" s="84"/>
    </row>
    <row r="1879">
      <c r="A1879" s="32" t="s">
        <v>5004</v>
      </c>
      <c r="B1879" s="32" t="s">
        <v>5005</v>
      </c>
      <c r="C1879" s="33">
        <v>45919.0</v>
      </c>
      <c r="D1879" s="34" t="s">
        <v>22</v>
      </c>
      <c r="E1879" s="32" t="s">
        <v>1717</v>
      </c>
      <c r="F1879" s="34" t="s">
        <v>24</v>
      </c>
      <c r="G1879" s="34" t="s">
        <v>1104</v>
      </c>
      <c r="H1879" s="35" t="s">
        <v>26</v>
      </c>
      <c r="I1879" s="35" t="s">
        <v>27</v>
      </c>
      <c r="J1879" s="57"/>
      <c r="K1879" s="57"/>
      <c r="L1879" s="84"/>
    </row>
    <row r="1880">
      <c r="A1880" s="32" t="s">
        <v>5006</v>
      </c>
      <c r="B1880" s="32" t="s">
        <v>5007</v>
      </c>
      <c r="C1880" s="33">
        <v>45919.0</v>
      </c>
      <c r="D1880" s="34" t="s">
        <v>22</v>
      </c>
      <c r="E1880" s="32" t="s">
        <v>321</v>
      </c>
      <c r="F1880" s="34" t="s">
        <v>156</v>
      </c>
      <c r="G1880" s="34" t="s">
        <v>5008</v>
      </c>
      <c r="H1880" s="35" t="s">
        <v>26</v>
      </c>
      <c r="I1880" s="35" t="s">
        <v>27</v>
      </c>
      <c r="J1880" s="35" t="s">
        <v>100</v>
      </c>
      <c r="K1880" s="57"/>
      <c r="L1880" s="84"/>
    </row>
    <row r="1881">
      <c r="A1881" s="32" t="s">
        <v>5009</v>
      </c>
      <c r="B1881" s="32" t="s">
        <v>5010</v>
      </c>
      <c r="C1881" s="33">
        <v>45919.0</v>
      </c>
      <c r="D1881" s="34" t="s">
        <v>22</v>
      </c>
      <c r="E1881" s="32" t="s">
        <v>5011</v>
      </c>
      <c r="F1881" s="34" t="s">
        <v>24</v>
      </c>
      <c r="G1881" s="34" t="s">
        <v>225</v>
      </c>
      <c r="H1881" s="35" t="s">
        <v>26</v>
      </c>
      <c r="I1881" s="35" t="s">
        <v>27</v>
      </c>
      <c r="J1881" s="57"/>
      <c r="K1881" s="57"/>
      <c r="L1881" s="84"/>
    </row>
    <row r="1882">
      <c r="A1882" s="32" t="s">
        <v>5012</v>
      </c>
      <c r="B1882" s="32" t="s">
        <v>5013</v>
      </c>
      <c r="C1882" s="33">
        <v>45919.0</v>
      </c>
      <c r="D1882" s="34" t="s">
        <v>39</v>
      </c>
      <c r="E1882" s="32" t="s">
        <v>2805</v>
      </c>
      <c r="F1882" s="34" t="s">
        <v>24</v>
      </c>
      <c r="G1882" s="34" t="s">
        <v>1583</v>
      </c>
      <c r="H1882" s="35" t="s">
        <v>26</v>
      </c>
      <c r="I1882" s="35" t="s">
        <v>27</v>
      </c>
      <c r="J1882" s="57"/>
      <c r="K1882" s="57"/>
      <c r="L1882" s="84"/>
    </row>
    <row r="1883">
      <c r="A1883" s="32" t="s">
        <v>5014</v>
      </c>
      <c r="B1883" s="32" t="s">
        <v>5015</v>
      </c>
      <c r="C1883" s="33">
        <v>45919.0</v>
      </c>
      <c r="D1883" s="34" t="s">
        <v>22</v>
      </c>
      <c r="E1883" s="32" t="s">
        <v>5016</v>
      </c>
      <c r="F1883" s="34" t="s">
        <v>53</v>
      </c>
      <c r="G1883" s="34" t="s">
        <v>54</v>
      </c>
      <c r="H1883" s="35" t="s">
        <v>26</v>
      </c>
      <c r="I1883" s="35" t="s">
        <v>27</v>
      </c>
      <c r="J1883" s="57"/>
      <c r="K1883" s="57"/>
      <c r="L1883" s="84"/>
    </row>
    <row r="1884">
      <c r="A1884" s="32" t="s">
        <v>5017</v>
      </c>
      <c r="B1884" s="32" t="s">
        <v>5018</v>
      </c>
      <c r="C1884" s="33">
        <v>45919.0</v>
      </c>
      <c r="D1884" s="47" t="s">
        <v>22</v>
      </c>
      <c r="E1884" s="32" t="s">
        <v>1519</v>
      </c>
      <c r="F1884" s="34" t="s">
        <v>24</v>
      </c>
      <c r="G1884" s="34" t="s">
        <v>5019</v>
      </c>
      <c r="H1884" s="35" t="s">
        <v>26</v>
      </c>
      <c r="I1884" s="35" t="s">
        <v>27</v>
      </c>
      <c r="J1884" s="35" t="s">
        <v>100</v>
      </c>
      <c r="K1884" s="57"/>
      <c r="L1884" s="84"/>
    </row>
    <row r="1885">
      <c r="A1885" s="32" t="s">
        <v>5020</v>
      </c>
      <c r="B1885" s="32" t="s">
        <v>5021</v>
      </c>
      <c r="C1885" s="33">
        <v>45919.0</v>
      </c>
      <c r="D1885" s="69" t="s">
        <v>22</v>
      </c>
      <c r="E1885" s="32" t="s">
        <v>5022</v>
      </c>
      <c r="F1885" s="34" t="s">
        <v>156</v>
      </c>
      <c r="G1885" s="34" t="s">
        <v>96</v>
      </c>
      <c r="H1885" s="66"/>
      <c r="I1885" s="35" t="s">
        <v>27</v>
      </c>
      <c r="J1885" s="35" t="s">
        <v>100</v>
      </c>
      <c r="K1885" s="57"/>
      <c r="L1885" s="84"/>
    </row>
    <row r="1886">
      <c r="A1886" s="32" t="s">
        <v>5023</v>
      </c>
      <c r="B1886" s="32" t="s">
        <v>5024</v>
      </c>
      <c r="C1886" s="33">
        <v>45919.0</v>
      </c>
      <c r="D1886" s="34" t="s">
        <v>22</v>
      </c>
      <c r="E1886" s="32" t="s">
        <v>1301</v>
      </c>
      <c r="F1886" s="34" t="s">
        <v>24</v>
      </c>
      <c r="G1886" s="34" t="s">
        <v>2915</v>
      </c>
      <c r="H1886" s="35" t="s">
        <v>26</v>
      </c>
      <c r="I1886" s="35" t="s">
        <v>27</v>
      </c>
      <c r="J1886" s="35" t="s">
        <v>100</v>
      </c>
      <c r="K1886" s="57"/>
      <c r="L1886" s="84"/>
    </row>
    <row r="1887">
      <c r="A1887" s="32" t="s">
        <v>5025</v>
      </c>
      <c r="B1887" s="32" t="s">
        <v>5026</v>
      </c>
      <c r="C1887" s="33">
        <v>45919.0</v>
      </c>
      <c r="D1887" s="34" t="s">
        <v>22</v>
      </c>
      <c r="E1887" s="32" t="s">
        <v>5027</v>
      </c>
      <c r="F1887" s="34" t="s">
        <v>24</v>
      </c>
      <c r="G1887" s="34" t="s">
        <v>1856</v>
      </c>
      <c r="H1887" s="35" t="s">
        <v>26</v>
      </c>
      <c r="I1887" s="35" t="s">
        <v>27</v>
      </c>
      <c r="J1887" s="57"/>
      <c r="K1887" s="57"/>
      <c r="L1887" s="84"/>
    </row>
    <row r="1888">
      <c r="A1888" s="32" t="s">
        <v>5028</v>
      </c>
      <c r="B1888" s="32" t="s">
        <v>5029</v>
      </c>
      <c r="C1888" s="33">
        <v>45919.0</v>
      </c>
      <c r="D1888" s="69" t="s">
        <v>22</v>
      </c>
      <c r="E1888" s="32" t="s">
        <v>1150</v>
      </c>
      <c r="F1888" s="34" t="s">
        <v>24</v>
      </c>
      <c r="G1888" s="34" t="s">
        <v>5030</v>
      </c>
      <c r="H1888" s="35" t="s">
        <v>26</v>
      </c>
      <c r="I1888" s="34"/>
      <c r="J1888" s="57"/>
      <c r="K1888" s="57"/>
      <c r="L1888" s="84"/>
    </row>
    <row r="1889">
      <c r="A1889" s="32" t="s">
        <v>5031</v>
      </c>
      <c r="B1889" s="32" t="s">
        <v>5032</v>
      </c>
      <c r="C1889" s="33">
        <v>45919.0</v>
      </c>
      <c r="D1889" s="34" t="s">
        <v>22</v>
      </c>
      <c r="E1889" s="32" t="s">
        <v>5033</v>
      </c>
      <c r="F1889" s="34" t="s">
        <v>24</v>
      </c>
      <c r="G1889" s="34" t="s">
        <v>892</v>
      </c>
      <c r="H1889" s="35" t="s">
        <v>26</v>
      </c>
      <c r="I1889" s="35" t="s">
        <v>27</v>
      </c>
      <c r="J1889" s="35" t="s">
        <v>100</v>
      </c>
      <c r="K1889" s="57"/>
      <c r="L1889" s="84"/>
    </row>
    <row r="1890">
      <c r="A1890" s="32" t="s">
        <v>5034</v>
      </c>
      <c r="B1890" s="32" t="s">
        <v>5035</v>
      </c>
      <c r="C1890" s="33">
        <v>45919.0</v>
      </c>
      <c r="D1890" s="34" t="s">
        <v>22</v>
      </c>
      <c r="E1890" s="32" t="s">
        <v>632</v>
      </c>
      <c r="F1890" s="34" t="s">
        <v>24</v>
      </c>
      <c r="G1890" s="34" t="s">
        <v>2902</v>
      </c>
      <c r="H1890" s="35" t="s">
        <v>26</v>
      </c>
      <c r="I1890" s="35" t="s">
        <v>27</v>
      </c>
      <c r="J1890" s="57"/>
      <c r="K1890" s="57"/>
      <c r="L1890" s="84"/>
    </row>
    <row r="1891">
      <c r="A1891" s="32" t="s">
        <v>5036</v>
      </c>
      <c r="B1891" s="32" t="s">
        <v>5037</v>
      </c>
      <c r="C1891" s="33">
        <v>45919.0</v>
      </c>
      <c r="D1891" s="34" t="s">
        <v>22</v>
      </c>
      <c r="E1891" s="32" t="s">
        <v>945</v>
      </c>
      <c r="F1891" s="34" t="s">
        <v>53</v>
      </c>
      <c r="G1891" s="34" t="s">
        <v>2544</v>
      </c>
      <c r="H1891" s="35" t="s">
        <v>26</v>
      </c>
      <c r="I1891" s="35" t="s">
        <v>27</v>
      </c>
      <c r="J1891" s="57"/>
      <c r="K1891" s="57"/>
      <c r="L1891" s="84"/>
    </row>
    <row r="1892">
      <c r="A1892" s="32" t="s">
        <v>5038</v>
      </c>
      <c r="B1892" s="32" t="s">
        <v>5039</v>
      </c>
      <c r="C1892" s="33">
        <v>45919.0</v>
      </c>
      <c r="D1892" s="34" t="s">
        <v>39</v>
      </c>
      <c r="E1892" s="32" t="s">
        <v>3523</v>
      </c>
      <c r="F1892" s="34" t="s">
        <v>24</v>
      </c>
      <c r="G1892" s="34" t="s">
        <v>1808</v>
      </c>
      <c r="H1892" s="35" t="s">
        <v>26</v>
      </c>
      <c r="I1892" s="35" t="s">
        <v>27</v>
      </c>
      <c r="J1892" s="57"/>
      <c r="K1892" s="57"/>
      <c r="L1892" s="84"/>
    </row>
    <row r="1893">
      <c r="A1893" s="32" t="s">
        <v>5040</v>
      </c>
      <c r="B1893" s="32" t="s">
        <v>5041</v>
      </c>
      <c r="C1893" s="33">
        <v>45919.0</v>
      </c>
      <c r="D1893" s="34" t="s">
        <v>22</v>
      </c>
      <c r="E1893" s="32" t="s">
        <v>5042</v>
      </c>
      <c r="F1893" s="34" t="s">
        <v>53</v>
      </c>
      <c r="G1893" s="34" t="s">
        <v>4877</v>
      </c>
      <c r="H1893" s="35" t="s">
        <v>26</v>
      </c>
      <c r="I1893" s="35" t="s">
        <v>27</v>
      </c>
      <c r="J1893" s="35" t="s">
        <v>100</v>
      </c>
      <c r="K1893" s="57"/>
      <c r="L1893" s="84"/>
    </row>
    <row r="1894">
      <c r="A1894" s="32" t="s">
        <v>5043</v>
      </c>
      <c r="B1894" s="32" t="s">
        <v>5044</v>
      </c>
      <c r="C1894" s="33">
        <v>45919.0</v>
      </c>
      <c r="D1894" s="34" t="s">
        <v>22</v>
      </c>
      <c r="E1894" s="32" t="s">
        <v>176</v>
      </c>
      <c r="F1894" s="34" t="s">
        <v>156</v>
      </c>
      <c r="G1894" s="34" t="s">
        <v>1566</v>
      </c>
      <c r="H1894" s="35" t="s">
        <v>26</v>
      </c>
      <c r="I1894" s="35" t="s">
        <v>27</v>
      </c>
      <c r="J1894" s="57"/>
      <c r="K1894" s="57"/>
      <c r="L1894" s="84"/>
    </row>
    <row r="1895">
      <c r="A1895" s="32" t="s">
        <v>5045</v>
      </c>
      <c r="B1895" s="32" t="s">
        <v>29</v>
      </c>
      <c r="C1895" s="33">
        <v>45919.0</v>
      </c>
      <c r="D1895" s="34" t="s">
        <v>22</v>
      </c>
      <c r="E1895" s="32" t="s">
        <v>5046</v>
      </c>
      <c r="F1895" s="34" t="s">
        <v>53</v>
      </c>
      <c r="G1895" s="34" t="s">
        <v>5047</v>
      </c>
      <c r="H1895" s="35" t="s">
        <v>26</v>
      </c>
      <c r="I1895" s="35" t="s">
        <v>27</v>
      </c>
      <c r="J1895" s="57"/>
      <c r="K1895" s="57"/>
      <c r="L1895" s="84"/>
    </row>
    <row r="1896">
      <c r="A1896" s="32" t="s">
        <v>5048</v>
      </c>
      <c r="B1896" s="32" t="s">
        <v>5049</v>
      </c>
      <c r="C1896" s="33">
        <v>45919.0</v>
      </c>
      <c r="D1896" s="34" t="s">
        <v>39</v>
      </c>
      <c r="E1896" s="32" t="s">
        <v>4682</v>
      </c>
      <c r="F1896" s="34" t="s">
        <v>24</v>
      </c>
      <c r="G1896" s="34" t="s">
        <v>231</v>
      </c>
      <c r="H1896" s="35" t="s">
        <v>26</v>
      </c>
      <c r="I1896" s="35" t="s">
        <v>27</v>
      </c>
      <c r="J1896" s="35" t="s">
        <v>100</v>
      </c>
      <c r="K1896" s="57"/>
      <c r="L1896" s="84"/>
    </row>
    <row r="1897">
      <c r="A1897" s="32" t="s">
        <v>5050</v>
      </c>
      <c r="B1897" s="32" t="s">
        <v>5051</v>
      </c>
      <c r="C1897" s="33">
        <v>45919.0</v>
      </c>
      <c r="D1897" s="34" t="s">
        <v>22</v>
      </c>
      <c r="E1897" s="32" t="s">
        <v>5052</v>
      </c>
      <c r="F1897" s="34" t="s">
        <v>53</v>
      </c>
      <c r="G1897" s="34" t="s">
        <v>202</v>
      </c>
      <c r="H1897" s="35" t="s">
        <v>26</v>
      </c>
      <c r="I1897" s="35" t="s">
        <v>27</v>
      </c>
      <c r="J1897" s="57"/>
      <c r="K1897" s="57"/>
      <c r="L1897" s="84"/>
    </row>
    <row r="1898">
      <c r="A1898" s="32" t="s">
        <v>5053</v>
      </c>
      <c r="B1898" s="32" t="s">
        <v>5054</v>
      </c>
      <c r="C1898" s="33">
        <v>45919.0</v>
      </c>
      <c r="D1898" s="34" t="s">
        <v>22</v>
      </c>
      <c r="E1898" s="32" t="s">
        <v>61</v>
      </c>
      <c r="F1898" s="34" t="s">
        <v>24</v>
      </c>
      <c r="G1898" s="34" t="s">
        <v>5055</v>
      </c>
      <c r="H1898" s="35" t="s">
        <v>26</v>
      </c>
      <c r="I1898" s="35" t="s">
        <v>27</v>
      </c>
      <c r="J1898" s="35" t="s">
        <v>100</v>
      </c>
      <c r="K1898" s="57"/>
      <c r="L1898" s="84"/>
    </row>
    <row r="1899">
      <c r="A1899" s="32" t="s">
        <v>5056</v>
      </c>
      <c r="B1899" s="32" t="s">
        <v>3884</v>
      </c>
      <c r="C1899" s="33">
        <v>45919.0</v>
      </c>
      <c r="D1899" s="34" t="s">
        <v>22</v>
      </c>
      <c r="E1899" s="32" t="s">
        <v>5057</v>
      </c>
      <c r="F1899" s="34" t="s">
        <v>53</v>
      </c>
      <c r="G1899" s="34" t="s">
        <v>292</v>
      </c>
      <c r="H1899" s="35" t="s">
        <v>26</v>
      </c>
      <c r="I1899" s="35" t="s">
        <v>27</v>
      </c>
      <c r="J1899" s="57"/>
      <c r="K1899" s="57"/>
      <c r="L1899" s="84"/>
    </row>
    <row r="1900">
      <c r="A1900" s="32" t="s">
        <v>43</v>
      </c>
      <c r="B1900" s="32" t="s">
        <v>43</v>
      </c>
      <c r="C1900" s="33">
        <v>45919.0</v>
      </c>
      <c r="D1900" s="34" t="s">
        <v>22</v>
      </c>
      <c r="E1900" s="32" t="s">
        <v>513</v>
      </c>
      <c r="F1900" s="34" t="s">
        <v>156</v>
      </c>
      <c r="G1900" s="34" t="s">
        <v>253</v>
      </c>
      <c r="H1900" s="35" t="s">
        <v>26</v>
      </c>
      <c r="I1900" s="35" t="s">
        <v>27</v>
      </c>
      <c r="J1900" s="57"/>
      <c r="K1900" s="57"/>
      <c r="L1900" s="84"/>
    </row>
    <row r="1901">
      <c r="A1901" s="32" t="s">
        <v>5058</v>
      </c>
      <c r="B1901" s="32" t="s">
        <v>5059</v>
      </c>
      <c r="C1901" s="33">
        <v>45919.0</v>
      </c>
      <c r="D1901" s="34" t="s">
        <v>22</v>
      </c>
      <c r="E1901" s="32" t="s">
        <v>4034</v>
      </c>
      <c r="F1901" s="34" t="s">
        <v>156</v>
      </c>
      <c r="G1901" s="34" t="s">
        <v>199</v>
      </c>
      <c r="H1901" s="35" t="s">
        <v>26</v>
      </c>
      <c r="I1901" s="35" t="s">
        <v>27</v>
      </c>
      <c r="J1901" s="57"/>
      <c r="K1901" s="57"/>
      <c r="L1901" s="84"/>
    </row>
    <row r="1902">
      <c r="A1902" s="32" t="s">
        <v>2739</v>
      </c>
      <c r="B1902" s="32" t="s">
        <v>5060</v>
      </c>
      <c r="C1902" s="33">
        <v>45919.0</v>
      </c>
      <c r="D1902" s="34" t="s">
        <v>22</v>
      </c>
      <c r="E1902" s="32" t="s">
        <v>1264</v>
      </c>
      <c r="F1902" s="34" t="s">
        <v>156</v>
      </c>
      <c r="G1902" s="34" t="s">
        <v>2081</v>
      </c>
      <c r="H1902" s="35" t="s">
        <v>26</v>
      </c>
      <c r="I1902" s="35" t="s">
        <v>27</v>
      </c>
      <c r="J1902" s="57"/>
      <c r="K1902" s="57"/>
      <c r="L1902" s="84"/>
    </row>
    <row r="1903">
      <c r="A1903" s="32" t="s">
        <v>5061</v>
      </c>
      <c r="B1903" s="32" t="s">
        <v>5062</v>
      </c>
      <c r="C1903" s="33">
        <v>45919.0</v>
      </c>
      <c r="D1903" s="34" t="s">
        <v>22</v>
      </c>
      <c r="E1903" s="32" t="s">
        <v>1038</v>
      </c>
      <c r="F1903" s="34" t="s">
        <v>24</v>
      </c>
      <c r="G1903" s="34" t="s">
        <v>5063</v>
      </c>
      <c r="H1903" s="35" t="s">
        <v>26</v>
      </c>
      <c r="I1903" s="35" t="s">
        <v>27</v>
      </c>
      <c r="J1903" s="57"/>
      <c r="K1903" s="57"/>
      <c r="L1903" s="84"/>
    </row>
    <row r="1904">
      <c r="A1904" s="32" t="s">
        <v>5064</v>
      </c>
      <c r="B1904" s="32" t="s">
        <v>5065</v>
      </c>
      <c r="C1904" s="33">
        <v>45919.0</v>
      </c>
      <c r="D1904" s="47" t="s">
        <v>22</v>
      </c>
      <c r="E1904" s="32" t="s">
        <v>2056</v>
      </c>
      <c r="F1904" s="34" t="s">
        <v>24</v>
      </c>
      <c r="G1904" s="34" t="s">
        <v>199</v>
      </c>
      <c r="H1904" s="35" t="s">
        <v>26</v>
      </c>
      <c r="I1904" s="35" t="s">
        <v>27</v>
      </c>
      <c r="J1904" s="57"/>
      <c r="K1904" s="57"/>
      <c r="L1904" s="84"/>
    </row>
    <row r="1905">
      <c r="A1905" s="32" t="s">
        <v>5066</v>
      </c>
      <c r="B1905" s="32" t="s">
        <v>5067</v>
      </c>
      <c r="C1905" s="33">
        <v>45919.0</v>
      </c>
      <c r="D1905" s="34" t="s">
        <v>22</v>
      </c>
      <c r="E1905" s="32" t="s">
        <v>5068</v>
      </c>
      <c r="F1905" s="34" t="s">
        <v>53</v>
      </c>
      <c r="G1905" s="34" t="s">
        <v>1092</v>
      </c>
      <c r="H1905" s="35" t="s">
        <v>26</v>
      </c>
      <c r="I1905" s="35" t="s">
        <v>27</v>
      </c>
      <c r="J1905" s="57"/>
      <c r="K1905" s="57"/>
      <c r="L1905" s="84"/>
    </row>
    <row r="1906">
      <c r="A1906" s="32" t="s">
        <v>5069</v>
      </c>
      <c r="B1906" s="32" t="s">
        <v>5070</v>
      </c>
      <c r="C1906" s="33">
        <v>45919.0</v>
      </c>
      <c r="D1906" s="34" t="s">
        <v>22</v>
      </c>
      <c r="E1906" s="32" t="s">
        <v>355</v>
      </c>
      <c r="F1906" s="34" t="s">
        <v>24</v>
      </c>
      <c r="G1906" s="34" t="s">
        <v>49</v>
      </c>
      <c r="H1906" s="35" t="s">
        <v>26</v>
      </c>
      <c r="I1906" s="35" t="s">
        <v>27</v>
      </c>
      <c r="J1906" s="35" t="s">
        <v>100</v>
      </c>
      <c r="K1906" s="57"/>
      <c r="L1906" s="84"/>
    </row>
    <row r="1907">
      <c r="A1907" s="32" t="s">
        <v>5071</v>
      </c>
      <c r="B1907" s="32" t="s">
        <v>5072</v>
      </c>
      <c r="C1907" s="33">
        <v>45919.0</v>
      </c>
      <c r="D1907" s="34" t="s">
        <v>22</v>
      </c>
      <c r="E1907" s="32" t="s">
        <v>1089</v>
      </c>
      <c r="F1907" s="34" t="s">
        <v>53</v>
      </c>
      <c r="G1907" s="34" t="s">
        <v>1012</v>
      </c>
      <c r="H1907" s="35" t="s">
        <v>26</v>
      </c>
      <c r="I1907" s="35" t="s">
        <v>27</v>
      </c>
      <c r="J1907" s="35" t="s">
        <v>100</v>
      </c>
      <c r="K1907" s="57"/>
      <c r="L1907" s="84"/>
    </row>
    <row r="1908">
      <c r="A1908" s="32" t="s">
        <v>5073</v>
      </c>
      <c r="B1908" s="32" t="s">
        <v>5074</v>
      </c>
      <c r="C1908" s="33">
        <v>45919.0</v>
      </c>
      <c r="D1908" s="34" t="s">
        <v>22</v>
      </c>
      <c r="E1908" s="32" t="s">
        <v>370</v>
      </c>
      <c r="F1908" s="34" t="s">
        <v>24</v>
      </c>
      <c r="G1908" s="34" t="s">
        <v>5075</v>
      </c>
      <c r="H1908" s="35" t="s">
        <v>26</v>
      </c>
      <c r="I1908" s="35" t="s">
        <v>27</v>
      </c>
      <c r="J1908" s="57"/>
      <c r="K1908" s="57"/>
      <c r="L1908" s="84"/>
    </row>
    <row r="1909">
      <c r="A1909" s="32" t="s">
        <v>5076</v>
      </c>
      <c r="B1909" s="32" t="s">
        <v>5077</v>
      </c>
      <c r="C1909" s="33">
        <v>45919.0</v>
      </c>
      <c r="D1909" s="34" t="s">
        <v>22</v>
      </c>
      <c r="E1909" s="32" t="s">
        <v>2338</v>
      </c>
      <c r="F1909" s="34" t="s">
        <v>24</v>
      </c>
      <c r="G1909" s="34" t="s">
        <v>629</v>
      </c>
      <c r="H1909" s="35" t="s">
        <v>26</v>
      </c>
      <c r="I1909" s="35" t="s">
        <v>27</v>
      </c>
      <c r="J1909" s="35" t="s">
        <v>100</v>
      </c>
      <c r="K1909" s="57"/>
      <c r="L1909" s="84"/>
    </row>
    <row r="1910">
      <c r="A1910" s="32" t="s">
        <v>5078</v>
      </c>
      <c r="B1910" s="32" t="s">
        <v>5079</v>
      </c>
      <c r="C1910" s="33">
        <v>45919.0</v>
      </c>
      <c r="D1910" s="34" t="s">
        <v>39</v>
      </c>
      <c r="E1910" s="32" t="s">
        <v>61</v>
      </c>
      <c r="F1910" s="34" t="s">
        <v>24</v>
      </c>
      <c r="G1910" s="34" t="s">
        <v>5080</v>
      </c>
      <c r="H1910" s="35" t="s">
        <v>26</v>
      </c>
      <c r="I1910" s="35" t="s">
        <v>27</v>
      </c>
      <c r="J1910" s="57"/>
      <c r="K1910" s="57"/>
      <c r="L1910" s="84"/>
    </row>
    <row r="1911">
      <c r="A1911" s="32" t="s">
        <v>5081</v>
      </c>
      <c r="B1911" s="32" t="s">
        <v>5082</v>
      </c>
      <c r="C1911" s="33">
        <v>45919.0</v>
      </c>
      <c r="D1911" s="34" t="s">
        <v>22</v>
      </c>
      <c r="E1911" s="32" t="s">
        <v>122</v>
      </c>
      <c r="F1911" s="34" t="s">
        <v>31</v>
      </c>
      <c r="G1911" s="34" t="s">
        <v>1340</v>
      </c>
      <c r="H1911" s="35" t="s">
        <v>26</v>
      </c>
      <c r="I1911" s="35" t="s">
        <v>27</v>
      </c>
      <c r="J1911" s="57"/>
      <c r="K1911" s="57"/>
      <c r="L1911" s="84"/>
    </row>
    <row r="1912">
      <c r="A1912" s="32" t="s">
        <v>5083</v>
      </c>
      <c r="B1912" s="32" t="s">
        <v>5084</v>
      </c>
      <c r="C1912" s="33">
        <v>45919.0</v>
      </c>
      <c r="D1912" s="34" t="s">
        <v>22</v>
      </c>
      <c r="E1912" s="32" t="s">
        <v>5085</v>
      </c>
      <c r="F1912" s="34" t="s">
        <v>53</v>
      </c>
      <c r="G1912" s="34" t="s">
        <v>437</v>
      </c>
      <c r="H1912" s="35" t="s">
        <v>26</v>
      </c>
      <c r="I1912" s="96" t="s">
        <v>27</v>
      </c>
      <c r="J1912" s="57"/>
      <c r="K1912" s="57"/>
      <c r="L1912" s="84"/>
    </row>
    <row r="1913">
      <c r="A1913" s="32" t="s">
        <v>5086</v>
      </c>
      <c r="B1913" s="32" t="s">
        <v>5087</v>
      </c>
      <c r="C1913" s="33">
        <v>45919.0</v>
      </c>
      <c r="D1913" s="34" t="s">
        <v>22</v>
      </c>
      <c r="E1913" s="32" t="s">
        <v>73</v>
      </c>
      <c r="F1913" s="34" t="s">
        <v>24</v>
      </c>
      <c r="G1913" s="34" t="s">
        <v>54</v>
      </c>
      <c r="H1913" s="66"/>
      <c r="I1913" s="35" t="s">
        <v>27</v>
      </c>
      <c r="J1913" s="57"/>
      <c r="K1913" s="57"/>
      <c r="L1913" s="84"/>
    </row>
    <row r="1914">
      <c r="A1914" s="32" t="s">
        <v>5088</v>
      </c>
      <c r="B1914" s="32" t="s">
        <v>5089</v>
      </c>
      <c r="C1914" s="33">
        <v>45919.0</v>
      </c>
      <c r="D1914" s="34" t="s">
        <v>22</v>
      </c>
      <c r="E1914" s="32" t="s">
        <v>1138</v>
      </c>
      <c r="F1914" s="34" t="s">
        <v>24</v>
      </c>
      <c r="G1914" s="34" t="s">
        <v>1617</v>
      </c>
      <c r="H1914" s="35" t="s">
        <v>26</v>
      </c>
      <c r="I1914" s="58" t="str">
        <f>HYPERLINK("https://open.spotify.com/album/4rU9S0ullI301yyIhhEx0q", "S")</f>
        <v>S</v>
      </c>
      <c r="J1914" s="35" t="s">
        <v>100</v>
      </c>
      <c r="K1914" s="57"/>
      <c r="L1914" s="84"/>
    </row>
    <row r="1915">
      <c r="A1915" s="32" t="s">
        <v>5090</v>
      </c>
      <c r="B1915" s="32" t="s">
        <v>5091</v>
      </c>
      <c r="C1915" s="33">
        <v>45919.0</v>
      </c>
      <c r="D1915" s="34" t="s">
        <v>39</v>
      </c>
      <c r="E1915" s="32" t="s">
        <v>160</v>
      </c>
      <c r="F1915" s="34" t="s">
        <v>53</v>
      </c>
      <c r="G1915" s="34" t="s">
        <v>5092</v>
      </c>
      <c r="H1915" s="66"/>
      <c r="I1915" s="35" t="s">
        <v>27</v>
      </c>
      <c r="J1915" s="57"/>
      <c r="K1915" s="57"/>
      <c r="L1915" s="84"/>
    </row>
    <row r="1916">
      <c r="A1916" s="32" t="s">
        <v>5093</v>
      </c>
      <c r="B1916" s="32" t="s">
        <v>5094</v>
      </c>
      <c r="C1916" s="33">
        <v>45919.0</v>
      </c>
      <c r="D1916" s="34" t="s">
        <v>22</v>
      </c>
      <c r="E1916" s="32" t="s">
        <v>331</v>
      </c>
      <c r="F1916" s="34" t="s">
        <v>156</v>
      </c>
      <c r="G1916" s="34" t="s">
        <v>510</v>
      </c>
      <c r="H1916" s="35" t="s">
        <v>26</v>
      </c>
      <c r="I1916" s="34"/>
      <c r="J1916" s="57"/>
      <c r="K1916" s="57"/>
      <c r="L1916" s="84"/>
    </row>
    <row r="1917">
      <c r="A1917" s="32" t="s">
        <v>5095</v>
      </c>
      <c r="B1917" s="32" t="s">
        <v>5096</v>
      </c>
      <c r="C1917" s="33">
        <v>45919.0</v>
      </c>
      <c r="D1917" s="34" t="s">
        <v>22</v>
      </c>
      <c r="E1917" s="32" t="s">
        <v>5097</v>
      </c>
      <c r="F1917" s="34" t="s">
        <v>24</v>
      </c>
      <c r="G1917" s="34" t="s">
        <v>5098</v>
      </c>
      <c r="H1917" s="35" t="s">
        <v>26</v>
      </c>
      <c r="I1917" s="34"/>
      <c r="J1917" s="57"/>
      <c r="K1917" s="57"/>
      <c r="L1917" s="84"/>
    </row>
    <row r="1918">
      <c r="A1918" s="32" t="s">
        <v>5099</v>
      </c>
      <c r="B1918" s="32" t="s">
        <v>5100</v>
      </c>
      <c r="C1918" s="33">
        <v>45919.0</v>
      </c>
      <c r="D1918" s="34" t="s">
        <v>22</v>
      </c>
      <c r="E1918" s="32" t="s">
        <v>73</v>
      </c>
      <c r="F1918" s="34" t="s">
        <v>24</v>
      </c>
      <c r="G1918" s="34" t="s">
        <v>4617</v>
      </c>
      <c r="H1918" s="35" t="s">
        <v>26</v>
      </c>
      <c r="I1918" s="35" t="s">
        <v>27</v>
      </c>
      <c r="J1918" s="57"/>
      <c r="K1918" s="57"/>
      <c r="L1918" s="84"/>
    </row>
    <row r="1919">
      <c r="A1919" s="32" t="s">
        <v>5101</v>
      </c>
      <c r="B1919" s="32" t="s">
        <v>5102</v>
      </c>
      <c r="C1919" s="33">
        <v>45919.0</v>
      </c>
      <c r="D1919" s="34" t="s">
        <v>22</v>
      </c>
      <c r="E1919" s="32" t="s">
        <v>5103</v>
      </c>
      <c r="F1919" s="34" t="s">
        <v>24</v>
      </c>
      <c r="G1919" s="34" t="s">
        <v>2495</v>
      </c>
      <c r="H1919" s="35" t="s">
        <v>26</v>
      </c>
      <c r="I1919" s="35" t="s">
        <v>27</v>
      </c>
      <c r="J1919" s="57"/>
      <c r="K1919" s="57"/>
      <c r="L1919" s="84"/>
    </row>
    <row r="1920">
      <c r="A1920" s="32" t="s">
        <v>5104</v>
      </c>
      <c r="B1920" s="32" t="s">
        <v>5105</v>
      </c>
      <c r="C1920" s="33">
        <v>45919.0</v>
      </c>
      <c r="D1920" s="47" t="s">
        <v>39</v>
      </c>
      <c r="E1920" s="32" t="s">
        <v>160</v>
      </c>
      <c r="F1920" s="34" t="s">
        <v>24</v>
      </c>
      <c r="G1920" s="34" t="s">
        <v>5106</v>
      </c>
      <c r="H1920" s="35" t="s">
        <v>26</v>
      </c>
      <c r="I1920" s="35" t="s">
        <v>27</v>
      </c>
      <c r="J1920" s="57"/>
      <c r="K1920" s="57"/>
      <c r="L1920" s="84"/>
    </row>
    <row r="1921">
      <c r="A1921" s="32" t="s">
        <v>5107</v>
      </c>
      <c r="B1921" s="32" t="s">
        <v>5108</v>
      </c>
      <c r="C1921" s="33">
        <v>45919.0</v>
      </c>
      <c r="D1921" s="34" t="s">
        <v>22</v>
      </c>
      <c r="E1921" s="32" t="s">
        <v>632</v>
      </c>
      <c r="F1921" s="34" t="s">
        <v>24</v>
      </c>
      <c r="G1921" s="34" t="s">
        <v>336</v>
      </c>
      <c r="H1921" s="35" t="s">
        <v>26</v>
      </c>
      <c r="I1921" s="35" t="s">
        <v>27</v>
      </c>
      <c r="J1921" s="57"/>
      <c r="K1921" s="57"/>
      <c r="L1921" s="84"/>
    </row>
    <row r="1922">
      <c r="A1922" s="32" t="s">
        <v>5109</v>
      </c>
      <c r="B1922" s="32" t="s">
        <v>5110</v>
      </c>
      <c r="C1922" s="33">
        <v>45919.0</v>
      </c>
      <c r="D1922" s="34" t="s">
        <v>22</v>
      </c>
      <c r="E1922" s="67" t="s">
        <v>73</v>
      </c>
      <c r="F1922" s="34" t="s">
        <v>24</v>
      </c>
      <c r="G1922" s="34" t="s">
        <v>2644</v>
      </c>
      <c r="H1922" s="35" t="s">
        <v>26</v>
      </c>
      <c r="I1922" s="35" t="s">
        <v>27</v>
      </c>
      <c r="J1922" s="57"/>
      <c r="K1922" s="57"/>
      <c r="L1922" s="84"/>
    </row>
    <row r="1923">
      <c r="A1923" s="32" t="s">
        <v>5111</v>
      </c>
      <c r="B1923" s="32" t="s">
        <v>5112</v>
      </c>
      <c r="C1923" s="33">
        <v>45919.0</v>
      </c>
      <c r="D1923" s="34" t="s">
        <v>22</v>
      </c>
      <c r="E1923" s="32" t="s">
        <v>5113</v>
      </c>
      <c r="F1923" s="34" t="s">
        <v>24</v>
      </c>
      <c r="G1923" s="34" t="s">
        <v>1472</v>
      </c>
      <c r="H1923" s="35" t="s">
        <v>26</v>
      </c>
      <c r="I1923" s="34"/>
      <c r="J1923" s="57"/>
      <c r="K1923" s="57"/>
      <c r="L1923" s="84"/>
    </row>
    <row r="1924">
      <c r="A1924" s="32" t="s">
        <v>5114</v>
      </c>
      <c r="B1924" s="32" t="s">
        <v>5115</v>
      </c>
      <c r="C1924" s="33">
        <v>45919.0</v>
      </c>
      <c r="D1924" s="34" t="s">
        <v>22</v>
      </c>
      <c r="E1924" s="32" t="s">
        <v>61</v>
      </c>
      <c r="F1924" s="34" t="s">
        <v>24</v>
      </c>
      <c r="G1924" s="34" t="s">
        <v>285</v>
      </c>
      <c r="H1924" s="35" t="s">
        <v>26</v>
      </c>
      <c r="I1924" s="35" t="s">
        <v>27</v>
      </c>
      <c r="J1924" s="35" t="s">
        <v>100</v>
      </c>
      <c r="K1924" s="57"/>
      <c r="L1924" s="84"/>
    </row>
    <row r="1925">
      <c r="A1925" s="32" t="s">
        <v>5116</v>
      </c>
      <c r="B1925" s="32" t="s">
        <v>1396</v>
      </c>
      <c r="C1925" s="33">
        <v>45919.0</v>
      </c>
      <c r="D1925" s="34" t="s">
        <v>39</v>
      </c>
      <c r="E1925" s="32" t="s">
        <v>84</v>
      </c>
      <c r="F1925" s="34" t="s">
        <v>24</v>
      </c>
      <c r="G1925" s="34" t="s">
        <v>5117</v>
      </c>
      <c r="H1925" s="35" t="s">
        <v>26</v>
      </c>
      <c r="I1925" s="35" t="s">
        <v>27</v>
      </c>
      <c r="J1925" s="57"/>
      <c r="K1925" s="57"/>
      <c r="L1925" s="84"/>
    </row>
    <row r="1926">
      <c r="A1926" s="32" t="s">
        <v>5118</v>
      </c>
      <c r="B1926" s="32" t="s">
        <v>5119</v>
      </c>
      <c r="C1926" s="33">
        <v>45919.0</v>
      </c>
      <c r="D1926" s="34" t="s">
        <v>22</v>
      </c>
      <c r="E1926" s="32" t="s">
        <v>3263</v>
      </c>
      <c r="F1926" s="34" t="s">
        <v>24</v>
      </c>
      <c r="G1926" s="34" t="s">
        <v>920</v>
      </c>
      <c r="H1926" s="35" t="s">
        <v>26</v>
      </c>
      <c r="I1926" s="35" t="s">
        <v>27</v>
      </c>
      <c r="J1926" s="57"/>
      <c r="K1926" s="57"/>
      <c r="L1926" s="84"/>
    </row>
    <row r="1927">
      <c r="A1927" s="32" t="s">
        <v>5120</v>
      </c>
      <c r="B1927" s="32" t="s">
        <v>5121</v>
      </c>
      <c r="C1927" s="33">
        <v>45919.0</v>
      </c>
      <c r="D1927" s="34" t="s">
        <v>22</v>
      </c>
      <c r="E1927" s="32" t="s">
        <v>5122</v>
      </c>
      <c r="F1927" s="34" t="s">
        <v>24</v>
      </c>
      <c r="G1927" s="34" t="s">
        <v>1566</v>
      </c>
      <c r="H1927" s="35" t="s">
        <v>26</v>
      </c>
      <c r="I1927" s="34"/>
      <c r="J1927" s="57"/>
      <c r="K1927" s="57"/>
      <c r="L1927" s="84"/>
    </row>
    <row r="1928">
      <c r="A1928" s="32" t="s">
        <v>5123</v>
      </c>
      <c r="B1928" s="32" t="s">
        <v>5123</v>
      </c>
      <c r="C1928" s="33">
        <v>45919.0</v>
      </c>
      <c r="D1928" s="34" t="s">
        <v>22</v>
      </c>
      <c r="E1928" s="32" t="s">
        <v>1519</v>
      </c>
      <c r="F1928" s="34" t="s">
        <v>24</v>
      </c>
      <c r="G1928" s="34" t="s">
        <v>5124</v>
      </c>
      <c r="H1928" s="35" t="s">
        <v>26</v>
      </c>
      <c r="I1928" s="35" t="s">
        <v>27</v>
      </c>
      <c r="J1928" s="57"/>
      <c r="K1928" s="57"/>
      <c r="L1928" s="84"/>
    </row>
    <row r="1929">
      <c r="A1929" s="32" t="s">
        <v>5125</v>
      </c>
      <c r="B1929" s="32" t="s">
        <v>5126</v>
      </c>
      <c r="C1929" s="33">
        <v>45919.0</v>
      </c>
      <c r="D1929" s="47" t="s">
        <v>22</v>
      </c>
      <c r="E1929" s="32" t="s">
        <v>473</v>
      </c>
      <c r="F1929" s="34" t="s">
        <v>53</v>
      </c>
      <c r="G1929" s="34" t="s">
        <v>442</v>
      </c>
      <c r="H1929" s="35" t="s">
        <v>26</v>
      </c>
      <c r="I1929" s="35" t="s">
        <v>27</v>
      </c>
      <c r="J1929" s="35" t="s">
        <v>100</v>
      </c>
      <c r="K1929" s="57"/>
      <c r="L1929" s="84"/>
    </row>
    <row r="1930">
      <c r="A1930" s="32" t="s">
        <v>4421</v>
      </c>
      <c r="B1930" s="32" t="s">
        <v>5127</v>
      </c>
      <c r="C1930" s="33">
        <v>45919.0</v>
      </c>
      <c r="D1930" s="34" t="s">
        <v>39</v>
      </c>
      <c r="E1930" s="32" t="s">
        <v>69</v>
      </c>
      <c r="F1930" s="34" t="s">
        <v>53</v>
      </c>
      <c r="G1930" s="34" t="s">
        <v>4424</v>
      </c>
      <c r="H1930" s="35" t="s">
        <v>26</v>
      </c>
      <c r="I1930" s="57"/>
      <c r="J1930" s="57"/>
      <c r="K1930" s="57"/>
      <c r="L1930" s="84"/>
    </row>
    <row r="1931">
      <c r="A1931" s="32" t="s">
        <v>5128</v>
      </c>
      <c r="B1931" s="32" t="s">
        <v>5129</v>
      </c>
      <c r="C1931" s="33">
        <v>45919.0</v>
      </c>
      <c r="D1931" s="34" t="s">
        <v>22</v>
      </c>
      <c r="E1931" s="32" t="s">
        <v>5130</v>
      </c>
      <c r="F1931" s="34" t="s">
        <v>53</v>
      </c>
      <c r="G1931" s="34" t="s">
        <v>5131</v>
      </c>
      <c r="H1931" s="35" t="s">
        <v>26</v>
      </c>
      <c r="I1931" s="57"/>
      <c r="J1931" s="57"/>
      <c r="K1931" s="57"/>
      <c r="L1931" s="84"/>
    </row>
    <row r="1932">
      <c r="A1932" s="32" t="s">
        <v>5132</v>
      </c>
      <c r="B1932" s="32" t="s">
        <v>5133</v>
      </c>
      <c r="C1932" s="33">
        <v>45919.0</v>
      </c>
      <c r="D1932" s="47" t="s">
        <v>22</v>
      </c>
      <c r="E1932" s="32" t="s">
        <v>5134</v>
      </c>
      <c r="F1932" s="34" t="s">
        <v>53</v>
      </c>
      <c r="G1932" s="34" t="s">
        <v>5135</v>
      </c>
      <c r="H1932" s="35" t="s">
        <v>26</v>
      </c>
      <c r="I1932" s="35" t="s">
        <v>27</v>
      </c>
      <c r="J1932" s="57"/>
      <c r="K1932" s="57"/>
      <c r="L1932" s="84"/>
    </row>
    <row r="1933">
      <c r="A1933" s="32" t="s">
        <v>5136</v>
      </c>
      <c r="B1933" s="32" t="s">
        <v>5137</v>
      </c>
      <c r="C1933" s="33">
        <v>45920.0</v>
      </c>
      <c r="D1933" s="47" t="s">
        <v>22</v>
      </c>
      <c r="E1933" s="32" t="s">
        <v>5138</v>
      </c>
      <c r="F1933" s="34" t="s">
        <v>53</v>
      </c>
      <c r="G1933" s="34" t="s">
        <v>299</v>
      </c>
      <c r="H1933" s="35" t="s">
        <v>26</v>
      </c>
      <c r="I1933" s="35" t="s">
        <v>27</v>
      </c>
      <c r="J1933" s="57"/>
      <c r="K1933" s="57"/>
      <c r="L1933" s="84"/>
    </row>
    <row r="1934">
      <c r="A1934" s="32" t="s">
        <v>5139</v>
      </c>
      <c r="B1934" s="32" t="s">
        <v>5140</v>
      </c>
      <c r="C1934" s="33">
        <v>45921.0</v>
      </c>
      <c r="D1934" s="34" t="s">
        <v>22</v>
      </c>
      <c r="E1934" s="32" t="s">
        <v>5141</v>
      </c>
      <c r="F1934" s="34" t="s">
        <v>53</v>
      </c>
      <c r="G1934" s="34" t="s">
        <v>202</v>
      </c>
      <c r="H1934" s="35" t="s">
        <v>26</v>
      </c>
      <c r="I1934" s="35" t="s">
        <v>27</v>
      </c>
      <c r="J1934" s="57"/>
      <c r="K1934" s="57"/>
      <c r="L1934" s="84"/>
    </row>
    <row r="1935">
      <c r="A1935" s="32" t="s">
        <v>5142</v>
      </c>
      <c r="B1935" s="32" t="s">
        <v>5143</v>
      </c>
      <c r="C1935" s="33">
        <v>45922.0</v>
      </c>
      <c r="D1935" s="34" t="s">
        <v>22</v>
      </c>
      <c r="E1935" s="32" t="s">
        <v>5144</v>
      </c>
      <c r="F1935" s="34" t="s">
        <v>24</v>
      </c>
      <c r="G1935" s="34" t="s">
        <v>225</v>
      </c>
      <c r="H1935" s="35" t="s">
        <v>26</v>
      </c>
      <c r="I1935" s="36" t="str">
        <f>HYPERLINK("https://open.spotify.com/album/0GSEioWYbGdyVuBzlfzaNy", "S")</f>
        <v>S</v>
      </c>
      <c r="J1935" s="57"/>
      <c r="K1935" s="57"/>
      <c r="L1935" s="84"/>
    </row>
    <row r="1936">
      <c r="A1936" s="32" t="s">
        <v>5145</v>
      </c>
      <c r="B1936" s="32" t="s">
        <v>5146</v>
      </c>
      <c r="C1936" s="33">
        <v>45922.0</v>
      </c>
      <c r="D1936" s="34" t="s">
        <v>22</v>
      </c>
      <c r="E1936" s="32" t="s">
        <v>3976</v>
      </c>
      <c r="F1936" s="34" t="s">
        <v>53</v>
      </c>
      <c r="G1936" s="34" t="s">
        <v>157</v>
      </c>
      <c r="H1936" s="35" t="s">
        <v>26</v>
      </c>
      <c r="I1936" s="57"/>
      <c r="J1936" s="57"/>
      <c r="K1936" s="57"/>
      <c r="L1936" s="84"/>
    </row>
    <row r="1937">
      <c r="A1937" s="32" t="s">
        <v>5147</v>
      </c>
      <c r="B1937" s="32" t="s">
        <v>5147</v>
      </c>
      <c r="C1937" s="33">
        <v>45924.0</v>
      </c>
      <c r="D1937" s="47" t="s">
        <v>39</v>
      </c>
      <c r="E1937" s="32" t="s">
        <v>1089</v>
      </c>
      <c r="F1937" s="34" t="s">
        <v>24</v>
      </c>
      <c r="G1937" s="34" t="s">
        <v>2408</v>
      </c>
      <c r="H1937" s="35" t="s">
        <v>26</v>
      </c>
      <c r="I1937" s="36" t="str">
        <f>HYPERLINK("https://open.spotify.com/album/2sRLV75m5nNrhioxuT1hkd", "S")</f>
        <v>S</v>
      </c>
      <c r="J1937" s="57"/>
      <c r="K1937" s="57"/>
      <c r="L1937" s="84"/>
    </row>
    <row r="1938">
      <c r="A1938" s="32" t="s">
        <v>5148</v>
      </c>
      <c r="B1938" s="32" t="s">
        <v>5149</v>
      </c>
      <c r="C1938" s="33">
        <v>45925.0</v>
      </c>
      <c r="D1938" s="34" t="s">
        <v>22</v>
      </c>
      <c r="E1938" s="32" t="s">
        <v>1483</v>
      </c>
      <c r="F1938" s="34" t="s">
        <v>24</v>
      </c>
      <c r="G1938" s="34" t="s">
        <v>375</v>
      </c>
      <c r="H1938" s="35" t="s">
        <v>26</v>
      </c>
      <c r="I1938" s="57"/>
      <c r="J1938" s="57"/>
      <c r="K1938" s="57"/>
      <c r="L1938" s="84"/>
    </row>
    <row r="1939">
      <c r="A1939" s="32" t="s">
        <v>5150</v>
      </c>
      <c r="B1939" s="32" t="s">
        <v>5151</v>
      </c>
      <c r="C1939" s="33">
        <v>45925.0</v>
      </c>
      <c r="D1939" s="34" t="s">
        <v>39</v>
      </c>
      <c r="E1939" s="32" t="s">
        <v>4066</v>
      </c>
      <c r="F1939" s="34" t="s">
        <v>24</v>
      </c>
      <c r="G1939" s="34" t="s">
        <v>532</v>
      </c>
      <c r="H1939" s="35" t="s">
        <v>26</v>
      </c>
      <c r="I1939" s="36" t="str">
        <f>HYPERLINK("https://open.spotify.com/album/2yLGBvc4A9ofprxeNe21yh", "S")</f>
        <v>S</v>
      </c>
      <c r="J1939" s="57"/>
      <c r="K1939" s="57"/>
      <c r="L1939" s="84"/>
    </row>
    <row r="1940">
      <c r="A1940" s="32" t="s">
        <v>5152</v>
      </c>
      <c r="B1940" s="32" t="s">
        <v>5153</v>
      </c>
      <c r="C1940" s="33">
        <v>45925.0</v>
      </c>
      <c r="D1940" s="47" t="s">
        <v>39</v>
      </c>
      <c r="E1940" s="32" t="s">
        <v>436</v>
      </c>
      <c r="F1940" s="34" t="s">
        <v>24</v>
      </c>
      <c r="G1940" s="34" t="s">
        <v>792</v>
      </c>
      <c r="H1940" s="35" t="s">
        <v>26</v>
      </c>
      <c r="I1940" s="35" t="s">
        <v>27</v>
      </c>
      <c r="J1940" s="57"/>
      <c r="K1940" s="57"/>
      <c r="L1940" s="84"/>
    </row>
    <row r="1941">
      <c r="A1941" s="32" t="s">
        <v>5154</v>
      </c>
      <c r="B1941" s="32" t="s">
        <v>5155</v>
      </c>
      <c r="C1941" s="33">
        <v>45926.0</v>
      </c>
      <c r="D1941" s="34" t="s">
        <v>39</v>
      </c>
      <c r="E1941" s="32" t="s">
        <v>3263</v>
      </c>
      <c r="F1941" s="34" t="s">
        <v>53</v>
      </c>
      <c r="G1941" s="34" t="s">
        <v>2016</v>
      </c>
      <c r="H1941" s="35" t="s">
        <v>26</v>
      </c>
      <c r="I1941" s="35" t="s">
        <v>27</v>
      </c>
      <c r="J1941" s="57"/>
      <c r="K1941" s="57"/>
      <c r="L1941" s="84"/>
    </row>
    <row r="1942">
      <c r="A1942" s="32" t="s">
        <v>5156</v>
      </c>
      <c r="B1942" s="32" t="s">
        <v>5157</v>
      </c>
      <c r="C1942" s="33">
        <v>45926.0</v>
      </c>
      <c r="D1942" s="34" t="s">
        <v>22</v>
      </c>
      <c r="E1942" s="32" t="s">
        <v>5158</v>
      </c>
      <c r="F1942" s="34" t="s">
        <v>24</v>
      </c>
      <c r="G1942" s="34" t="s">
        <v>5159</v>
      </c>
      <c r="H1942" s="35" t="s">
        <v>26</v>
      </c>
      <c r="I1942" s="35" t="s">
        <v>27</v>
      </c>
      <c r="J1942" s="35" t="s">
        <v>100</v>
      </c>
      <c r="K1942" s="57"/>
      <c r="L1942" s="84"/>
    </row>
    <row r="1943">
      <c r="A1943" s="32" t="s">
        <v>5160</v>
      </c>
      <c r="B1943" s="32" t="s">
        <v>5161</v>
      </c>
      <c r="C1943" s="33">
        <v>45926.0</v>
      </c>
      <c r="D1943" s="47" t="s">
        <v>39</v>
      </c>
      <c r="E1943" s="32" t="s">
        <v>2762</v>
      </c>
      <c r="F1943" s="34" t="s">
        <v>24</v>
      </c>
      <c r="G1943" s="34" t="s">
        <v>41</v>
      </c>
      <c r="H1943" s="66"/>
      <c r="I1943" s="35" t="s">
        <v>27</v>
      </c>
      <c r="J1943" s="57"/>
      <c r="K1943" s="57"/>
      <c r="L1943" s="84"/>
    </row>
    <row r="1944">
      <c r="A1944" s="32" t="s">
        <v>5162</v>
      </c>
      <c r="B1944" s="32" t="s">
        <v>5163</v>
      </c>
      <c r="C1944" s="33">
        <v>45926.0</v>
      </c>
      <c r="D1944" s="34" t="s">
        <v>22</v>
      </c>
      <c r="E1944" s="32" t="s">
        <v>2510</v>
      </c>
      <c r="F1944" s="34" t="s">
        <v>53</v>
      </c>
      <c r="G1944" s="34" t="s">
        <v>231</v>
      </c>
      <c r="H1944" s="35" t="s">
        <v>26</v>
      </c>
      <c r="I1944" s="35" t="s">
        <v>27</v>
      </c>
      <c r="J1944" s="57"/>
      <c r="K1944" s="57"/>
      <c r="L1944" s="84"/>
    </row>
    <row r="1945">
      <c r="A1945" s="32" t="s">
        <v>5164</v>
      </c>
      <c r="B1945" s="32" t="s">
        <v>5165</v>
      </c>
      <c r="C1945" s="33">
        <v>45926.0</v>
      </c>
      <c r="D1945" s="34" t="s">
        <v>22</v>
      </c>
      <c r="E1945" s="32" t="s">
        <v>122</v>
      </c>
      <c r="F1945" s="34" t="s">
        <v>53</v>
      </c>
      <c r="G1945" s="34" t="s">
        <v>78</v>
      </c>
      <c r="H1945" s="35" t="s">
        <v>26</v>
      </c>
      <c r="I1945" s="35" t="s">
        <v>27</v>
      </c>
      <c r="J1945" s="57"/>
      <c r="K1945" s="57"/>
      <c r="L1945" s="84"/>
    </row>
    <row r="1946">
      <c r="A1946" s="32" t="s">
        <v>5166</v>
      </c>
      <c r="B1946" s="32" t="s">
        <v>5167</v>
      </c>
      <c r="C1946" s="33">
        <v>45926.0</v>
      </c>
      <c r="D1946" s="34" t="s">
        <v>39</v>
      </c>
      <c r="E1946" s="32" t="s">
        <v>4248</v>
      </c>
      <c r="F1946" s="34" t="s">
        <v>53</v>
      </c>
      <c r="G1946" s="34" t="s">
        <v>2030</v>
      </c>
      <c r="H1946" s="35" t="s">
        <v>26</v>
      </c>
      <c r="I1946" s="35" t="s">
        <v>27</v>
      </c>
      <c r="J1946" s="57"/>
      <c r="K1946" s="57"/>
      <c r="L1946" s="84"/>
    </row>
    <row r="1947">
      <c r="A1947" s="32" t="s">
        <v>5168</v>
      </c>
      <c r="B1947" s="32" t="s">
        <v>5169</v>
      </c>
      <c r="C1947" s="33">
        <v>45926.0</v>
      </c>
      <c r="D1947" s="34" t="s">
        <v>22</v>
      </c>
      <c r="E1947" s="32" t="s">
        <v>5170</v>
      </c>
      <c r="F1947" s="34" t="s">
        <v>53</v>
      </c>
      <c r="G1947" s="34" t="s">
        <v>5171</v>
      </c>
      <c r="H1947" s="35" t="s">
        <v>26</v>
      </c>
      <c r="I1947" s="35" t="s">
        <v>27</v>
      </c>
      <c r="J1947" s="57"/>
      <c r="K1947" s="57"/>
      <c r="L1947" s="84"/>
    </row>
    <row r="1948">
      <c r="A1948" s="32" t="s">
        <v>5172</v>
      </c>
      <c r="B1948" s="32" t="s">
        <v>5173</v>
      </c>
      <c r="C1948" s="33">
        <v>45926.0</v>
      </c>
      <c r="D1948" s="34" t="s">
        <v>22</v>
      </c>
      <c r="E1948" s="32" t="s">
        <v>84</v>
      </c>
      <c r="F1948" s="34" t="s">
        <v>53</v>
      </c>
      <c r="G1948" s="34" t="s">
        <v>892</v>
      </c>
      <c r="H1948" s="35" t="s">
        <v>26</v>
      </c>
      <c r="I1948" s="35" t="s">
        <v>27</v>
      </c>
      <c r="J1948" s="57"/>
      <c r="K1948" s="57"/>
      <c r="L1948" s="84"/>
    </row>
    <row r="1949">
      <c r="A1949" s="32" t="s">
        <v>5174</v>
      </c>
      <c r="B1949" s="32" t="s">
        <v>5175</v>
      </c>
      <c r="C1949" s="33">
        <v>45926.0</v>
      </c>
      <c r="D1949" s="34" t="s">
        <v>22</v>
      </c>
      <c r="E1949" s="32" t="s">
        <v>5176</v>
      </c>
      <c r="F1949" s="34" t="s">
        <v>53</v>
      </c>
      <c r="G1949" s="34" t="s">
        <v>3702</v>
      </c>
      <c r="H1949" s="35" t="s">
        <v>26</v>
      </c>
      <c r="I1949" s="35" t="s">
        <v>27</v>
      </c>
      <c r="J1949" s="57"/>
      <c r="K1949" s="57"/>
      <c r="L1949" s="84"/>
    </row>
    <row r="1950">
      <c r="A1950" s="32" t="s">
        <v>5177</v>
      </c>
      <c r="B1950" s="32" t="s">
        <v>5178</v>
      </c>
      <c r="C1950" s="33">
        <v>45926.0</v>
      </c>
      <c r="D1950" s="34" t="s">
        <v>39</v>
      </c>
      <c r="E1950" s="32" t="s">
        <v>5179</v>
      </c>
      <c r="F1950" s="34" t="s">
        <v>24</v>
      </c>
      <c r="G1950" s="34" t="s">
        <v>5180</v>
      </c>
      <c r="H1950" s="35" t="s">
        <v>26</v>
      </c>
      <c r="I1950" s="35" t="s">
        <v>27</v>
      </c>
      <c r="J1950" s="57"/>
      <c r="K1950" s="57"/>
      <c r="L1950" s="84"/>
    </row>
    <row r="1951">
      <c r="A1951" s="32" t="s">
        <v>5181</v>
      </c>
      <c r="B1951" s="32" t="s">
        <v>5182</v>
      </c>
      <c r="C1951" s="33">
        <v>45926.0</v>
      </c>
      <c r="D1951" s="47" t="s">
        <v>39</v>
      </c>
      <c r="E1951" s="32" t="s">
        <v>5183</v>
      </c>
      <c r="F1951" s="34" t="s">
        <v>156</v>
      </c>
      <c r="G1951" s="34" t="s">
        <v>70</v>
      </c>
      <c r="H1951" s="66"/>
      <c r="I1951" s="35" t="s">
        <v>27</v>
      </c>
      <c r="J1951" s="57"/>
      <c r="K1951" s="57"/>
      <c r="L1951" s="84"/>
    </row>
    <row r="1952">
      <c r="A1952" s="32" t="s">
        <v>5184</v>
      </c>
      <c r="B1952" s="32" t="s">
        <v>5185</v>
      </c>
      <c r="C1952" s="33">
        <v>45926.0</v>
      </c>
      <c r="D1952" s="47" t="s">
        <v>22</v>
      </c>
      <c r="E1952" s="32" t="s">
        <v>556</v>
      </c>
      <c r="F1952" s="34" t="s">
        <v>53</v>
      </c>
      <c r="G1952" s="34" t="s">
        <v>423</v>
      </c>
      <c r="H1952" s="35" t="s">
        <v>26</v>
      </c>
      <c r="I1952" s="35" t="s">
        <v>27</v>
      </c>
      <c r="J1952" s="57"/>
      <c r="K1952" s="57"/>
      <c r="L1952" s="84"/>
    </row>
    <row r="1953">
      <c r="A1953" s="32" t="s">
        <v>5186</v>
      </c>
      <c r="B1953" s="32" t="s">
        <v>5187</v>
      </c>
      <c r="C1953" s="33">
        <v>45926.0</v>
      </c>
      <c r="D1953" s="34" t="s">
        <v>22</v>
      </c>
      <c r="E1953" s="32" t="s">
        <v>122</v>
      </c>
      <c r="F1953" s="34" t="s">
        <v>53</v>
      </c>
      <c r="G1953" s="34" t="s">
        <v>423</v>
      </c>
      <c r="H1953" s="66"/>
      <c r="I1953" s="35" t="s">
        <v>27</v>
      </c>
      <c r="J1953" s="57"/>
      <c r="K1953" s="57"/>
      <c r="L1953" s="84"/>
    </row>
    <row r="1954">
      <c r="A1954" s="32" t="s">
        <v>5188</v>
      </c>
      <c r="B1954" s="32" t="s">
        <v>5189</v>
      </c>
      <c r="C1954" s="33">
        <v>45926.0</v>
      </c>
      <c r="D1954" s="34" t="s">
        <v>22</v>
      </c>
      <c r="E1954" s="32" t="s">
        <v>160</v>
      </c>
      <c r="F1954" s="34" t="s">
        <v>24</v>
      </c>
      <c r="G1954" s="34" t="s">
        <v>299</v>
      </c>
      <c r="H1954" s="66"/>
      <c r="I1954" s="35" t="s">
        <v>27</v>
      </c>
      <c r="J1954" s="35" t="s">
        <v>100</v>
      </c>
      <c r="K1954" s="57"/>
      <c r="L1954" s="84"/>
    </row>
    <row r="1955">
      <c r="A1955" s="32" t="s">
        <v>5190</v>
      </c>
      <c r="B1955" s="32" t="s">
        <v>5191</v>
      </c>
      <c r="C1955" s="33">
        <v>45926.0</v>
      </c>
      <c r="D1955" s="34" t="s">
        <v>22</v>
      </c>
      <c r="E1955" s="32" t="s">
        <v>5192</v>
      </c>
      <c r="F1955" s="34" t="s">
        <v>24</v>
      </c>
      <c r="G1955" s="34" t="s">
        <v>702</v>
      </c>
      <c r="H1955" s="35" t="s">
        <v>26</v>
      </c>
      <c r="I1955" s="35" t="s">
        <v>27</v>
      </c>
      <c r="J1955" s="35" t="s">
        <v>100</v>
      </c>
      <c r="K1955" s="57"/>
      <c r="L1955" s="84"/>
    </row>
    <row r="1956">
      <c r="A1956" s="32" t="s">
        <v>5193</v>
      </c>
      <c r="B1956" s="32" t="s">
        <v>5194</v>
      </c>
      <c r="C1956" s="33">
        <v>45926.0</v>
      </c>
      <c r="D1956" s="34" t="s">
        <v>22</v>
      </c>
      <c r="E1956" s="32" t="s">
        <v>1000</v>
      </c>
      <c r="F1956" s="34" t="s">
        <v>24</v>
      </c>
      <c r="G1956" s="34" t="s">
        <v>3658</v>
      </c>
      <c r="H1956" s="35" t="s">
        <v>26</v>
      </c>
      <c r="I1956" s="35" t="s">
        <v>27</v>
      </c>
      <c r="J1956" s="35" t="s">
        <v>100</v>
      </c>
      <c r="K1956" s="57"/>
      <c r="L1956" s="84"/>
    </row>
    <row r="1957">
      <c r="A1957" s="32" t="s">
        <v>5195</v>
      </c>
      <c r="B1957" s="32" t="s">
        <v>5196</v>
      </c>
      <c r="C1957" s="33">
        <v>45926.0</v>
      </c>
      <c r="D1957" s="34" t="s">
        <v>22</v>
      </c>
      <c r="E1957" s="32" t="s">
        <v>5197</v>
      </c>
      <c r="F1957" s="34" t="s">
        <v>53</v>
      </c>
      <c r="G1957" s="34" t="s">
        <v>342</v>
      </c>
      <c r="H1957" s="35" t="s">
        <v>26</v>
      </c>
      <c r="I1957" s="35" t="s">
        <v>27</v>
      </c>
      <c r="J1957" s="35" t="s">
        <v>100</v>
      </c>
      <c r="K1957" s="57"/>
      <c r="L1957" s="84"/>
    </row>
    <row r="1958">
      <c r="A1958" s="32" t="s">
        <v>5198</v>
      </c>
      <c r="B1958" s="32" t="s">
        <v>5199</v>
      </c>
      <c r="C1958" s="33">
        <v>45926.0</v>
      </c>
      <c r="D1958" s="34" t="s">
        <v>22</v>
      </c>
      <c r="E1958" s="32" t="s">
        <v>5200</v>
      </c>
      <c r="F1958" s="34" t="s">
        <v>156</v>
      </c>
      <c r="G1958" s="34" t="s">
        <v>5201</v>
      </c>
      <c r="H1958" s="35" t="s">
        <v>26</v>
      </c>
      <c r="I1958" s="35" t="s">
        <v>27</v>
      </c>
      <c r="J1958" s="57"/>
      <c r="K1958" s="57"/>
      <c r="L1958" s="84"/>
    </row>
    <row r="1959">
      <c r="A1959" s="32" t="s">
        <v>5202</v>
      </c>
      <c r="B1959" s="32" t="s">
        <v>5203</v>
      </c>
      <c r="C1959" s="33">
        <v>45926.0</v>
      </c>
      <c r="D1959" s="34" t="s">
        <v>22</v>
      </c>
      <c r="E1959" s="32" t="s">
        <v>5204</v>
      </c>
      <c r="F1959" s="34" t="s">
        <v>24</v>
      </c>
      <c r="G1959" s="34" t="s">
        <v>1147</v>
      </c>
      <c r="H1959" s="35" t="s">
        <v>26</v>
      </c>
      <c r="I1959" s="35" t="s">
        <v>27</v>
      </c>
      <c r="J1959" s="35" t="s">
        <v>100</v>
      </c>
      <c r="K1959" s="57"/>
      <c r="L1959" s="84"/>
    </row>
    <row r="1960">
      <c r="A1960" s="32" t="s">
        <v>5205</v>
      </c>
      <c r="B1960" s="32" t="s">
        <v>5206</v>
      </c>
      <c r="C1960" s="33">
        <v>45926.0</v>
      </c>
      <c r="D1960" s="34" t="s">
        <v>22</v>
      </c>
      <c r="E1960" s="32" t="s">
        <v>129</v>
      </c>
      <c r="F1960" s="34" t="s">
        <v>24</v>
      </c>
      <c r="G1960" s="34" t="s">
        <v>5207</v>
      </c>
      <c r="H1960" s="35" t="s">
        <v>26</v>
      </c>
      <c r="I1960" s="58" t="str">
        <f>HYPERLINK("https://open.spotify.com/album/2RbHdkEoHgKhxfZcc07xjR", "S")</f>
        <v>S</v>
      </c>
      <c r="J1960" s="35" t="s">
        <v>100</v>
      </c>
      <c r="K1960" s="57"/>
      <c r="L1960" s="84"/>
    </row>
    <row r="1961">
      <c r="A1961" s="32" t="s">
        <v>5208</v>
      </c>
      <c r="B1961" s="32" t="s">
        <v>5209</v>
      </c>
      <c r="C1961" s="33">
        <v>45926.0</v>
      </c>
      <c r="D1961" s="34" t="s">
        <v>22</v>
      </c>
      <c r="E1961" s="32" t="s">
        <v>4034</v>
      </c>
      <c r="F1961" s="34" t="s">
        <v>156</v>
      </c>
      <c r="G1961" s="34" t="s">
        <v>1694</v>
      </c>
      <c r="H1961" s="35" t="s">
        <v>26</v>
      </c>
      <c r="I1961" s="35" t="s">
        <v>27</v>
      </c>
      <c r="J1961" s="35" t="s">
        <v>100</v>
      </c>
      <c r="K1961" s="57"/>
      <c r="L1961" s="84"/>
    </row>
    <row r="1962">
      <c r="A1962" s="32" t="s">
        <v>5210</v>
      </c>
      <c r="B1962" s="32" t="s">
        <v>5211</v>
      </c>
      <c r="C1962" s="33">
        <v>45926.0</v>
      </c>
      <c r="D1962" s="34" t="s">
        <v>22</v>
      </c>
      <c r="E1962" s="32" t="s">
        <v>61</v>
      </c>
      <c r="F1962" s="34" t="s">
        <v>24</v>
      </c>
      <c r="G1962" s="34" t="s">
        <v>5212</v>
      </c>
      <c r="H1962" s="35" t="s">
        <v>26</v>
      </c>
      <c r="I1962" s="35" t="s">
        <v>27</v>
      </c>
      <c r="J1962" s="57"/>
      <c r="K1962" s="57"/>
      <c r="L1962" s="84"/>
    </row>
    <row r="1963">
      <c r="A1963" s="32" t="s">
        <v>5213</v>
      </c>
      <c r="B1963" s="32" t="s">
        <v>5214</v>
      </c>
      <c r="C1963" s="33">
        <v>45926.0</v>
      </c>
      <c r="D1963" s="34" t="s">
        <v>22</v>
      </c>
      <c r="E1963" s="32" t="s">
        <v>176</v>
      </c>
      <c r="F1963" s="34" t="s">
        <v>156</v>
      </c>
      <c r="G1963" s="34" t="s">
        <v>5215</v>
      </c>
      <c r="H1963" s="35" t="s">
        <v>26</v>
      </c>
      <c r="I1963" s="35" t="s">
        <v>27</v>
      </c>
      <c r="J1963" s="57"/>
      <c r="K1963" s="57"/>
      <c r="L1963" s="84"/>
    </row>
    <row r="1964">
      <c r="A1964" s="32" t="s">
        <v>5216</v>
      </c>
      <c r="B1964" s="32" t="s">
        <v>5217</v>
      </c>
      <c r="C1964" s="33">
        <v>45926.0</v>
      </c>
      <c r="D1964" s="47" t="s">
        <v>39</v>
      </c>
      <c r="E1964" s="32" t="s">
        <v>61</v>
      </c>
      <c r="F1964" s="34" t="s">
        <v>24</v>
      </c>
      <c r="G1964" s="34" t="s">
        <v>5218</v>
      </c>
      <c r="H1964" s="35" t="s">
        <v>26</v>
      </c>
      <c r="I1964" s="35" t="s">
        <v>27</v>
      </c>
      <c r="J1964" s="57"/>
      <c r="K1964" s="57"/>
      <c r="L1964" s="84"/>
    </row>
    <row r="1965">
      <c r="A1965" s="32" t="s">
        <v>5219</v>
      </c>
      <c r="B1965" s="32" t="s">
        <v>5220</v>
      </c>
      <c r="C1965" s="33">
        <v>45926.0</v>
      </c>
      <c r="D1965" s="34" t="s">
        <v>22</v>
      </c>
      <c r="E1965" s="32" t="s">
        <v>705</v>
      </c>
      <c r="F1965" s="34" t="s">
        <v>156</v>
      </c>
      <c r="G1965" s="34" t="s">
        <v>199</v>
      </c>
      <c r="H1965" s="35" t="s">
        <v>26</v>
      </c>
      <c r="I1965" s="35" t="s">
        <v>27</v>
      </c>
      <c r="J1965" s="57"/>
      <c r="K1965" s="57"/>
      <c r="L1965" s="84"/>
    </row>
    <row r="1966">
      <c r="A1966" s="32" t="s">
        <v>5221</v>
      </c>
      <c r="B1966" s="32" t="s">
        <v>5222</v>
      </c>
      <c r="C1966" s="33">
        <v>45926.0</v>
      </c>
      <c r="D1966" s="34" t="s">
        <v>22</v>
      </c>
      <c r="E1966" s="32" t="s">
        <v>61</v>
      </c>
      <c r="F1966" s="34" t="s">
        <v>24</v>
      </c>
      <c r="G1966" s="34" t="s">
        <v>231</v>
      </c>
      <c r="H1966" s="35" t="s">
        <v>26</v>
      </c>
      <c r="I1966" s="35" t="s">
        <v>27</v>
      </c>
      <c r="J1966" s="57"/>
      <c r="K1966" s="57"/>
      <c r="L1966" s="84"/>
    </row>
    <row r="1967">
      <c r="A1967" s="32" t="s">
        <v>5223</v>
      </c>
      <c r="B1967" s="32" t="s">
        <v>5224</v>
      </c>
      <c r="C1967" s="33">
        <v>45926.0</v>
      </c>
      <c r="D1967" s="34" t="s">
        <v>22</v>
      </c>
      <c r="E1967" s="32" t="s">
        <v>4759</v>
      </c>
      <c r="F1967" s="34" t="s">
        <v>156</v>
      </c>
      <c r="G1967" s="34" t="s">
        <v>2707</v>
      </c>
      <c r="H1967" s="35" t="s">
        <v>26</v>
      </c>
      <c r="I1967" s="35" t="s">
        <v>27</v>
      </c>
      <c r="J1967" s="57"/>
      <c r="K1967" s="57"/>
      <c r="L1967" s="84"/>
    </row>
    <row r="1968">
      <c r="A1968" s="32" t="s">
        <v>5225</v>
      </c>
      <c r="B1968" s="32" t="s">
        <v>5226</v>
      </c>
      <c r="C1968" s="33">
        <v>45926.0</v>
      </c>
      <c r="D1968" s="34" t="s">
        <v>39</v>
      </c>
      <c r="E1968" s="32" t="s">
        <v>1073</v>
      </c>
      <c r="F1968" s="34" t="s">
        <v>24</v>
      </c>
      <c r="G1968" s="34" t="s">
        <v>279</v>
      </c>
      <c r="H1968" s="35" t="s">
        <v>26</v>
      </c>
      <c r="I1968" s="35" t="s">
        <v>27</v>
      </c>
      <c r="J1968" s="35" t="s">
        <v>100</v>
      </c>
      <c r="K1968" s="57"/>
      <c r="L1968" s="84"/>
    </row>
    <row r="1969">
      <c r="A1969" s="32" t="s">
        <v>5227</v>
      </c>
      <c r="B1969" s="32" t="s">
        <v>5228</v>
      </c>
      <c r="C1969" s="33">
        <v>45926.0</v>
      </c>
      <c r="D1969" s="34" t="s">
        <v>22</v>
      </c>
      <c r="E1969" s="32" t="s">
        <v>552</v>
      </c>
      <c r="F1969" s="34" t="s">
        <v>156</v>
      </c>
      <c r="G1969" s="34" t="s">
        <v>3466</v>
      </c>
      <c r="H1969" s="35" t="s">
        <v>26</v>
      </c>
      <c r="I1969" s="58" t="str">
        <f>HYPERLINK("https://open.spotify.com/album/3Tx2j77g236Lt2cCwfhaQg", "S")</f>
        <v>S</v>
      </c>
      <c r="J1969" s="57"/>
      <c r="K1969" s="57"/>
      <c r="L1969" s="84"/>
    </row>
    <row r="1970">
      <c r="A1970" s="32" t="s">
        <v>5229</v>
      </c>
      <c r="B1970" s="32" t="s">
        <v>4788</v>
      </c>
      <c r="C1970" s="33">
        <v>45926.0</v>
      </c>
      <c r="D1970" s="34" t="s">
        <v>39</v>
      </c>
      <c r="E1970" s="32" t="s">
        <v>98</v>
      </c>
      <c r="F1970" s="34" t="s">
        <v>24</v>
      </c>
      <c r="G1970" s="34" t="s">
        <v>365</v>
      </c>
      <c r="H1970" s="35" t="s">
        <v>26</v>
      </c>
      <c r="I1970" s="35" t="s">
        <v>27</v>
      </c>
      <c r="J1970" s="57"/>
      <c r="K1970" s="57"/>
      <c r="L1970" s="84"/>
    </row>
    <row r="1971">
      <c r="A1971" s="32" t="s">
        <v>5230</v>
      </c>
      <c r="B1971" s="32" t="s">
        <v>5231</v>
      </c>
      <c r="C1971" s="33">
        <v>45926.0</v>
      </c>
      <c r="D1971" s="34" t="s">
        <v>22</v>
      </c>
      <c r="E1971" s="32" t="s">
        <v>945</v>
      </c>
      <c r="F1971" s="34" t="s">
        <v>53</v>
      </c>
      <c r="G1971" s="34" t="s">
        <v>1808</v>
      </c>
      <c r="H1971" s="35" t="s">
        <v>26</v>
      </c>
      <c r="I1971" s="35" t="s">
        <v>27</v>
      </c>
      <c r="J1971" s="57"/>
      <c r="K1971" s="57"/>
      <c r="L1971" s="84"/>
    </row>
    <row r="1972">
      <c r="A1972" s="32" t="s">
        <v>5232</v>
      </c>
      <c r="B1972" s="32" t="s">
        <v>5233</v>
      </c>
      <c r="C1972" s="33">
        <v>45926.0</v>
      </c>
      <c r="D1972" s="34" t="s">
        <v>22</v>
      </c>
      <c r="E1972" s="32" t="s">
        <v>433</v>
      </c>
      <c r="F1972" s="34" t="s">
        <v>24</v>
      </c>
      <c r="G1972" s="34" t="s">
        <v>199</v>
      </c>
      <c r="H1972" s="35" t="s">
        <v>26</v>
      </c>
      <c r="I1972" s="35" t="s">
        <v>27</v>
      </c>
      <c r="J1972" s="35" t="s">
        <v>100</v>
      </c>
      <c r="K1972" s="57"/>
      <c r="L1972" s="84"/>
    </row>
    <row r="1973">
      <c r="A1973" s="32" t="s">
        <v>5234</v>
      </c>
      <c r="B1973" s="32" t="s">
        <v>5235</v>
      </c>
      <c r="C1973" s="33">
        <v>45926.0</v>
      </c>
      <c r="D1973" s="34" t="s">
        <v>22</v>
      </c>
      <c r="E1973" s="32" t="s">
        <v>252</v>
      </c>
      <c r="F1973" s="34" t="s">
        <v>156</v>
      </c>
      <c r="G1973" s="34" t="s">
        <v>70</v>
      </c>
      <c r="H1973" s="35" t="s">
        <v>26</v>
      </c>
      <c r="I1973" s="35" t="s">
        <v>27</v>
      </c>
      <c r="J1973" s="57"/>
      <c r="K1973" s="57"/>
      <c r="L1973" s="84"/>
    </row>
    <row r="1974">
      <c r="A1974" s="32" t="s">
        <v>5236</v>
      </c>
      <c r="B1974" s="32" t="s">
        <v>5237</v>
      </c>
      <c r="C1974" s="33">
        <v>45926.0</v>
      </c>
      <c r="D1974" s="34" t="s">
        <v>22</v>
      </c>
      <c r="E1974" s="32" t="s">
        <v>160</v>
      </c>
      <c r="F1974" s="34" t="s">
        <v>24</v>
      </c>
      <c r="G1974" s="34" t="s">
        <v>342</v>
      </c>
      <c r="H1974" s="35" t="s">
        <v>26</v>
      </c>
      <c r="I1974" s="35" t="s">
        <v>27</v>
      </c>
      <c r="J1974" s="57"/>
      <c r="K1974" s="57"/>
      <c r="L1974" s="84"/>
    </row>
    <row r="1975">
      <c r="A1975" s="32" t="s">
        <v>5238</v>
      </c>
      <c r="B1975" s="32" t="s">
        <v>5238</v>
      </c>
      <c r="C1975" s="33">
        <v>45926.0</v>
      </c>
      <c r="D1975" s="34" t="s">
        <v>22</v>
      </c>
      <c r="E1975" s="32" t="s">
        <v>5239</v>
      </c>
      <c r="F1975" s="34" t="s">
        <v>24</v>
      </c>
      <c r="G1975" s="34" t="s">
        <v>1925</v>
      </c>
      <c r="H1975" s="35" t="s">
        <v>26</v>
      </c>
      <c r="I1975" s="58" t="str">
        <f>HYPERLINK("https://open.spotify.com/album/1Pvo0WQbQe13MPeBwsAi9Q", "S")</f>
        <v>S</v>
      </c>
      <c r="J1975" s="57"/>
      <c r="K1975" s="57"/>
      <c r="L1975" s="84"/>
    </row>
    <row r="1976">
      <c r="A1976" s="32" t="s">
        <v>5240</v>
      </c>
      <c r="B1976" s="32" t="s">
        <v>5241</v>
      </c>
      <c r="C1976" s="33">
        <v>45926.0</v>
      </c>
      <c r="D1976" s="47" t="s">
        <v>22</v>
      </c>
      <c r="E1976" s="32" t="s">
        <v>5242</v>
      </c>
      <c r="F1976" s="34" t="s">
        <v>53</v>
      </c>
      <c r="G1976" s="34" t="s">
        <v>487</v>
      </c>
      <c r="H1976" s="35" t="s">
        <v>26</v>
      </c>
      <c r="I1976" s="35" t="s">
        <v>27</v>
      </c>
      <c r="J1976" s="57"/>
      <c r="K1976" s="57"/>
      <c r="L1976" s="84"/>
    </row>
    <row r="1977">
      <c r="A1977" s="32" t="s">
        <v>5243</v>
      </c>
      <c r="B1977" s="32" t="s">
        <v>5244</v>
      </c>
      <c r="C1977" s="33">
        <v>45926.0</v>
      </c>
      <c r="D1977" s="34" t="s">
        <v>22</v>
      </c>
      <c r="E1977" s="32" t="s">
        <v>1038</v>
      </c>
      <c r="F1977" s="34" t="s">
        <v>53</v>
      </c>
      <c r="G1977" s="34" t="s">
        <v>32</v>
      </c>
      <c r="H1977" s="35" t="s">
        <v>26</v>
      </c>
      <c r="I1977" s="35" t="s">
        <v>27</v>
      </c>
      <c r="J1977" s="57"/>
      <c r="K1977" s="57"/>
      <c r="L1977" s="84"/>
    </row>
    <row r="1978">
      <c r="A1978" s="32" t="s">
        <v>5245</v>
      </c>
      <c r="B1978" s="32" t="s">
        <v>5246</v>
      </c>
      <c r="C1978" s="33">
        <v>45926.0</v>
      </c>
      <c r="D1978" s="34" t="s">
        <v>22</v>
      </c>
      <c r="E1978" s="32" t="s">
        <v>98</v>
      </c>
      <c r="F1978" s="34" t="s">
        <v>24</v>
      </c>
      <c r="G1978" s="34" t="s">
        <v>2937</v>
      </c>
      <c r="H1978" s="35" t="s">
        <v>26</v>
      </c>
      <c r="I1978" s="35" t="s">
        <v>27</v>
      </c>
      <c r="J1978" s="57"/>
      <c r="K1978" s="57"/>
      <c r="L1978" s="84"/>
    </row>
    <row r="1979">
      <c r="A1979" s="32" t="s">
        <v>5247</v>
      </c>
      <c r="B1979" s="32" t="s">
        <v>5248</v>
      </c>
      <c r="C1979" s="33">
        <v>45926.0</v>
      </c>
      <c r="D1979" s="34" t="s">
        <v>39</v>
      </c>
      <c r="E1979" s="32" t="s">
        <v>2805</v>
      </c>
      <c r="F1979" s="34" t="s">
        <v>24</v>
      </c>
      <c r="G1979" s="34" t="s">
        <v>1174</v>
      </c>
      <c r="H1979" s="35" t="s">
        <v>26</v>
      </c>
      <c r="I1979" s="35" t="s">
        <v>27</v>
      </c>
      <c r="J1979" s="57"/>
      <c r="K1979" s="57"/>
      <c r="L1979" s="84"/>
    </row>
    <row r="1980">
      <c r="A1980" s="32" t="s">
        <v>5249</v>
      </c>
      <c r="B1980" s="32" t="s">
        <v>5249</v>
      </c>
      <c r="C1980" s="33">
        <v>45926.0</v>
      </c>
      <c r="D1980" s="47" t="s">
        <v>22</v>
      </c>
      <c r="E1980" s="32" t="s">
        <v>598</v>
      </c>
      <c r="F1980" s="34" t="s">
        <v>53</v>
      </c>
      <c r="G1980" s="34" t="s">
        <v>213</v>
      </c>
      <c r="H1980" s="35" t="s">
        <v>26</v>
      </c>
      <c r="I1980" s="35" t="s">
        <v>27</v>
      </c>
      <c r="J1980" s="57"/>
      <c r="K1980" s="57"/>
      <c r="L1980" s="84"/>
    </row>
    <row r="1981">
      <c r="A1981" s="32" t="s">
        <v>5250</v>
      </c>
      <c r="B1981" s="32" t="s">
        <v>5250</v>
      </c>
      <c r="C1981" s="33">
        <v>45926.0</v>
      </c>
      <c r="D1981" s="47" t="s">
        <v>22</v>
      </c>
      <c r="E1981" s="32" t="s">
        <v>5251</v>
      </c>
      <c r="F1981" s="34" t="s">
        <v>53</v>
      </c>
      <c r="G1981" s="34" t="s">
        <v>32</v>
      </c>
      <c r="H1981" s="35" t="s">
        <v>26</v>
      </c>
      <c r="I1981" s="35" t="s">
        <v>27</v>
      </c>
      <c r="J1981" s="57"/>
      <c r="K1981" s="57"/>
      <c r="L1981" s="84"/>
    </row>
    <row r="1982">
      <c r="A1982" s="32" t="s">
        <v>5252</v>
      </c>
      <c r="B1982" s="32" t="s">
        <v>5253</v>
      </c>
      <c r="C1982" s="33">
        <v>45926.0</v>
      </c>
      <c r="D1982" s="34" t="s">
        <v>22</v>
      </c>
      <c r="E1982" s="32" t="s">
        <v>5254</v>
      </c>
      <c r="F1982" s="34" t="s">
        <v>156</v>
      </c>
      <c r="G1982" s="34" t="s">
        <v>225</v>
      </c>
      <c r="H1982" s="35" t="s">
        <v>26</v>
      </c>
      <c r="I1982" s="35" t="s">
        <v>27</v>
      </c>
      <c r="J1982" s="57"/>
      <c r="K1982" s="57"/>
      <c r="L1982" s="84"/>
    </row>
    <row r="1983">
      <c r="A1983" s="32" t="s">
        <v>5255</v>
      </c>
      <c r="B1983" s="32" t="s">
        <v>5256</v>
      </c>
      <c r="C1983" s="33">
        <v>45926.0</v>
      </c>
      <c r="D1983" s="47" t="s">
        <v>39</v>
      </c>
      <c r="E1983" s="32" t="s">
        <v>44</v>
      </c>
      <c r="F1983" s="34" t="s">
        <v>24</v>
      </c>
      <c r="G1983" s="34" t="s">
        <v>1808</v>
      </c>
      <c r="H1983" s="35" t="s">
        <v>26</v>
      </c>
      <c r="I1983" s="58" t="str">
        <f>HYPERLINK("https://open.spotify.com/album/0uDLhsad5j1IT5nZfNrVf9", "S")</f>
        <v>S</v>
      </c>
      <c r="J1983" s="57"/>
      <c r="K1983" s="57"/>
      <c r="L1983" s="84"/>
    </row>
    <row r="1984">
      <c r="A1984" s="32" t="s">
        <v>5257</v>
      </c>
      <c r="B1984" s="32" t="s">
        <v>5258</v>
      </c>
      <c r="C1984" s="33">
        <v>45926.0</v>
      </c>
      <c r="D1984" s="34" t="s">
        <v>22</v>
      </c>
      <c r="E1984" s="32" t="s">
        <v>5259</v>
      </c>
      <c r="F1984" s="34" t="s">
        <v>24</v>
      </c>
      <c r="G1984" s="34" t="s">
        <v>5260</v>
      </c>
      <c r="H1984" s="35" t="s">
        <v>26</v>
      </c>
      <c r="I1984" s="36" t="str">
        <f>HYPERLINK("https://open.spotify.com/album/3Ekf76i5dUNefbjjksszEu", "S")</f>
        <v>S</v>
      </c>
      <c r="J1984" s="57"/>
      <c r="K1984" s="57"/>
      <c r="L1984" s="84"/>
    </row>
    <row r="1985">
      <c r="A1985" s="32" t="s">
        <v>5261</v>
      </c>
      <c r="B1985" s="32" t="s">
        <v>5262</v>
      </c>
      <c r="C1985" s="33">
        <v>45926.0</v>
      </c>
      <c r="D1985" s="34" t="s">
        <v>39</v>
      </c>
      <c r="E1985" s="32" t="s">
        <v>5052</v>
      </c>
      <c r="F1985" s="34" t="s">
        <v>53</v>
      </c>
      <c r="G1985" s="34" t="s">
        <v>423</v>
      </c>
      <c r="H1985" s="35" t="s">
        <v>26</v>
      </c>
      <c r="I1985" s="35" t="s">
        <v>27</v>
      </c>
      <c r="J1985" s="57"/>
      <c r="K1985" s="57"/>
      <c r="L1985" s="84"/>
    </row>
    <row r="1986">
      <c r="A1986" s="32" t="s">
        <v>5263</v>
      </c>
      <c r="B1986" s="32" t="s">
        <v>5264</v>
      </c>
      <c r="C1986" s="33">
        <v>45926.0</v>
      </c>
      <c r="D1986" s="34" t="s">
        <v>22</v>
      </c>
      <c r="E1986" s="32" t="s">
        <v>122</v>
      </c>
      <c r="F1986" s="34" t="s">
        <v>53</v>
      </c>
      <c r="G1986" s="34" t="s">
        <v>1884</v>
      </c>
      <c r="H1986" s="35" t="s">
        <v>26</v>
      </c>
      <c r="I1986" s="35" t="s">
        <v>27</v>
      </c>
      <c r="J1986" s="57"/>
      <c r="K1986" s="57"/>
      <c r="L1986" s="84"/>
    </row>
    <row r="1987">
      <c r="A1987" s="32" t="s">
        <v>5265</v>
      </c>
      <c r="B1987" s="32" t="s">
        <v>5266</v>
      </c>
      <c r="C1987" s="33">
        <v>45926.0</v>
      </c>
      <c r="D1987" s="47" t="s">
        <v>22</v>
      </c>
      <c r="E1987" s="32" t="s">
        <v>436</v>
      </c>
      <c r="F1987" s="34" t="s">
        <v>53</v>
      </c>
      <c r="G1987" s="34" t="s">
        <v>5267</v>
      </c>
      <c r="H1987" s="35" t="s">
        <v>26</v>
      </c>
      <c r="I1987" s="57"/>
      <c r="J1987" s="57"/>
      <c r="K1987" s="57"/>
      <c r="L1987" s="84"/>
    </row>
    <row r="1988">
      <c r="A1988" s="32" t="s">
        <v>5268</v>
      </c>
      <c r="B1988" s="32" t="s">
        <v>5269</v>
      </c>
      <c r="C1988" s="33">
        <v>45926.0</v>
      </c>
      <c r="D1988" s="47" t="s">
        <v>22</v>
      </c>
      <c r="E1988" s="32" t="s">
        <v>238</v>
      </c>
      <c r="F1988" s="34" t="s">
        <v>31</v>
      </c>
      <c r="G1988" s="34" t="s">
        <v>336</v>
      </c>
      <c r="H1988" s="35" t="s">
        <v>26</v>
      </c>
      <c r="I1988" s="35" t="s">
        <v>27</v>
      </c>
      <c r="J1988" s="57"/>
      <c r="K1988" s="57"/>
      <c r="L1988" s="84"/>
    </row>
    <row r="1989">
      <c r="A1989" s="32" t="s">
        <v>5270</v>
      </c>
      <c r="B1989" s="32" t="s">
        <v>1171</v>
      </c>
      <c r="C1989" s="33">
        <v>45927.0</v>
      </c>
      <c r="D1989" s="34" t="s">
        <v>22</v>
      </c>
      <c r="E1989" s="32" t="s">
        <v>1483</v>
      </c>
      <c r="F1989" s="34" t="s">
        <v>24</v>
      </c>
      <c r="G1989" s="34" t="s">
        <v>2200</v>
      </c>
      <c r="H1989" s="35" t="s">
        <v>26</v>
      </c>
      <c r="I1989" s="36" t="str">
        <f>HYPERLINK("https://open.spotify.com/album/2atfV63X0yoyVjTqokMxGt", "S")</f>
        <v>S</v>
      </c>
      <c r="J1989" s="57"/>
      <c r="K1989" s="57"/>
      <c r="L1989" s="84"/>
    </row>
    <row r="1990">
      <c r="A1990" s="32" t="s">
        <v>5271</v>
      </c>
      <c r="B1990" s="32" t="s">
        <v>5272</v>
      </c>
      <c r="C1990" s="33">
        <v>45927.0</v>
      </c>
      <c r="D1990" s="47" t="s">
        <v>22</v>
      </c>
      <c r="E1990" s="32" t="s">
        <v>84</v>
      </c>
      <c r="F1990" s="34" t="s">
        <v>24</v>
      </c>
      <c r="G1990" s="34" t="s">
        <v>5273</v>
      </c>
      <c r="H1990" s="35" t="s">
        <v>26</v>
      </c>
      <c r="I1990" s="35" t="s">
        <v>27</v>
      </c>
      <c r="J1990" s="57"/>
      <c r="K1990" s="57"/>
      <c r="L1990" s="84"/>
    </row>
    <row r="1991">
      <c r="A1991" s="32" t="s">
        <v>5274</v>
      </c>
      <c r="B1991" s="32" t="s">
        <v>5275</v>
      </c>
      <c r="C1991" s="33">
        <v>45929.0</v>
      </c>
      <c r="D1991" s="34" t="s">
        <v>22</v>
      </c>
      <c r="E1991" s="32" t="s">
        <v>126</v>
      </c>
      <c r="F1991" s="34" t="s">
        <v>24</v>
      </c>
      <c r="G1991" s="34" t="s">
        <v>5276</v>
      </c>
      <c r="H1991" s="35" t="s">
        <v>26</v>
      </c>
      <c r="I1991" s="35" t="s">
        <v>27</v>
      </c>
      <c r="J1991" s="57"/>
      <c r="K1991" s="57"/>
      <c r="L1991" s="84"/>
    </row>
    <row r="1992">
      <c r="A1992" s="32" t="s">
        <v>5277</v>
      </c>
      <c r="B1992" s="32" t="s">
        <v>5277</v>
      </c>
      <c r="C1992" s="33">
        <v>45930.0</v>
      </c>
      <c r="D1992" s="47" t="s">
        <v>22</v>
      </c>
      <c r="E1992" s="32" t="s">
        <v>5278</v>
      </c>
      <c r="F1992" s="34" t="s">
        <v>24</v>
      </c>
      <c r="G1992" s="34" t="s">
        <v>1144</v>
      </c>
      <c r="H1992" s="35" t="s">
        <v>26</v>
      </c>
      <c r="I1992" s="57"/>
      <c r="J1992" s="57"/>
      <c r="K1992" s="57"/>
      <c r="L1992" s="84"/>
    </row>
    <row r="1993">
      <c r="A1993" s="32" t="s">
        <v>5279</v>
      </c>
      <c r="B1993" s="32" t="s">
        <v>5280</v>
      </c>
      <c r="C1993" s="33">
        <v>45930.0</v>
      </c>
      <c r="D1993" s="34" t="s">
        <v>22</v>
      </c>
      <c r="E1993" s="32" t="s">
        <v>61</v>
      </c>
      <c r="F1993" s="34" t="s">
        <v>24</v>
      </c>
      <c r="G1993" s="34" t="s">
        <v>342</v>
      </c>
      <c r="H1993" s="35" t="s">
        <v>26</v>
      </c>
      <c r="I1993" s="35" t="s">
        <v>27</v>
      </c>
      <c r="J1993" s="35" t="s">
        <v>100</v>
      </c>
      <c r="K1993" s="57"/>
      <c r="L1993" s="84"/>
    </row>
    <row r="1994">
      <c r="A1994" s="32" t="s">
        <v>5281</v>
      </c>
      <c r="B1994" s="32" t="s">
        <v>5282</v>
      </c>
      <c r="C1994" s="33">
        <v>45930.0</v>
      </c>
      <c r="D1994" s="34" t="s">
        <v>22</v>
      </c>
      <c r="E1994" s="32" t="s">
        <v>855</v>
      </c>
      <c r="F1994" s="34" t="s">
        <v>156</v>
      </c>
      <c r="G1994" s="34" t="s">
        <v>2387</v>
      </c>
      <c r="H1994" s="35" t="s">
        <v>26</v>
      </c>
      <c r="I1994" s="35" t="s">
        <v>27</v>
      </c>
      <c r="J1994" s="57"/>
      <c r="K1994" s="57"/>
      <c r="L1994" s="84"/>
    </row>
    <row r="1995">
      <c r="A1995" s="32" t="s">
        <v>5283</v>
      </c>
      <c r="B1995" s="32" t="s">
        <v>5284</v>
      </c>
      <c r="C1995" s="33">
        <v>45930.0</v>
      </c>
      <c r="D1995" s="34" t="s">
        <v>22</v>
      </c>
      <c r="E1995" s="32" t="s">
        <v>5144</v>
      </c>
      <c r="F1995" s="34" t="s">
        <v>24</v>
      </c>
      <c r="G1995" s="34" t="s">
        <v>5285</v>
      </c>
      <c r="H1995" s="35" t="s">
        <v>26</v>
      </c>
      <c r="I1995" s="66"/>
      <c r="J1995" s="57"/>
      <c r="K1995" s="57"/>
      <c r="L1995" s="84"/>
    </row>
    <row r="1996">
      <c r="A1996" s="32" t="s">
        <v>5286</v>
      </c>
      <c r="B1996" s="32" t="s">
        <v>5287</v>
      </c>
      <c r="C1996" s="33">
        <v>45931.0</v>
      </c>
      <c r="D1996" s="34" t="s">
        <v>39</v>
      </c>
      <c r="E1996" s="32" t="s">
        <v>160</v>
      </c>
      <c r="F1996" s="34" t="s">
        <v>24</v>
      </c>
      <c r="G1996" s="34" t="s">
        <v>5288</v>
      </c>
      <c r="H1996" s="35" t="s">
        <v>26</v>
      </c>
      <c r="I1996" s="35" t="s">
        <v>27</v>
      </c>
      <c r="J1996" s="57"/>
      <c r="K1996" s="57"/>
      <c r="L1996" s="84"/>
    </row>
    <row r="1997">
      <c r="A1997" s="32" t="s">
        <v>5289</v>
      </c>
      <c r="B1997" s="32" t="s">
        <v>5290</v>
      </c>
      <c r="C1997" s="33">
        <v>45931.0</v>
      </c>
      <c r="D1997" s="34" t="s">
        <v>22</v>
      </c>
      <c r="E1997" s="32" t="s">
        <v>5291</v>
      </c>
      <c r="F1997" s="34" t="s">
        <v>156</v>
      </c>
      <c r="G1997" s="34" t="s">
        <v>96</v>
      </c>
      <c r="H1997" s="35" t="s">
        <v>26</v>
      </c>
      <c r="I1997" s="35" t="s">
        <v>27</v>
      </c>
      <c r="J1997" s="57"/>
      <c r="K1997" s="57"/>
      <c r="L1997" s="84"/>
    </row>
    <row r="1998">
      <c r="A1998" s="32" t="s">
        <v>5292</v>
      </c>
      <c r="B1998" s="32" t="s">
        <v>5293</v>
      </c>
      <c r="C1998" s="33">
        <v>45931.0</v>
      </c>
      <c r="D1998" s="34" t="s">
        <v>22</v>
      </c>
      <c r="E1998" s="32" t="s">
        <v>122</v>
      </c>
      <c r="F1998" s="34" t="s">
        <v>53</v>
      </c>
      <c r="G1998" s="34" t="s">
        <v>202</v>
      </c>
      <c r="H1998" s="35" t="s">
        <v>26</v>
      </c>
      <c r="I1998" s="35" t="s">
        <v>27</v>
      </c>
      <c r="J1998" s="35" t="s">
        <v>100</v>
      </c>
      <c r="K1998" s="57"/>
      <c r="L1998" s="84"/>
    </row>
    <row r="1999">
      <c r="A1999" s="32" t="s">
        <v>5294</v>
      </c>
      <c r="B1999" s="32" t="s">
        <v>5295</v>
      </c>
      <c r="C1999" s="33">
        <v>45931.0</v>
      </c>
      <c r="D1999" s="34" t="s">
        <v>22</v>
      </c>
      <c r="E1999" s="32" t="s">
        <v>4611</v>
      </c>
      <c r="F1999" s="34" t="s">
        <v>53</v>
      </c>
      <c r="G1999" s="34" t="s">
        <v>5296</v>
      </c>
      <c r="H1999" s="66"/>
      <c r="I1999" s="35" t="s">
        <v>27</v>
      </c>
      <c r="J1999" s="57"/>
      <c r="K1999" s="57"/>
      <c r="L1999" s="84"/>
    </row>
    <row r="2000">
      <c r="A2000" s="32" t="s">
        <v>5297</v>
      </c>
      <c r="B2000" s="32" t="s">
        <v>5298</v>
      </c>
      <c r="C2000" s="33">
        <v>45931.0</v>
      </c>
      <c r="D2000" s="34" t="s">
        <v>22</v>
      </c>
      <c r="E2000" s="32" t="s">
        <v>5299</v>
      </c>
      <c r="F2000" s="34" t="s">
        <v>156</v>
      </c>
      <c r="G2000" s="34" t="s">
        <v>5300</v>
      </c>
      <c r="H2000" s="35" t="s">
        <v>26</v>
      </c>
      <c r="I2000" s="57"/>
      <c r="J2000" s="57"/>
      <c r="K2000" s="57"/>
      <c r="L2000" s="84"/>
    </row>
    <row r="2001">
      <c r="A2001" s="32" t="s">
        <v>5301</v>
      </c>
      <c r="B2001" s="32" t="s">
        <v>5302</v>
      </c>
      <c r="C2001" s="33">
        <v>45931.0</v>
      </c>
      <c r="D2001" s="34" t="s">
        <v>22</v>
      </c>
      <c r="E2001" s="32" t="s">
        <v>5303</v>
      </c>
      <c r="F2001" s="34" t="s">
        <v>24</v>
      </c>
      <c r="G2001" s="34" t="s">
        <v>417</v>
      </c>
      <c r="H2001" s="35" t="s">
        <v>26</v>
      </c>
      <c r="I2001" s="35" t="s">
        <v>27</v>
      </c>
      <c r="J2001" s="57"/>
      <c r="K2001" s="57"/>
      <c r="L2001" s="84"/>
    </row>
    <row r="2002">
      <c r="A2002" s="32" t="s">
        <v>5304</v>
      </c>
      <c r="B2002" s="32" t="s">
        <v>5305</v>
      </c>
      <c r="C2002" s="33">
        <v>45931.0</v>
      </c>
      <c r="D2002" s="47" t="s">
        <v>39</v>
      </c>
      <c r="E2002" s="32" t="s">
        <v>23</v>
      </c>
      <c r="F2002" s="34" t="s">
        <v>24</v>
      </c>
      <c r="G2002" s="34" t="s">
        <v>41</v>
      </c>
      <c r="H2002" s="35" t="s">
        <v>26</v>
      </c>
      <c r="I2002" s="35" t="s">
        <v>27</v>
      </c>
      <c r="J2002" s="57"/>
      <c r="K2002" s="57"/>
      <c r="L2002" s="84"/>
    </row>
    <row r="2003">
      <c r="A2003" s="32" t="s">
        <v>5306</v>
      </c>
      <c r="B2003" s="32" t="s">
        <v>5307</v>
      </c>
      <c r="C2003" s="33">
        <v>45931.0</v>
      </c>
      <c r="D2003" s="34" t="s">
        <v>39</v>
      </c>
      <c r="E2003" s="32" t="s">
        <v>263</v>
      </c>
      <c r="F2003" s="34" t="s">
        <v>24</v>
      </c>
      <c r="G2003" s="34" t="s">
        <v>510</v>
      </c>
      <c r="H2003" s="35" t="s">
        <v>26</v>
      </c>
      <c r="I2003" s="35" t="s">
        <v>27</v>
      </c>
      <c r="J2003" s="57"/>
      <c r="K2003" s="57"/>
      <c r="L2003" s="84"/>
    </row>
    <row r="2004">
      <c r="A2004" s="32" t="s">
        <v>5308</v>
      </c>
      <c r="B2004" s="32" t="s">
        <v>5309</v>
      </c>
      <c r="C2004" s="33">
        <v>45931.0</v>
      </c>
      <c r="D2004" s="34" t="s">
        <v>22</v>
      </c>
      <c r="E2004" s="32" t="s">
        <v>107</v>
      </c>
      <c r="F2004" s="34" t="s">
        <v>53</v>
      </c>
      <c r="G2004" s="34" t="s">
        <v>761</v>
      </c>
      <c r="H2004" s="35" t="s">
        <v>26</v>
      </c>
      <c r="I2004" s="35" t="s">
        <v>27</v>
      </c>
      <c r="J2004" s="57"/>
      <c r="K2004" s="57"/>
      <c r="L2004" s="84"/>
    </row>
    <row r="2005">
      <c r="A2005" s="32" t="s">
        <v>5310</v>
      </c>
      <c r="B2005" s="32" t="s">
        <v>5311</v>
      </c>
      <c r="C2005" s="33">
        <v>45931.0</v>
      </c>
      <c r="D2005" s="47" t="s">
        <v>22</v>
      </c>
      <c r="E2005" s="32" t="s">
        <v>5312</v>
      </c>
      <c r="F2005" s="34" t="s">
        <v>156</v>
      </c>
      <c r="G2005" s="34" t="s">
        <v>2408</v>
      </c>
      <c r="H2005" s="35" t="s">
        <v>26</v>
      </c>
      <c r="I2005" s="35" t="s">
        <v>27</v>
      </c>
      <c r="J2005" s="57"/>
      <c r="K2005" s="57"/>
      <c r="L2005" s="84"/>
    </row>
    <row r="2006">
      <c r="A2006" s="32" t="s">
        <v>5313</v>
      </c>
      <c r="B2006" s="32" t="s">
        <v>5314</v>
      </c>
      <c r="C2006" s="33">
        <v>45931.0</v>
      </c>
      <c r="D2006" s="34" t="s">
        <v>22</v>
      </c>
      <c r="E2006" s="32" t="s">
        <v>2099</v>
      </c>
      <c r="F2006" s="34" t="s">
        <v>24</v>
      </c>
      <c r="G2006" s="34" t="s">
        <v>5315</v>
      </c>
      <c r="H2006" s="35" t="s">
        <v>26</v>
      </c>
      <c r="I2006" s="35" t="s">
        <v>27</v>
      </c>
      <c r="J2006" s="57"/>
      <c r="K2006" s="57"/>
      <c r="L2006" s="84"/>
    </row>
    <row r="2007">
      <c r="A2007" s="32" t="s">
        <v>5316</v>
      </c>
      <c r="B2007" s="32" t="s">
        <v>5317</v>
      </c>
      <c r="C2007" s="33">
        <v>45931.0</v>
      </c>
      <c r="D2007" s="34" t="s">
        <v>22</v>
      </c>
      <c r="E2007" s="32" t="s">
        <v>2710</v>
      </c>
      <c r="F2007" s="34" t="s">
        <v>24</v>
      </c>
      <c r="G2007" s="34" t="s">
        <v>1028</v>
      </c>
      <c r="H2007" s="35" t="s">
        <v>26</v>
      </c>
      <c r="I2007" s="35" t="s">
        <v>27</v>
      </c>
      <c r="J2007" s="57"/>
      <c r="K2007" s="57"/>
      <c r="L2007" s="84"/>
    </row>
    <row r="2008">
      <c r="A2008" s="32" t="s">
        <v>5318</v>
      </c>
      <c r="B2008" s="32" t="s">
        <v>5319</v>
      </c>
      <c r="C2008" s="33">
        <v>45932.0</v>
      </c>
      <c r="D2008" s="34" t="s">
        <v>22</v>
      </c>
      <c r="E2008" s="32" t="s">
        <v>5320</v>
      </c>
      <c r="F2008" s="34" t="s">
        <v>53</v>
      </c>
      <c r="G2008" s="34" t="s">
        <v>5321</v>
      </c>
      <c r="H2008" s="35" t="s">
        <v>26</v>
      </c>
      <c r="I2008" s="35" t="s">
        <v>27</v>
      </c>
      <c r="J2008" s="57"/>
      <c r="K2008" s="57"/>
      <c r="L2008" s="84"/>
    </row>
    <row r="2009">
      <c r="A2009" s="32" t="s">
        <v>5322</v>
      </c>
      <c r="B2009" s="32" t="s">
        <v>5323</v>
      </c>
      <c r="C2009" s="33">
        <v>45932.0</v>
      </c>
      <c r="D2009" s="34" t="s">
        <v>22</v>
      </c>
      <c r="E2009" s="32" t="s">
        <v>1000</v>
      </c>
      <c r="F2009" s="34" t="s">
        <v>24</v>
      </c>
      <c r="G2009" s="34" t="s">
        <v>2855</v>
      </c>
      <c r="H2009" s="35" t="s">
        <v>26</v>
      </c>
      <c r="I2009" s="35" t="s">
        <v>27</v>
      </c>
      <c r="J2009" s="57"/>
      <c r="K2009" s="57"/>
      <c r="L2009" s="84"/>
    </row>
    <row r="2010">
      <c r="A2010" s="32" t="s">
        <v>5324</v>
      </c>
      <c r="B2010" s="32" t="s">
        <v>5325</v>
      </c>
      <c r="C2010" s="33">
        <v>45932.0</v>
      </c>
      <c r="D2010" s="34" t="s">
        <v>22</v>
      </c>
      <c r="E2010" s="32" t="s">
        <v>5326</v>
      </c>
      <c r="F2010" s="34" t="s">
        <v>24</v>
      </c>
      <c r="G2010" s="34" t="s">
        <v>5327</v>
      </c>
      <c r="H2010" s="35" t="s">
        <v>26</v>
      </c>
      <c r="I2010" s="36" t="str">
        <f>HYPERLINK("https://open.spotify.com/album/5mWI3dlyp9736rNFRzejG4", "S")</f>
        <v>S</v>
      </c>
      <c r="J2010" s="57"/>
      <c r="K2010" s="57"/>
      <c r="L2010" s="84"/>
    </row>
    <row r="2011">
      <c r="A2011" s="32" t="s">
        <v>5328</v>
      </c>
      <c r="B2011" s="32" t="s">
        <v>5329</v>
      </c>
      <c r="C2011" s="33">
        <v>45933.0</v>
      </c>
      <c r="D2011" s="34" t="s">
        <v>22</v>
      </c>
      <c r="E2011" s="32" t="s">
        <v>5330</v>
      </c>
      <c r="F2011" s="34" t="s">
        <v>24</v>
      </c>
      <c r="G2011" s="34" t="s">
        <v>676</v>
      </c>
      <c r="H2011" s="35" t="s">
        <v>26</v>
      </c>
      <c r="I2011" s="35" t="s">
        <v>27</v>
      </c>
      <c r="J2011" s="57"/>
      <c r="K2011" s="57"/>
      <c r="L2011" s="84"/>
    </row>
    <row r="2012">
      <c r="A2012" s="32" t="s">
        <v>5331</v>
      </c>
      <c r="B2012" s="32" t="s">
        <v>5332</v>
      </c>
      <c r="C2012" s="33">
        <v>45933.0</v>
      </c>
      <c r="D2012" s="34" t="s">
        <v>22</v>
      </c>
      <c r="E2012" s="32" t="s">
        <v>463</v>
      </c>
      <c r="F2012" s="34" t="s">
        <v>156</v>
      </c>
      <c r="G2012" s="34" t="s">
        <v>2845</v>
      </c>
      <c r="H2012" s="35" t="s">
        <v>26</v>
      </c>
      <c r="I2012" s="35" t="s">
        <v>27</v>
      </c>
      <c r="J2012" s="35" t="s">
        <v>100</v>
      </c>
      <c r="K2012" s="57"/>
      <c r="L2012" s="84"/>
    </row>
    <row r="2013">
      <c r="A2013" s="32" t="s">
        <v>5333</v>
      </c>
      <c r="B2013" s="32" t="s">
        <v>5334</v>
      </c>
      <c r="C2013" s="33">
        <v>45933.0</v>
      </c>
      <c r="D2013" s="34" t="s">
        <v>39</v>
      </c>
      <c r="E2013" s="32" t="s">
        <v>632</v>
      </c>
      <c r="F2013" s="34" t="s">
        <v>24</v>
      </c>
      <c r="G2013" s="34" t="s">
        <v>5335</v>
      </c>
      <c r="H2013" s="35" t="s">
        <v>26</v>
      </c>
      <c r="I2013" s="35" t="s">
        <v>27</v>
      </c>
      <c r="J2013" s="35" t="s">
        <v>100</v>
      </c>
      <c r="K2013" s="57"/>
      <c r="L2013" s="84"/>
    </row>
    <row r="2014">
      <c r="A2014" s="32" t="s">
        <v>5336</v>
      </c>
      <c r="B2014" s="32" t="s">
        <v>5337</v>
      </c>
      <c r="C2014" s="33">
        <v>45933.0</v>
      </c>
      <c r="D2014" s="34" t="s">
        <v>22</v>
      </c>
      <c r="E2014" s="32" t="s">
        <v>5338</v>
      </c>
      <c r="F2014" s="34" t="s">
        <v>53</v>
      </c>
      <c r="G2014" s="34" t="s">
        <v>1407</v>
      </c>
      <c r="H2014" s="35" t="s">
        <v>26</v>
      </c>
      <c r="I2014" s="35" t="s">
        <v>27</v>
      </c>
      <c r="J2014" s="57"/>
      <c r="K2014" s="57"/>
      <c r="L2014" s="84"/>
    </row>
    <row r="2015">
      <c r="A2015" s="32" t="s">
        <v>5339</v>
      </c>
      <c r="B2015" s="32" t="s">
        <v>5340</v>
      </c>
      <c r="C2015" s="33">
        <v>45933.0</v>
      </c>
      <c r="D2015" s="34" t="s">
        <v>22</v>
      </c>
      <c r="E2015" s="32" t="s">
        <v>122</v>
      </c>
      <c r="F2015" s="34" t="s">
        <v>31</v>
      </c>
      <c r="G2015" s="34" t="s">
        <v>5341</v>
      </c>
      <c r="H2015" s="35" t="s">
        <v>26</v>
      </c>
      <c r="I2015" s="35" t="s">
        <v>27</v>
      </c>
      <c r="J2015" s="57"/>
      <c r="K2015" s="57"/>
      <c r="L2015" s="84"/>
    </row>
    <row r="2016">
      <c r="A2016" s="32" t="s">
        <v>5342</v>
      </c>
      <c r="B2016" s="32" t="s">
        <v>5343</v>
      </c>
      <c r="C2016" s="33">
        <v>45933.0</v>
      </c>
      <c r="D2016" s="34" t="s">
        <v>22</v>
      </c>
      <c r="E2016" s="32" t="s">
        <v>5344</v>
      </c>
      <c r="F2016" s="34" t="s">
        <v>53</v>
      </c>
      <c r="G2016" s="34" t="s">
        <v>32</v>
      </c>
      <c r="H2016" s="35" t="s">
        <v>26</v>
      </c>
      <c r="I2016" s="35" t="s">
        <v>27</v>
      </c>
      <c r="J2016" s="57"/>
      <c r="K2016" s="57"/>
      <c r="L2016" s="84"/>
    </row>
    <row r="2017">
      <c r="A2017" s="32" t="s">
        <v>5345</v>
      </c>
      <c r="B2017" s="32" t="s">
        <v>5346</v>
      </c>
      <c r="C2017" s="33">
        <v>45933.0</v>
      </c>
      <c r="D2017" s="34" t="s">
        <v>22</v>
      </c>
      <c r="E2017" s="32" t="s">
        <v>632</v>
      </c>
      <c r="F2017" s="34" t="s">
        <v>24</v>
      </c>
      <c r="G2017" s="34" t="s">
        <v>1808</v>
      </c>
      <c r="H2017" s="35" t="s">
        <v>26</v>
      </c>
      <c r="I2017" s="35" t="s">
        <v>27</v>
      </c>
      <c r="J2017" s="57"/>
      <c r="K2017" s="57"/>
      <c r="L2017" s="84"/>
    </row>
    <row r="2018">
      <c r="A2018" s="32" t="s">
        <v>5347</v>
      </c>
      <c r="B2018" s="32" t="s">
        <v>5348</v>
      </c>
      <c r="C2018" s="33">
        <v>45933.0</v>
      </c>
      <c r="D2018" s="34" t="s">
        <v>22</v>
      </c>
      <c r="E2018" s="32" t="s">
        <v>608</v>
      </c>
      <c r="F2018" s="34" t="s">
        <v>24</v>
      </c>
      <c r="G2018" s="34" t="s">
        <v>1938</v>
      </c>
      <c r="H2018" s="35" t="s">
        <v>26</v>
      </c>
      <c r="I2018" s="35" t="s">
        <v>27</v>
      </c>
      <c r="J2018" s="35" t="s">
        <v>100</v>
      </c>
      <c r="K2018" s="57"/>
      <c r="L2018" s="84"/>
    </row>
    <row r="2019">
      <c r="A2019" s="32" t="s">
        <v>5349</v>
      </c>
      <c r="B2019" s="32" t="s">
        <v>5350</v>
      </c>
      <c r="C2019" s="33">
        <v>45933.0</v>
      </c>
      <c r="D2019" s="34" t="s">
        <v>22</v>
      </c>
      <c r="E2019" s="32" t="s">
        <v>5351</v>
      </c>
      <c r="F2019" s="34" t="s">
        <v>53</v>
      </c>
      <c r="G2019" s="34" t="s">
        <v>5352</v>
      </c>
      <c r="H2019" s="35" t="s">
        <v>26</v>
      </c>
      <c r="I2019" s="35" t="s">
        <v>27</v>
      </c>
      <c r="J2019" s="57"/>
      <c r="K2019" s="57"/>
      <c r="L2019" s="84"/>
    </row>
    <row r="2020">
      <c r="A2020" s="32" t="s">
        <v>5353</v>
      </c>
      <c r="B2020" s="32" t="s">
        <v>5354</v>
      </c>
      <c r="C2020" s="33">
        <v>45933.0</v>
      </c>
      <c r="D2020" s="34" t="s">
        <v>22</v>
      </c>
      <c r="E2020" s="32" t="s">
        <v>5355</v>
      </c>
      <c r="F2020" s="34" t="s">
        <v>53</v>
      </c>
      <c r="G2020" s="34" t="s">
        <v>708</v>
      </c>
      <c r="H2020" s="35" t="s">
        <v>26</v>
      </c>
      <c r="I2020" s="35" t="s">
        <v>27</v>
      </c>
      <c r="J2020" s="35" t="s">
        <v>100</v>
      </c>
      <c r="K2020" s="57"/>
      <c r="L2020" s="84"/>
    </row>
    <row r="2021">
      <c r="A2021" s="32" t="s">
        <v>5356</v>
      </c>
      <c r="B2021" s="32" t="s">
        <v>5357</v>
      </c>
      <c r="C2021" s="33">
        <v>45933.0</v>
      </c>
      <c r="D2021" s="34" t="s">
        <v>22</v>
      </c>
      <c r="E2021" s="32" t="s">
        <v>5358</v>
      </c>
      <c r="F2021" s="34" t="s">
        <v>24</v>
      </c>
      <c r="G2021" s="34" t="s">
        <v>299</v>
      </c>
      <c r="H2021" s="35" t="s">
        <v>26</v>
      </c>
      <c r="I2021" s="35" t="s">
        <v>27</v>
      </c>
      <c r="J2021" s="35" t="s">
        <v>100</v>
      </c>
      <c r="K2021" s="57"/>
      <c r="L2021" s="84"/>
    </row>
    <row r="2022">
      <c r="A2022" s="32" t="s">
        <v>5359</v>
      </c>
      <c r="B2022" s="32" t="s">
        <v>5360</v>
      </c>
      <c r="C2022" s="33">
        <v>45933.0</v>
      </c>
      <c r="D2022" s="34" t="s">
        <v>22</v>
      </c>
      <c r="E2022" s="32" t="s">
        <v>5361</v>
      </c>
      <c r="F2022" s="34" t="s">
        <v>53</v>
      </c>
      <c r="G2022" s="34" t="s">
        <v>225</v>
      </c>
      <c r="H2022" s="35" t="s">
        <v>26</v>
      </c>
      <c r="I2022" s="35" t="s">
        <v>27</v>
      </c>
      <c r="J2022" s="35" t="s">
        <v>100</v>
      </c>
      <c r="K2022" s="57"/>
      <c r="L2022" s="84"/>
    </row>
    <row r="2023">
      <c r="A2023" s="32" t="s">
        <v>5362</v>
      </c>
      <c r="B2023" s="32" t="s">
        <v>5363</v>
      </c>
      <c r="C2023" s="33">
        <v>45933.0</v>
      </c>
      <c r="D2023" s="34" t="s">
        <v>22</v>
      </c>
      <c r="E2023" s="32" t="s">
        <v>98</v>
      </c>
      <c r="F2023" s="34" t="s">
        <v>24</v>
      </c>
      <c r="G2023" s="34" t="s">
        <v>371</v>
      </c>
      <c r="H2023" s="66"/>
      <c r="I2023" s="35" t="s">
        <v>27</v>
      </c>
      <c r="J2023" s="57"/>
      <c r="K2023" s="57"/>
      <c r="L2023" s="84"/>
    </row>
    <row r="2024">
      <c r="A2024" s="32" t="s">
        <v>5364</v>
      </c>
      <c r="B2024" s="32" t="s">
        <v>5365</v>
      </c>
      <c r="C2024" s="33">
        <v>45933.0</v>
      </c>
      <c r="D2024" s="34" t="s">
        <v>22</v>
      </c>
      <c r="E2024" s="32" t="s">
        <v>5366</v>
      </c>
      <c r="F2024" s="34" t="s">
        <v>24</v>
      </c>
      <c r="G2024" s="34" t="s">
        <v>5367</v>
      </c>
      <c r="H2024" s="35" t="s">
        <v>26</v>
      </c>
      <c r="I2024" s="35" t="s">
        <v>27</v>
      </c>
      <c r="J2024" s="57"/>
      <c r="K2024" s="57"/>
      <c r="L2024" s="84"/>
    </row>
    <row r="2025">
      <c r="A2025" s="32" t="s">
        <v>5368</v>
      </c>
      <c r="B2025" s="32" t="s">
        <v>5369</v>
      </c>
      <c r="C2025" s="33">
        <v>45933.0</v>
      </c>
      <c r="D2025" s="34" t="s">
        <v>22</v>
      </c>
      <c r="E2025" s="32" t="s">
        <v>5370</v>
      </c>
      <c r="F2025" s="34" t="s">
        <v>53</v>
      </c>
      <c r="G2025" s="34" t="s">
        <v>3897</v>
      </c>
      <c r="H2025" s="35" t="s">
        <v>26</v>
      </c>
      <c r="I2025" s="35" t="s">
        <v>27</v>
      </c>
      <c r="J2025" s="35" t="s">
        <v>100</v>
      </c>
      <c r="K2025" s="57"/>
      <c r="L2025" s="84"/>
    </row>
    <row r="2026">
      <c r="A2026" s="32" t="s">
        <v>5371</v>
      </c>
      <c r="B2026" s="32" t="s">
        <v>5372</v>
      </c>
      <c r="C2026" s="33">
        <v>45933.0</v>
      </c>
      <c r="D2026" s="34" t="s">
        <v>22</v>
      </c>
      <c r="E2026" s="32" t="s">
        <v>61</v>
      </c>
      <c r="F2026" s="34" t="s">
        <v>24</v>
      </c>
      <c r="G2026" s="34" t="s">
        <v>423</v>
      </c>
      <c r="H2026" s="35" t="s">
        <v>26</v>
      </c>
      <c r="I2026" s="96" t="s">
        <v>27</v>
      </c>
      <c r="J2026" s="35" t="s">
        <v>100</v>
      </c>
      <c r="K2026" s="57"/>
      <c r="L2026" s="84"/>
    </row>
    <row r="2027">
      <c r="A2027" s="32" t="s">
        <v>5373</v>
      </c>
      <c r="B2027" s="32" t="s">
        <v>5374</v>
      </c>
      <c r="C2027" s="33">
        <v>45933.0</v>
      </c>
      <c r="D2027" s="34" t="s">
        <v>22</v>
      </c>
      <c r="E2027" s="32" t="s">
        <v>5375</v>
      </c>
      <c r="F2027" s="34" t="s">
        <v>53</v>
      </c>
      <c r="G2027" s="34" t="s">
        <v>1436</v>
      </c>
      <c r="H2027" s="35" t="s">
        <v>26</v>
      </c>
      <c r="I2027" s="35" t="s">
        <v>27</v>
      </c>
      <c r="J2027" s="57"/>
      <c r="K2027" s="57"/>
      <c r="L2027" s="84"/>
    </row>
    <row r="2028">
      <c r="A2028" s="32" t="s">
        <v>5376</v>
      </c>
      <c r="B2028" s="32" t="s">
        <v>5377</v>
      </c>
      <c r="C2028" s="33">
        <v>45933.0</v>
      </c>
      <c r="D2028" s="34" t="s">
        <v>22</v>
      </c>
      <c r="E2028" s="32" t="s">
        <v>5003</v>
      </c>
      <c r="F2028" s="34" t="s">
        <v>53</v>
      </c>
      <c r="G2028" s="34" t="s">
        <v>3257</v>
      </c>
      <c r="H2028" s="35" t="s">
        <v>26</v>
      </c>
      <c r="I2028" s="35" t="s">
        <v>27</v>
      </c>
      <c r="J2028" s="35" t="s">
        <v>100</v>
      </c>
      <c r="K2028" s="57"/>
      <c r="L2028" s="84"/>
    </row>
    <row r="2029">
      <c r="A2029" s="32" t="s">
        <v>5378</v>
      </c>
      <c r="B2029" s="32" t="s">
        <v>5379</v>
      </c>
      <c r="C2029" s="33">
        <v>45933.0</v>
      </c>
      <c r="D2029" s="34" t="s">
        <v>39</v>
      </c>
      <c r="E2029" s="32" t="s">
        <v>3123</v>
      </c>
      <c r="F2029" s="34" t="s">
        <v>53</v>
      </c>
      <c r="G2029" s="34" t="s">
        <v>5380</v>
      </c>
      <c r="H2029" s="35" t="s">
        <v>26</v>
      </c>
      <c r="I2029" s="35" t="s">
        <v>27</v>
      </c>
      <c r="J2029" s="57"/>
      <c r="K2029" s="57"/>
      <c r="L2029" s="84"/>
    </row>
    <row r="2030">
      <c r="A2030" s="32" t="s">
        <v>5381</v>
      </c>
      <c r="B2030" s="32" t="s">
        <v>5382</v>
      </c>
      <c r="C2030" s="33">
        <v>45933.0</v>
      </c>
      <c r="D2030" s="34" t="s">
        <v>22</v>
      </c>
      <c r="E2030" s="32" t="s">
        <v>61</v>
      </c>
      <c r="F2030" s="34" t="s">
        <v>24</v>
      </c>
      <c r="G2030" s="34" t="s">
        <v>5383</v>
      </c>
      <c r="H2030" s="35" t="s">
        <v>26</v>
      </c>
      <c r="I2030" s="35" t="s">
        <v>27</v>
      </c>
      <c r="J2030" s="57"/>
      <c r="K2030" s="57"/>
      <c r="L2030" s="84"/>
    </row>
    <row r="2031">
      <c r="A2031" s="32" t="s">
        <v>5384</v>
      </c>
      <c r="B2031" s="32" t="s">
        <v>5385</v>
      </c>
      <c r="C2031" s="33">
        <v>45933.0</v>
      </c>
      <c r="D2031" s="47" t="s">
        <v>39</v>
      </c>
      <c r="E2031" s="32" t="s">
        <v>5386</v>
      </c>
      <c r="F2031" s="34" t="s">
        <v>53</v>
      </c>
      <c r="G2031" s="34" t="s">
        <v>5387</v>
      </c>
      <c r="H2031" s="35" t="s">
        <v>26</v>
      </c>
      <c r="I2031" s="35" t="s">
        <v>27</v>
      </c>
      <c r="J2031" s="57"/>
      <c r="K2031" s="57"/>
      <c r="L2031" s="84"/>
    </row>
    <row r="2032">
      <c r="A2032" s="32" t="s">
        <v>5388</v>
      </c>
      <c r="B2032" s="32" t="s">
        <v>5389</v>
      </c>
      <c r="C2032" s="33">
        <v>45933.0</v>
      </c>
      <c r="D2032" s="34" t="s">
        <v>22</v>
      </c>
      <c r="E2032" s="32" t="s">
        <v>1743</v>
      </c>
      <c r="F2032" s="34" t="s">
        <v>24</v>
      </c>
      <c r="G2032" s="34" t="s">
        <v>5390</v>
      </c>
      <c r="H2032" s="35" t="s">
        <v>26</v>
      </c>
      <c r="I2032" s="34"/>
      <c r="J2032" s="57"/>
      <c r="K2032" s="57"/>
      <c r="L2032" s="84"/>
    </row>
    <row r="2033">
      <c r="A2033" s="32" t="s">
        <v>5391</v>
      </c>
      <c r="B2033" s="32" t="s">
        <v>5392</v>
      </c>
      <c r="C2033" s="33">
        <v>45933.0</v>
      </c>
      <c r="D2033" s="34" t="s">
        <v>39</v>
      </c>
      <c r="E2033" s="32" t="s">
        <v>2987</v>
      </c>
      <c r="F2033" s="34" t="s">
        <v>53</v>
      </c>
      <c r="G2033" s="34" t="s">
        <v>5393</v>
      </c>
      <c r="H2033" s="66"/>
      <c r="I2033" s="35" t="s">
        <v>27</v>
      </c>
      <c r="J2033" s="57"/>
      <c r="K2033" s="57"/>
      <c r="L2033" s="84"/>
    </row>
    <row r="2034">
      <c r="A2034" s="32" t="s">
        <v>5394</v>
      </c>
      <c r="B2034" s="32" t="s">
        <v>5395</v>
      </c>
      <c r="C2034" s="33">
        <v>45933.0</v>
      </c>
      <c r="D2034" s="34" t="s">
        <v>39</v>
      </c>
      <c r="E2034" s="32" t="s">
        <v>3098</v>
      </c>
      <c r="F2034" s="34" t="s">
        <v>24</v>
      </c>
      <c r="G2034" s="34" t="s">
        <v>5396</v>
      </c>
      <c r="H2034" s="35" t="s">
        <v>26</v>
      </c>
      <c r="I2034" s="35" t="s">
        <v>27</v>
      </c>
      <c r="J2034" s="57"/>
      <c r="K2034" s="57"/>
      <c r="L2034" s="84"/>
    </row>
    <row r="2035">
      <c r="A2035" s="32" t="s">
        <v>5397</v>
      </c>
      <c r="B2035" s="32" t="s">
        <v>5398</v>
      </c>
      <c r="C2035" s="33">
        <v>45933.0</v>
      </c>
      <c r="D2035" s="34" t="s">
        <v>22</v>
      </c>
      <c r="E2035" s="32" t="s">
        <v>741</v>
      </c>
      <c r="F2035" s="34" t="s">
        <v>24</v>
      </c>
      <c r="G2035" s="34" t="s">
        <v>892</v>
      </c>
      <c r="H2035" s="35" t="s">
        <v>26</v>
      </c>
      <c r="I2035" s="35" t="s">
        <v>27</v>
      </c>
      <c r="J2035" s="35" t="s">
        <v>100</v>
      </c>
      <c r="K2035" s="57"/>
      <c r="L2035" s="84"/>
    </row>
    <row r="2036">
      <c r="A2036" s="32" t="s">
        <v>5399</v>
      </c>
      <c r="B2036" s="32" t="s">
        <v>2877</v>
      </c>
      <c r="C2036" s="33">
        <v>45933.0</v>
      </c>
      <c r="D2036" s="34" t="s">
        <v>22</v>
      </c>
      <c r="E2036" s="32" t="s">
        <v>5400</v>
      </c>
      <c r="F2036" s="34" t="s">
        <v>24</v>
      </c>
      <c r="G2036" s="34" t="s">
        <v>5401</v>
      </c>
      <c r="H2036" s="35" t="s">
        <v>26</v>
      </c>
      <c r="I2036" s="35" t="s">
        <v>27</v>
      </c>
      <c r="J2036" s="57"/>
      <c r="K2036" s="57"/>
      <c r="L2036" s="84"/>
    </row>
    <row r="2037">
      <c r="A2037" s="32" t="s">
        <v>5402</v>
      </c>
      <c r="B2037" s="32" t="s">
        <v>5403</v>
      </c>
      <c r="C2037" s="33">
        <v>45933.0</v>
      </c>
      <c r="D2037" s="34" t="s">
        <v>39</v>
      </c>
      <c r="E2037" s="32" t="s">
        <v>3123</v>
      </c>
      <c r="F2037" s="34" t="s">
        <v>53</v>
      </c>
      <c r="G2037" s="34" t="s">
        <v>96</v>
      </c>
      <c r="H2037" s="35" t="s">
        <v>26</v>
      </c>
      <c r="I2037" s="35" t="s">
        <v>27</v>
      </c>
      <c r="J2037" s="57"/>
      <c r="K2037" s="57"/>
      <c r="L2037" s="84"/>
    </row>
    <row r="2038">
      <c r="A2038" s="32" t="s">
        <v>5404</v>
      </c>
      <c r="B2038" s="32" t="s">
        <v>5405</v>
      </c>
      <c r="C2038" s="33">
        <v>45933.0</v>
      </c>
      <c r="D2038" s="47" t="s">
        <v>39</v>
      </c>
      <c r="E2038" s="32" t="s">
        <v>61</v>
      </c>
      <c r="F2038" s="34" t="s">
        <v>24</v>
      </c>
      <c r="G2038" s="34" t="s">
        <v>892</v>
      </c>
      <c r="H2038" s="35" t="s">
        <v>26</v>
      </c>
      <c r="I2038" s="35" t="s">
        <v>27</v>
      </c>
      <c r="J2038" s="57"/>
      <c r="K2038" s="57"/>
      <c r="L2038" s="84"/>
    </row>
    <row r="2039">
      <c r="A2039" s="32" t="s">
        <v>5406</v>
      </c>
      <c r="B2039" s="32" t="s">
        <v>5407</v>
      </c>
      <c r="C2039" s="33">
        <v>45933.0</v>
      </c>
      <c r="D2039" s="47" t="s">
        <v>22</v>
      </c>
      <c r="E2039" s="32" t="s">
        <v>176</v>
      </c>
      <c r="F2039" s="34" t="s">
        <v>53</v>
      </c>
      <c r="G2039" s="34" t="s">
        <v>437</v>
      </c>
      <c r="H2039" s="35" t="s">
        <v>26</v>
      </c>
      <c r="I2039" s="35" t="s">
        <v>27</v>
      </c>
      <c r="J2039" s="57"/>
      <c r="K2039" s="57"/>
      <c r="L2039" s="84"/>
    </row>
    <row r="2040">
      <c r="A2040" s="32" t="s">
        <v>5408</v>
      </c>
      <c r="B2040" s="32" t="s">
        <v>5409</v>
      </c>
      <c r="C2040" s="33">
        <v>45933.0</v>
      </c>
      <c r="D2040" s="47" t="s">
        <v>22</v>
      </c>
      <c r="E2040" s="32" t="s">
        <v>5410</v>
      </c>
      <c r="F2040" s="34" t="s">
        <v>53</v>
      </c>
      <c r="G2040" s="34" t="s">
        <v>5411</v>
      </c>
      <c r="H2040" s="35" t="s">
        <v>26</v>
      </c>
      <c r="I2040" s="35" t="s">
        <v>27</v>
      </c>
      <c r="J2040" s="57"/>
      <c r="K2040" s="57"/>
      <c r="L2040" s="84"/>
    </row>
    <row r="2041">
      <c r="A2041" s="32" t="s">
        <v>1515</v>
      </c>
      <c r="B2041" s="32" t="s">
        <v>5412</v>
      </c>
      <c r="C2041" s="33">
        <v>45933.0</v>
      </c>
      <c r="D2041" s="47" t="s">
        <v>39</v>
      </c>
      <c r="E2041" s="32" t="s">
        <v>513</v>
      </c>
      <c r="F2041" s="34" t="s">
        <v>156</v>
      </c>
      <c r="G2041" s="34" t="s">
        <v>1513</v>
      </c>
      <c r="H2041" s="35" t="s">
        <v>26</v>
      </c>
      <c r="I2041" s="35" t="s">
        <v>27</v>
      </c>
      <c r="J2041" s="57"/>
      <c r="K2041" s="57"/>
      <c r="L2041" s="84"/>
    </row>
    <row r="2042">
      <c r="A2042" s="32" t="s">
        <v>5413</v>
      </c>
      <c r="B2042" s="32" t="s">
        <v>5414</v>
      </c>
      <c r="C2042" s="33">
        <v>45933.0</v>
      </c>
      <c r="D2042" s="34" t="s">
        <v>22</v>
      </c>
      <c r="E2042" s="32" t="s">
        <v>122</v>
      </c>
      <c r="F2042" s="34" t="s">
        <v>156</v>
      </c>
      <c r="G2042" s="34" t="s">
        <v>1201</v>
      </c>
      <c r="H2042" s="35" t="s">
        <v>26</v>
      </c>
      <c r="I2042" s="35" t="s">
        <v>27</v>
      </c>
      <c r="J2042" s="57"/>
      <c r="K2042" s="57"/>
      <c r="L2042" s="84"/>
    </row>
    <row r="2043">
      <c r="A2043" s="32" t="s">
        <v>5415</v>
      </c>
      <c r="B2043" s="32" t="s">
        <v>5416</v>
      </c>
      <c r="C2043" s="33">
        <v>45933.0</v>
      </c>
      <c r="D2043" s="34" t="s">
        <v>22</v>
      </c>
      <c r="E2043" s="32" t="s">
        <v>73</v>
      </c>
      <c r="F2043" s="34" t="s">
        <v>24</v>
      </c>
      <c r="G2043" s="34" t="s">
        <v>1127</v>
      </c>
      <c r="H2043" s="35" t="s">
        <v>26</v>
      </c>
      <c r="I2043" s="35" t="s">
        <v>27</v>
      </c>
      <c r="J2043" s="57"/>
      <c r="K2043" s="57"/>
      <c r="L2043" s="84"/>
    </row>
    <row r="2044">
      <c r="A2044" s="32" t="s">
        <v>5417</v>
      </c>
      <c r="B2044" s="32" t="s">
        <v>5418</v>
      </c>
      <c r="C2044" s="33">
        <v>45933.0</v>
      </c>
      <c r="D2044" s="47" t="s">
        <v>39</v>
      </c>
      <c r="E2044" s="32" t="s">
        <v>355</v>
      </c>
      <c r="F2044" s="34" t="s">
        <v>24</v>
      </c>
      <c r="G2044" s="34" t="s">
        <v>196</v>
      </c>
      <c r="H2044" s="35" t="s">
        <v>26</v>
      </c>
      <c r="I2044" s="35" t="s">
        <v>27</v>
      </c>
      <c r="J2044" s="57"/>
      <c r="K2044" s="57"/>
      <c r="L2044" s="84"/>
    </row>
    <row r="2045">
      <c r="A2045" s="32" t="s">
        <v>5419</v>
      </c>
      <c r="B2045" s="32" t="s">
        <v>5420</v>
      </c>
      <c r="C2045" s="33">
        <v>45933.0</v>
      </c>
      <c r="D2045" s="47" t="s">
        <v>22</v>
      </c>
      <c r="E2045" s="32" t="s">
        <v>73</v>
      </c>
      <c r="F2045" s="34" t="s">
        <v>24</v>
      </c>
      <c r="G2045" s="34" t="s">
        <v>32</v>
      </c>
      <c r="H2045" s="35" t="s">
        <v>26</v>
      </c>
      <c r="I2045" s="35" t="s">
        <v>27</v>
      </c>
      <c r="J2045" s="35" t="s">
        <v>100</v>
      </c>
      <c r="K2045" s="57"/>
      <c r="L2045" s="84"/>
    </row>
    <row r="2046">
      <c r="A2046" s="32" t="s">
        <v>5421</v>
      </c>
      <c r="B2046" s="32" t="s">
        <v>5422</v>
      </c>
      <c r="C2046" s="33">
        <v>45933.0</v>
      </c>
      <c r="D2046" s="34" t="s">
        <v>22</v>
      </c>
      <c r="E2046" s="32" t="s">
        <v>176</v>
      </c>
      <c r="F2046" s="34" t="s">
        <v>156</v>
      </c>
      <c r="G2046" s="34" t="s">
        <v>152</v>
      </c>
      <c r="H2046" s="35" t="s">
        <v>26</v>
      </c>
      <c r="I2046" s="35" t="s">
        <v>27</v>
      </c>
      <c r="J2046" s="57"/>
      <c r="K2046" s="57"/>
      <c r="L2046" s="84"/>
    </row>
    <row r="2047">
      <c r="A2047" s="32" t="s">
        <v>5423</v>
      </c>
      <c r="B2047" s="32" t="s">
        <v>562</v>
      </c>
      <c r="C2047" s="33">
        <v>45933.0</v>
      </c>
      <c r="D2047" s="34" t="s">
        <v>22</v>
      </c>
      <c r="E2047" s="32" t="s">
        <v>5424</v>
      </c>
      <c r="F2047" s="34" t="s">
        <v>53</v>
      </c>
      <c r="G2047" s="34" t="s">
        <v>5425</v>
      </c>
      <c r="H2047" s="35" t="s">
        <v>26</v>
      </c>
      <c r="I2047" s="35" t="s">
        <v>27</v>
      </c>
      <c r="J2047" s="57"/>
      <c r="K2047" s="57"/>
      <c r="L2047" s="84"/>
    </row>
    <row r="2048">
      <c r="A2048" s="32" t="s">
        <v>5426</v>
      </c>
      <c r="B2048" s="32" t="s">
        <v>5427</v>
      </c>
      <c r="C2048" s="33">
        <v>45933.0</v>
      </c>
      <c r="D2048" s="34" t="s">
        <v>22</v>
      </c>
      <c r="E2048" s="32" t="s">
        <v>5042</v>
      </c>
      <c r="F2048" s="34" t="s">
        <v>53</v>
      </c>
      <c r="G2048" s="34" t="s">
        <v>3686</v>
      </c>
      <c r="H2048" s="35" t="s">
        <v>26</v>
      </c>
      <c r="I2048" s="66"/>
      <c r="J2048" s="57"/>
      <c r="K2048" s="57"/>
      <c r="L2048" s="84"/>
    </row>
    <row r="2049">
      <c r="A2049" s="32" t="s">
        <v>5428</v>
      </c>
      <c r="B2049" s="32" t="s">
        <v>5429</v>
      </c>
      <c r="C2049" s="33">
        <v>45933.0</v>
      </c>
      <c r="D2049" s="69" t="s">
        <v>22</v>
      </c>
      <c r="E2049" s="32" t="s">
        <v>73</v>
      </c>
      <c r="F2049" s="34" t="s">
        <v>24</v>
      </c>
      <c r="G2049" s="34" t="s">
        <v>454</v>
      </c>
      <c r="H2049" s="35" t="s">
        <v>26</v>
      </c>
      <c r="I2049" s="35" t="s">
        <v>27</v>
      </c>
      <c r="J2049" s="57"/>
      <c r="K2049" s="57"/>
      <c r="L2049" s="84"/>
    </row>
    <row r="2050">
      <c r="A2050" s="32" t="s">
        <v>5430</v>
      </c>
      <c r="B2050" s="32" t="s">
        <v>5431</v>
      </c>
      <c r="C2050" s="33">
        <v>45933.0</v>
      </c>
      <c r="D2050" s="34" t="s">
        <v>22</v>
      </c>
      <c r="E2050" s="32" t="s">
        <v>2397</v>
      </c>
      <c r="F2050" s="34" t="s">
        <v>24</v>
      </c>
      <c r="G2050" s="34" t="s">
        <v>32</v>
      </c>
      <c r="H2050" s="35" t="s">
        <v>26</v>
      </c>
      <c r="I2050" s="35" t="s">
        <v>27</v>
      </c>
      <c r="J2050" s="57"/>
      <c r="K2050" s="57"/>
      <c r="L2050" s="84"/>
    </row>
    <row r="2051">
      <c r="A2051" s="32" t="s">
        <v>5432</v>
      </c>
      <c r="B2051" s="32" t="s">
        <v>5433</v>
      </c>
      <c r="C2051" s="33">
        <v>45933.0</v>
      </c>
      <c r="D2051" s="34" t="s">
        <v>22</v>
      </c>
      <c r="E2051" s="32" t="s">
        <v>5434</v>
      </c>
      <c r="F2051" s="34" t="s">
        <v>24</v>
      </c>
      <c r="G2051" s="34" t="s">
        <v>2387</v>
      </c>
      <c r="H2051" s="35" t="s">
        <v>26</v>
      </c>
      <c r="I2051" s="66"/>
      <c r="J2051" s="57"/>
      <c r="K2051" s="57"/>
      <c r="L2051" s="84"/>
    </row>
    <row r="2052">
      <c r="A2052" s="32" t="s">
        <v>5435</v>
      </c>
      <c r="B2052" s="32" t="s">
        <v>5436</v>
      </c>
      <c r="C2052" s="33">
        <v>45936.0</v>
      </c>
      <c r="D2052" s="34" t="s">
        <v>22</v>
      </c>
      <c r="E2052" s="32" t="s">
        <v>122</v>
      </c>
      <c r="F2052" s="34" t="s">
        <v>31</v>
      </c>
      <c r="G2052" s="34" t="s">
        <v>3501</v>
      </c>
      <c r="H2052" s="35" t="s">
        <v>26</v>
      </c>
      <c r="I2052" s="36" t="str">
        <f>HYPERLINK("https://open.spotify.com/album/6ixbD2oGlGOqLIn7WMRReQ", "S")</f>
        <v>S</v>
      </c>
      <c r="J2052" s="57"/>
      <c r="K2052" s="57"/>
      <c r="L2052" s="84"/>
    </row>
    <row r="2053">
      <c r="A2053" s="32" t="s">
        <v>5437</v>
      </c>
      <c r="B2053" s="32" t="s">
        <v>5438</v>
      </c>
      <c r="C2053" s="33">
        <v>45937.0</v>
      </c>
      <c r="D2053" s="34" t="s">
        <v>22</v>
      </c>
      <c r="E2053" s="32" t="s">
        <v>256</v>
      </c>
      <c r="F2053" s="34" t="s">
        <v>156</v>
      </c>
      <c r="G2053" s="34" t="s">
        <v>712</v>
      </c>
      <c r="H2053" s="35" t="s">
        <v>26</v>
      </c>
      <c r="I2053" s="35" t="s">
        <v>27</v>
      </c>
      <c r="J2053" s="57"/>
      <c r="K2053" s="57"/>
      <c r="L2053" s="84"/>
    </row>
    <row r="2054">
      <c r="A2054" s="32" t="s">
        <v>5439</v>
      </c>
      <c r="B2054" s="32" t="s">
        <v>5440</v>
      </c>
      <c r="C2054" s="33">
        <v>45937.0</v>
      </c>
      <c r="D2054" s="34" t="s">
        <v>22</v>
      </c>
      <c r="E2054" s="32" t="s">
        <v>2400</v>
      </c>
      <c r="F2054" s="34" t="s">
        <v>31</v>
      </c>
      <c r="G2054" s="34" t="s">
        <v>49</v>
      </c>
      <c r="H2054" s="35" t="s">
        <v>26</v>
      </c>
      <c r="I2054" s="36" t="str">
        <f>HYPERLINK("https://open.spotify.com/album/37qMqhF4UREzbH4G3VxYE5", "S")</f>
        <v>S</v>
      </c>
      <c r="J2054" s="57"/>
      <c r="K2054" s="57"/>
      <c r="L2054" s="84"/>
    </row>
    <row r="2055">
      <c r="A2055" s="32" t="s">
        <v>5441</v>
      </c>
      <c r="B2055" s="32" t="s">
        <v>5442</v>
      </c>
      <c r="C2055" s="33">
        <v>45937.0</v>
      </c>
      <c r="D2055" s="34" t="s">
        <v>22</v>
      </c>
      <c r="E2055" s="32" t="s">
        <v>5443</v>
      </c>
      <c r="F2055" s="34" t="s">
        <v>53</v>
      </c>
      <c r="G2055" s="34" t="s">
        <v>2719</v>
      </c>
      <c r="H2055" s="35" t="s">
        <v>26</v>
      </c>
      <c r="I2055" s="35" t="s">
        <v>27</v>
      </c>
      <c r="J2055" s="57"/>
      <c r="K2055" s="57"/>
      <c r="L2055" s="84"/>
    </row>
    <row r="2056">
      <c r="A2056" s="32" t="s">
        <v>5444</v>
      </c>
      <c r="B2056" s="32" t="s">
        <v>5445</v>
      </c>
      <c r="C2056" s="33">
        <v>45937.0</v>
      </c>
      <c r="D2056" s="34" t="s">
        <v>22</v>
      </c>
      <c r="E2056" s="32" t="s">
        <v>5446</v>
      </c>
      <c r="F2056" s="34" t="s">
        <v>24</v>
      </c>
      <c r="G2056" s="34" t="s">
        <v>5447</v>
      </c>
      <c r="H2056" s="35" t="s">
        <v>26</v>
      </c>
      <c r="I2056" s="35" t="s">
        <v>27</v>
      </c>
      <c r="J2056" s="57"/>
      <c r="K2056" s="57"/>
      <c r="L2056" s="84"/>
    </row>
    <row r="2057">
      <c r="A2057" s="32" t="s">
        <v>5448</v>
      </c>
      <c r="B2057" s="32" t="s">
        <v>5449</v>
      </c>
      <c r="C2057" s="33">
        <v>45938.0</v>
      </c>
      <c r="D2057" s="47" t="s">
        <v>22</v>
      </c>
      <c r="E2057" s="32" t="s">
        <v>69</v>
      </c>
      <c r="F2057" s="34" t="s">
        <v>24</v>
      </c>
      <c r="G2057" s="34" t="s">
        <v>199</v>
      </c>
      <c r="H2057" s="35" t="s">
        <v>26</v>
      </c>
      <c r="I2057" s="36" t="str">
        <f>HYPERLINK("https://open.spotify.com/album/7rwaS1UVsegetLQk4jyljs", "S")</f>
        <v>S</v>
      </c>
      <c r="J2057" s="35" t="s">
        <v>100</v>
      </c>
      <c r="K2057" s="57"/>
      <c r="L2057" s="84"/>
    </row>
    <row r="2058">
      <c r="A2058" s="32" t="s">
        <v>5450</v>
      </c>
      <c r="B2058" s="32" t="s">
        <v>5450</v>
      </c>
      <c r="C2058" s="33">
        <v>45939.0</v>
      </c>
      <c r="D2058" s="47" t="s">
        <v>22</v>
      </c>
      <c r="E2058" s="32" t="s">
        <v>5451</v>
      </c>
      <c r="F2058" s="34" t="s">
        <v>156</v>
      </c>
      <c r="G2058" s="34" t="s">
        <v>526</v>
      </c>
      <c r="H2058" s="35" t="s">
        <v>26</v>
      </c>
      <c r="I2058" s="36" t="str">
        <f>HYPERLINK("https://open.spotify.com/album/73wK0xFqO4lGuDSaHYIT2B", "S")</f>
        <v>S</v>
      </c>
      <c r="J2058" s="57"/>
      <c r="K2058" s="57"/>
      <c r="L2058" s="84"/>
    </row>
    <row r="2059">
      <c r="A2059" s="32" t="s">
        <v>5452</v>
      </c>
      <c r="B2059" s="32" t="s">
        <v>5453</v>
      </c>
      <c r="C2059" s="33">
        <v>45940.0</v>
      </c>
      <c r="D2059" s="34" t="s">
        <v>22</v>
      </c>
      <c r="E2059" s="32" t="s">
        <v>5454</v>
      </c>
      <c r="F2059" s="34" t="s">
        <v>53</v>
      </c>
      <c r="G2059" s="34" t="s">
        <v>2003</v>
      </c>
      <c r="H2059" s="66"/>
      <c r="I2059" s="35" t="s">
        <v>27</v>
      </c>
      <c r="J2059" s="57"/>
      <c r="K2059" s="57"/>
      <c r="L2059" s="84"/>
    </row>
    <row r="2060">
      <c r="A2060" s="32" t="s">
        <v>5455</v>
      </c>
      <c r="B2060" s="32" t="s">
        <v>5456</v>
      </c>
      <c r="C2060" s="33">
        <v>45940.0</v>
      </c>
      <c r="D2060" s="34" t="s">
        <v>22</v>
      </c>
      <c r="E2060" s="32" t="s">
        <v>5457</v>
      </c>
      <c r="F2060" s="34" t="s">
        <v>156</v>
      </c>
      <c r="G2060" s="34" t="s">
        <v>365</v>
      </c>
      <c r="H2060" s="66"/>
      <c r="I2060" s="35" t="s">
        <v>27</v>
      </c>
      <c r="J2060" s="57"/>
      <c r="K2060" s="57"/>
      <c r="L2060" s="84"/>
    </row>
    <row r="2061">
      <c r="A2061" s="32" t="s">
        <v>46</v>
      </c>
      <c r="B2061" s="32" t="s">
        <v>5458</v>
      </c>
      <c r="C2061" s="33">
        <v>45940.0</v>
      </c>
      <c r="D2061" s="34" t="s">
        <v>22</v>
      </c>
      <c r="E2061" s="32" t="s">
        <v>5459</v>
      </c>
      <c r="F2061" s="34" t="s">
        <v>24</v>
      </c>
      <c r="G2061" s="34" t="s">
        <v>49</v>
      </c>
      <c r="H2061" s="35" t="s">
        <v>26</v>
      </c>
      <c r="I2061" s="35" t="s">
        <v>27</v>
      </c>
      <c r="J2061" s="57"/>
      <c r="K2061" s="57"/>
      <c r="L2061" s="84"/>
    </row>
    <row r="2062">
      <c r="A2062" s="32" t="s">
        <v>5460</v>
      </c>
      <c r="B2062" s="32" t="s">
        <v>5461</v>
      </c>
      <c r="C2062" s="33">
        <v>45940.0</v>
      </c>
      <c r="D2062" s="34" t="s">
        <v>22</v>
      </c>
      <c r="E2062" s="32" t="s">
        <v>1150</v>
      </c>
      <c r="F2062" s="34" t="s">
        <v>24</v>
      </c>
      <c r="G2062" s="34" t="s">
        <v>41</v>
      </c>
      <c r="H2062" s="35" t="s">
        <v>26</v>
      </c>
      <c r="I2062" s="34"/>
      <c r="J2062" s="57"/>
      <c r="K2062" s="57"/>
      <c r="L2062" s="84"/>
    </row>
    <row r="2063">
      <c r="A2063" s="32" t="s">
        <v>5462</v>
      </c>
      <c r="B2063" s="32" t="s">
        <v>5463</v>
      </c>
      <c r="C2063" s="33">
        <v>45940.0</v>
      </c>
      <c r="D2063" s="47" t="s">
        <v>22</v>
      </c>
      <c r="E2063" s="32" t="s">
        <v>69</v>
      </c>
      <c r="F2063" s="34" t="s">
        <v>24</v>
      </c>
      <c r="G2063" s="34" t="s">
        <v>336</v>
      </c>
      <c r="H2063" s="35" t="s">
        <v>26</v>
      </c>
      <c r="I2063" s="35" t="s">
        <v>27</v>
      </c>
      <c r="J2063" s="57"/>
      <c r="K2063" s="57"/>
      <c r="L2063" s="84"/>
    </row>
    <row r="2064">
      <c r="A2064" s="32" t="s">
        <v>5464</v>
      </c>
      <c r="B2064" s="32" t="s">
        <v>5465</v>
      </c>
      <c r="C2064" s="33">
        <v>45940.0</v>
      </c>
      <c r="D2064" s="47" t="s">
        <v>22</v>
      </c>
      <c r="E2064" s="32" t="s">
        <v>1138</v>
      </c>
      <c r="F2064" s="34" t="s">
        <v>24</v>
      </c>
      <c r="G2064" s="34" t="s">
        <v>70</v>
      </c>
      <c r="H2064" s="35" t="s">
        <v>26</v>
      </c>
      <c r="I2064" s="35" t="s">
        <v>27</v>
      </c>
      <c r="J2064" s="57"/>
      <c r="K2064" s="57"/>
      <c r="L2064" s="84"/>
    </row>
    <row r="2065">
      <c r="A2065" s="32" t="s">
        <v>5466</v>
      </c>
      <c r="B2065" s="32" t="s">
        <v>5467</v>
      </c>
      <c r="C2065" s="33">
        <v>45940.0</v>
      </c>
      <c r="D2065" s="34" t="s">
        <v>39</v>
      </c>
      <c r="E2065" s="32" t="s">
        <v>263</v>
      </c>
      <c r="F2065" s="34" t="s">
        <v>53</v>
      </c>
      <c r="G2065" s="34" t="s">
        <v>5468</v>
      </c>
      <c r="H2065" s="35" t="s">
        <v>26</v>
      </c>
      <c r="I2065" s="35" t="s">
        <v>27</v>
      </c>
      <c r="J2065" s="57"/>
      <c r="K2065" s="57"/>
      <c r="L2065" s="84"/>
    </row>
    <row r="2066">
      <c r="A2066" s="32" t="s">
        <v>5469</v>
      </c>
      <c r="B2066" s="32" t="s">
        <v>5470</v>
      </c>
      <c r="C2066" s="33">
        <v>45940.0</v>
      </c>
      <c r="D2066" s="34" t="s">
        <v>22</v>
      </c>
      <c r="E2066" s="32" t="s">
        <v>1996</v>
      </c>
      <c r="F2066" s="34" t="s">
        <v>24</v>
      </c>
      <c r="G2066" s="34" t="s">
        <v>2012</v>
      </c>
      <c r="H2066" s="35" t="s">
        <v>26</v>
      </c>
      <c r="I2066" s="35" t="s">
        <v>27</v>
      </c>
      <c r="J2066" s="35" t="s">
        <v>100</v>
      </c>
      <c r="K2066" s="57"/>
      <c r="L2066" s="84"/>
    </row>
    <row r="2067">
      <c r="A2067" s="32" t="s">
        <v>5471</v>
      </c>
      <c r="B2067" s="32" t="s">
        <v>5472</v>
      </c>
      <c r="C2067" s="33">
        <v>45940.0</v>
      </c>
      <c r="D2067" s="34" t="s">
        <v>22</v>
      </c>
      <c r="E2067" s="32" t="s">
        <v>284</v>
      </c>
      <c r="F2067" s="34" t="s">
        <v>24</v>
      </c>
      <c r="G2067" s="34" t="s">
        <v>5473</v>
      </c>
      <c r="H2067" s="66"/>
      <c r="I2067" s="35" t="s">
        <v>27</v>
      </c>
      <c r="J2067" s="57"/>
      <c r="K2067" s="57"/>
      <c r="L2067" s="84"/>
    </row>
    <row r="2068">
      <c r="A2068" s="32" t="s">
        <v>5474</v>
      </c>
      <c r="B2068" s="32" t="s">
        <v>5475</v>
      </c>
      <c r="C2068" s="33">
        <v>45940.0</v>
      </c>
      <c r="D2068" s="47" t="s">
        <v>22</v>
      </c>
      <c r="E2068" s="32" t="s">
        <v>370</v>
      </c>
      <c r="F2068" s="34" t="s">
        <v>24</v>
      </c>
      <c r="G2068" s="34" t="s">
        <v>54</v>
      </c>
      <c r="H2068" s="35" t="s">
        <v>26</v>
      </c>
      <c r="I2068" s="35" t="s">
        <v>27</v>
      </c>
      <c r="J2068" s="35" t="s">
        <v>100</v>
      </c>
      <c r="K2068" s="57"/>
      <c r="L2068" s="84"/>
    </row>
    <row r="2069">
      <c r="A2069" s="32" t="s">
        <v>5476</v>
      </c>
      <c r="B2069" s="32" t="s">
        <v>5477</v>
      </c>
      <c r="C2069" s="33">
        <v>45940.0</v>
      </c>
      <c r="D2069" s="34" t="s">
        <v>22</v>
      </c>
      <c r="E2069" s="32" t="s">
        <v>5478</v>
      </c>
      <c r="F2069" s="34" t="s">
        <v>156</v>
      </c>
      <c r="G2069" s="34" t="s">
        <v>365</v>
      </c>
      <c r="H2069" s="35" t="s">
        <v>26</v>
      </c>
      <c r="I2069" s="35" t="s">
        <v>27</v>
      </c>
      <c r="J2069" s="57"/>
      <c r="K2069" s="57"/>
      <c r="L2069" s="84"/>
    </row>
    <row r="2070">
      <c r="A2070" s="32" t="s">
        <v>5479</v>
      </c>
      <c r="B2070" s="32" t="s">
        <v>5480</v>
      </c>
      <c r="C2070" s="33">
        <v>45940.0</v>
      </c>
      <c r="D2070" s="34" t="s">
        <v>22</v>
      </c>
      <c r="E2070" s="32" t="s">
        <v>5481</v>
      </c>
      <c r="F2070" s="34" t="s">
        <v>24</v>
      </c>
      <c r="G2070" s="34" t="s">
        <v>1925</v>
      </c>
      <c r="H2070" s="35" t="s">
        <v>26</v>
      </c>
      <c r="I2070" s="35" t="s">
        <v>27</v>
      </c>
      <c r="J2070" s="35" t="s">
        <v>100</v>
      </c>
      <c r="K2070" s="57"/>
      <c r="L2070" s="84"/>
    </row>
    <row r="2071">
      <c r="A2071" s="32" t="s">
        <v>5482</v>
      </c>
      <c r="B2071" s="32" t="s">
        <v>5483</v>
      </c>
      <c r="C2071" s="33">
        <v>45940.0</v>
      </c>
      <c r="D2071" s="34" t="s">
        <v>22</v>
      </c>
      <c r="E2071" s="32" t="s">
        <v>1073</v>
      </c>
      <c r="F2071" s="34" t="s">
        <v>53</v>
      </c>
      <c r="G2071" s="34" t="s">
        <v>5484</v>
      </c>
      <c r="H2071" s="35" t="s">
        <v>26</v>
      </c>
      <c r="I2071" s="35" t="s">
        <v>27</v>
      </c>
      <c r="J2071" s="57"/>
      <c r="K2071" s="57"/>
      <c r="L2071" s="84"/>
    </row>
    <row r="2072">
      <c r="A2072" s="32" t="s">
        <v>5485</v>
      </c>
      <c r="B2072" s="32" t="s">
        <v>5486</v>
      </c>
      <c r="C2072" s="33">
        <v>45940.0</v>
      </c>
      <c r="D2072" s="34" t="s">
        <v>22</v>
      </c>
      <c r="E2072" s="32" t="s">
        <v>5487</v>
      </c>
      <c r="F2072" s="34" t="s">
        <v>24</v>
      </c>
      <c r="G2072" s="34" t="s">
        <v>5488</v>
      </c>
      <c r="H2072" s="35" t="s">
        <v>26</v>
      </c>
      <c r="I2072" s="35" t="s">
        <v>27</v>
      </c>
      <c r="J2072" s="57"/>
      <c r="K2072" s="57"/>
      <c r="L2072" s="84"/>
    </row>
    <row r="2073">
      <c r="A2073" s="32" t="s">
        <v>5489</v>
      </c>
      <c r="B2073" s="32" t="s">
        <v>5490</v>
      </c>
      <c r="C2073" s="33">
        <v>45940.0</v>
      </c>
      <c r="D2073" s="34" t="s">
        <v>22</v>
      </c>
      <c r="E2073" s="32" t="s">
        <v>5491</v>
      </c>
      <c r="F2073" s="34" t="s">
        <v>156</v>
      </c>
      <c r="G2073" s="34" t="s">
        <v>1092</v>
      </c>
      <c r="H2073" s="35" t="s">
        <v>26</v>
      </c>
      <c r="I2073" s="35" t="s">
        <v>27</v>
      </c>
      <c r="J2073" s="57"/>
      <c r="K2073" s="57"/>
      <c r="L2073" s="84"/>
    </row>
    <row r="2074">
      <c r="A2074" s="32" t="s">
        <v>5492</v>
      </c>
      <c r="B2074" s="32" t="s">
        <v>5493</v>
      </c>
      <c r="C2074" s="33">
        <v>45940.0</v>
      </c>
      <c r="D2074" s="34" t="s">
        <v>22</v>
      </c>
      <c r="E2074" s="32" t="s">
        <v>3126</v>
      </c>
      <c r="F2074" s="34" t="s">
        <v>53</v>
      </c>
      <c r="G2074" s="34" t="s">
        <v>549</v>
      </c>
      <c r="H2074" s="66"/>
      <c r="I2074" s="35" t="s">
        <v>27</v>
      </c>
      <c r="J2074" s="57"/>
      <c r="K2074" s="57"/>
      <c r="L2074" s="84"/>
    </row>
    <row r="2075">
      <c r="A2075" s="32" t="s">
        <v>5494</v>
      </c>
      <c r="B2075" s="32" t="s">
        <v>5494</v>
      </c>
      <c r="C2075" s="33">
        <v>45940.0</v>
      </c>
      <c r="D2075" s="34" t="s">
        <v>22</v>
      </c>
      <c r="E2075" s="32" t="s">
        <v>5495</v>
      </c>
      <c r="F2075" s="34" t="s">
        <v>53</v>
      </c>
      <c r="G2075" s="34" t="s">
        <v>892</v>
      </c>
      <c r="H2075" s="35" t="s">
        <v>26</v>
      </c>
      <c r="I2075" s="35" t="s">
        <v>27</v>
      </c>
      <c r="J2075" s="57"/>
      <c r="K2075" s="57"/>
      <c r="L2075" s="84"/>
    </row>
    <row r="2076">
      <c r="A2076" s="32" t="s">
        <v>5496</v>
      </c>
      <c r="B2076" s="32" t="s">
        <v>5497</v>
      </c>
      <c r="C2076" s="33">
        <v>45940.0</v>
      </c>
      <c r="D2076" s="34" t="s">
        <v>22</v>
      </c>
      <c r="E2076" s="32" t="s">
        <v>5003</v>
      </c>
      <c r="F2076" s="34" t="s">
        <v>24</v>
      </c>
      <c r="G2076" s="34" t="s">
        <v>437</v>
      </c>
      <c r="H2076" s="35" t="s">
        <v>26</v>
      </c>
      <c r="I2076" s="35" t="s">
        <v>27</v>
      </c>
      <c r="J2076" s="57"/>
      <c r="K2076" s="57"/>
      <c r="L2076" s="84"/>
    </row>
    <row r="2077">
      <c r="A2077" s="32" t="s">
        <v>5498</v>
      </c>
      <c r="B2077" s="32" t="s">
        <v>5498</v>
      </c>
      <c r="C2077" s="33">
        <v>45940.0</v>
      </c>
      <c r="D2077" s="47" t="s">
        <v>22</v>
      </c>
      <c r="E2077" s="32" t="s">
        <v>5499</v>
      </c>
      <c r="F2077" s="34" t="s">
        <v>156</v>
      </c>
      <c r="G2077" s="34" t="s">
        <v>5500</v>
      </c>
      <c r="H2077" s="35" t="s">
        <v>26</v>
      </c>
      <c r="I2077" s="35" t="s">
        <v>27</v>
      </c>
      <c r="J2077" s="57"/>
      <c r="K2077" s="57"/>
      <c r="L2077" s="84"/>
    </row>
    <row r="2078">
      <c r="A2078" s="32" t="s">
        <v>5501</v>
      </c>
      <c r="B2078" s="32" t="s">
        <v>5502</v>
      </c>
      <c r="C2078" s="33">
        <v>45940.0</v>
      </c>
      <c r="D2078" s="34" t="s">
        <v>22</v>
      </c>
      <c r="E2078" s="32" t="s">
        <v>374</v>
      </c>
      <c r="F2078" s="34" t="s">
        <v>24</v>
      </c>
      <c r="G2078" s="34" t="s">
        <v>627</v>
      </c>
      <c r="H2078" s="35" t="s">
        <v>26</v>
      </c>
      <c r="I2078" s="35" t="s">
        <v>27</v>
      </c>
      <c r="J2078" s="57"/>
      <c r="K2078" s="57"/>
      <c r="L2078" s="84"/>
    </row>
    <row r="2079">
      <c r="A2079" s="32" t="s">
        <v>5503</v>
      </c>
      <c r="B2079" s="32" t="s">
        <v>5504</v>
      </c>
      <c r="C2079" s="33">
        <v>45940.0</v>
      </c>
      <c r="D2079" s="34" t="s">
        <v>22</v>
      </c>
      <c r="E2079" s="32" t="s">
        <v>5505</v>
      </c>
      <c r="F2079" s="34" t="s">
        <v>156</v>
      </c>
      <c r="G2079" s="34" t="s">
        <v>225</v>
      </c>
      <c r="H2079" s="35" t="s">
        <v>26</v>
      </c>
      <c r="I2079" s="35" t="s">
        <v>27</v>
      </c>
      <c r="J2079" s="57"/>
      <c r="K2079" s="57"/>
      <c r="L2079" s="84"/>
    </row>
    <row r="2080">
      <c r="A2080" s="32" t="s">
        <v>5506</v>
      </c>
      <c r="B2080" s="32" t="s">
        <v>5507</v>
      </c>
      <c r="C2080" s="33">
        <v>45940.0</v>
      </c>
      <c r="D2080" s="34" t="s">
        <v>22</v>
      </c>
      <c r="E2080" s="32" t="s">
        <v>1996</v>
      </c>
      <c r="F2080" s="34" t="s">
        <v>24</v>
      </c>
      <c r="G2080" s="34" t="s">
        <v>3277</v>
      </c>
      <c r="H2080" s="35" t="s">
        <v>26</v>
      </c>
      <c r="I2080" s="35" t="s">
        <v>27</v>
      </c>
      <c r="J2080" s="35" t="s">
        <v>100</v>
      </c>
      <c r="K2080" s="57"/>
      <c r="L2080" s="84"/>
    </row>
    <row r="2081">
      <c r="A2081" s="32" t="s">
        <v>5508</v>
      </c>
      <c r="B2081" s="32" t="s">
        <v>5509</v>
      </c>
      <c r="C2081" s="33">
        <v>45940.0</v>
      </c>
      <c r="D2081" s="47" t="s">
        <v>22</v>
      </c>
      <c r="E2081" s="32" t="s">
        <v>1042</v>
      </c>
      <c r="F2081" s="34" t="s">
        <v>24</v>
      </c>
      <c r="G2081" s="34" t="s">
        <v>299</v>
      </c>
      <c r="H2081" s="35" t="s">
        <v>26</v>
      </c>
      <c r="I2081" s="35" t="s">
        <v>27</v>
      </c>
      <c r="J2081" s="35" t="s">
        <v>100</v>
      </c>
      <c r="K2081" s="57"/>
      <c r="L2081" s="84"/>
    </row>
    <row r="2082">
      <c r="A2082" s="32" t="s">
        <v>5510</v>
      </c>
      <c r="B2082" s="32" t="s">
        <v>5511</v>
      </c>
      <c r="C2082" s="33">
        <v>45940.0</v>
      </c>
      <c r="D2082" s="34" t="s">
        <v>39</v>
      </c>
      <c r="E2082" s="32" t="s">
        <v>1138</v>
      </c>
      <c r="F2082" s="34" t="s">
        <v>24</v>
      </c>
      <c r="G2082" s="34" t="s">
        <v>1835</v>
      </c>
      <c r="H2082" s="35" t="s">
        <v>26</v>
      </c>
      <c r="I2082" s="35" t="s">
        <v>27</v>
      </c>
      <c r="J2082" s="57"/>
      <c r="K2082" s="57"/>
      <c r="L2082" s="84"/>
    </row>
    <row r="2083">
      <c r="A2083" s="32" t="s">
        <v>5512</v>
      </c>
      <c r="B2083" s="32" t="s">
        <v>5513</v>
      </c>
      <c r="C2083" s="33">
        <v>45940.0</v>
      </c>
      <c r="D2083" s="47" t="s">
        <v>22</v>
      </c>
      <c r="E2083" s="32" t="s">
        <v>5514</v>
      </c>
      <c r="F2083" s="34" t="s">
        <v>156</v>
      </c>
      <c r="G2083" s="34" t="s">
        <v>5515</v>
      </c>
      <c r="H2083" s="35" t="s">
        <v>26</v>
      </c>
      <c r="I2083" s="35" t="s">
        <v>27</v>
      </c>
      <c r="J2083" s="57"/>
      <c r="K2083" s="57"/>
      <c r="L2083" s="84"/>
    </row>
    <row r="2084">
      <c r="A2084" s="32" t="s">
        <v>5516</v>
      </c>
      <c r="B2084" s="32" t="s">
        <v>5517</v>
      </c>
      <c r="C2084" s="33">
        <v>45940.0</v>
      </c>
      <c r="D2084" s="34" t="s">
        <v>22</v>
      </c>
      <c r="E2084" s="32" t="s">
        <v>3006</v>
      </c>
      <c r="F2084" s="34" t="s">
        <v>24</v>
      </c>
      <c r="G2084" s="34" t="s">
        <v>1980</v>
      </c>
      <c r="H2084" s="35" t="s">
        <v>26</v>
      </c>
      <c r="I2084" s="35" t="s">
        <v>27</v>
      </c>
      <c r="J2084" s="57"/>
      <c r="K2084" s="57"/>
      <c r="L2084" s="84"/>
    </row>
    <row r="2085">
      <c r="A2085" s="32" t="s">
        <v>5518</v>
      </c>
      <c r="B2085" s="32" t="s">
        <v>5519</v>
      </c>
      <c r="C2085" s="33">
        <v>45940.0</v>
      </c>
      <c r="D2085" s="34" t="s">
        <v>22</v>
      </c>
      <c r="E2085" s="32" t="s">
        <v>98</v>
      </c>
      <c r="F2085" s="34" t="s">
        <v>24</v>
      </c>
      <c r="G2085" s="34" t="s">
        <v>78</v>
      </c>
      <c r="H2085" s="35" t="s">
        <v>26</v>
      </c>
      <c r="I2085" s="35" t="s">
        <v>27</v>
      </c>
      <c r="J2085" s="57"/>
      <c r="K2085" s="57"/>
      <c r="L2085" s="84"/>
    </row>
    <row r="2086">
      <c r="A2086" s="32" t="s">
        <v>5520</v>
      </c>
      <c r="B2086" s="32" t="s">
        <v>5521</v>
      </c>
      <c r="C2086" s="33">
        <v>45940.0</v>
      </c>
      <c r="D2086" s="34" t="s">
        <v>22</v>
      </c>
      <c r="E2086" s="32" t="s">
        <v>355</v>
      </c>
      <c r="F2086" s="34" t="s">
        <v>24</v>
      </c>
      <c r="G2086" s="34" t="s">
        <v>2200</v>
      </c>
      <c r="H2086" s="35" t="s">
        <v>26</v>
      </c>
      <c r="I2086" s="35" t="s">
        <v>27</v>
      </c>
      <c r="J2086" s="57"/>
      <c r="K2086" s="57"/>
      <c r="L2086" s="84"/>
    </row>
    <row r="2087">
      <c r="A2087" s="32" t="s">
        <v>5522</v>
      </c>
      <c r="B2087" s="32" t="s">
        <v>5523</v>
      </c>
      <c r="C2087" s="33">
        <v>45940.0</v>
      </c>
      <c r="D2087" s="34" t="s">
        <v>22</v>
      </c>
      <c r="E2087" s="32" t="s">
        <v>5524</v>
      </c>
      <c r="F2087" s="34" t="s">
        <v>24</v>
      </c>
      <c r="G2087" s="34" t="s">
        <v>96</v>
      </c>
      <c r="H2087" s="35" t="s">
        <v>26</v>
      </c>
      <c r="I2087" s="35" t="s">
        <v>27</v>
      </c>
      <c r="J2087" s="57"/>
      <c r="K2087" s="57"/>
      <c r="L2087" s="84"/>
    </row>
    <row r="2088">
      <c r="A2088" s="32" t="s">
        <v>5525</v>
      </c>
      <c r="B2088" s="32" t="s">
        <v>5526</v>
      </c>
      <c r="C2088" s="33">
        <v>45940.0</v>
      </c>
      <c r="D2088" s="34" t="s">
        <v>22</v>
      </c>
      <c r="E2088" s="32" t="s">
        <v>5527</v>
      </c>
      <c r="F2088" s="34" t="s">
        <v>24</v>
      </c>
      <c r="G2088" s="34" t="s">
        <v>5528</v>
      </c>
      <c r="H2088" s="35" t="s">
        <v>26</v>
      </c>
      <c r="I2088" s="35" t="s">
        <v>27</v>
      </c>
      <c r="J2088" s="57"/>
      <c r="K2088" s="57"/>
      <c r="L2088" s="84"/>
    </row>
    <row r="2089">
      <c r="A2089" s="32" t="s">
        <v>5529</v>
      </c>
      <c r="B2089" s="32" t="s">
        <v>5530</v>
      </c>
      <c r="C2089" s="33">
        <v>45940.0</v>
      </c>
      <c r="D2089" s="34" t="s">
        <v>22</v>
      </c>
      <c r="E2089" s="32" t="s">
        <v>1450</v>
      </c>
      <c r="F2089" s="34" t="s">
        <v>53</v>
      </c>
      <c r="G2089" s="34" t="s">
        <v>2676</v>
      </c>
      <c r="H2089" s="35" t="s">
        <v>26</v>
      </c>
      <c r="I2089" s="34"/>
      <c r="J2089" s="57"/>
      <c r="K2089" s="57"/>
      <c r="L2089" s="84"/>
    </row>
    <row r="2090">
      <c r="A2090" s="32" t="s">
        <v>5531</v>
      </c>
      <c r="B2090" s="32" t="s">
        <v>5532</v>
      </c>
      <c r="C2090" s="33">
        <v>45940.0</v>
      </c>
      <c r="D2090" s="47" t="s">
        <v>39</v>
      </c>
      <c r="E2090" s="32" t="s">
        <v>61</v>
      </c>
      <c r="F2090" s="34" t="s">
        <v>24</v>
      </c>
      <c r="G2090" s="34" t="s">
        <v>514</v>
      </c>
      <c r="H2090" s="35" t="s">
        <v>26</v>
      </c>
      <c r="I2090" s="35" t="s">
        <v>27</v>
      </c>
      <c r="J2090" s="57"/>
      <c r="K2090" s="57"/>
      <c r="L2090" s="84"/>
    </row>
    <row r="2091">
      <c r="A2091" s="32" t="s">
        <v>5533</v>
      </c>
      <c r="B2091" s="32" t="s">
        <v>5534</v>
      </c>
      <c r="C2091" s="33">
        <v>45940.0</v>
      </c>
      <c r="D2091" s="34" t="s">
        <v>22</v>
      </c>
      <c r="E2091" s="32" t="s">
        <v>5535</v>
      </c>
      <c r="F2091" s="34" t="s">
        <v>24</v>
      </c>
      <c r="G2091" s="34" t="s">
        <v>5536</v>
      </c>
      <c r="H2091" s="35" t="s">
        <v>26</v>
      </c>
      <c r="I2091" s="35" t="s">
        <v>27</v>
      </c>
      <c r="J2091" s="35" t="s">
        <v>100</v>
      </c>
      <c r="K2091" s="57"/>
      <c r="L2091" s="84"/>
    </row>
    <row r="2092">
      <c r="A2092" s="32" t="s">
        <v>5537</v>
      </c>
      <c r="B2092" s="32" t="s">
        <v>5538</v>
      </c>
      <c r="C2092" s="33">
        <v>45940.0</v>
      </c>
      <c r="D2092" s="34" t="s">
        <v>22</v>
      </c>
      <c r="E2092" s="32" t="s">
        <v>61</v>
      </c>
      <c r="F2092" s="34" t="s">
        <v>24</v>
      </c>
      <c r="G2092" s="34" t="s">
        <v>70</v>
      </c>
      <c r="H2092" s="35" t="s">
        <v>26</v>
      </c>
      <c r="I2092" s="35" t="s">
        <v>27</v>
      </c>
      <c r="J2092" s="57"/>
      <c r="K2092" s="57"/>
      <c r="L2092" s="84"/>
    </row>
    <row r="2093">
      <c r="A2093" s="32" t="s">
        <v>5539</v>
      </c>
      <c r="B2093" s="32" t="s">
        <v>5540</v>
      </c>
      <c r="C2093" s="33">
        <v>45940.0</v>
      </c>
      <c r="D2093" s="34" t="s">
        <v>39</v>
      </c>
      <c r="E2093" s="32" t="s">
        <v>98</v>
      </c>
      <c r="F2093" s="34" t="s">
        <v>24</v>
      </c>
      <c r="G2093" s="34" t="s">
        <v>157</v>
      </c>
      <c r="H2093" s="35" t="s">
        <v>26</v>
      </c>
      <c r="I2093" s="35" t="s">
        <v>27</v>
      </c>
      <c r="J2093" s="57"/>
      <c r="K2093" s="57"/>
      <c r="L2093" s="84"/>
    </row>
    <row r="2094">
      <c r="A2094" s="32" t="s">
        <v>5541</v>
      </c>
      <c r="B2094" s="32" t="s">
        <v>5542</v>
      </c>
      <c r="C2094" s="33">
        <v>45940.0</v>
      </c>
      <c r="D2094" s="47" t="s">
        <v>22</v>
      </c>
      <c r="E2094" s="32" t="s">
        <v>2048</v>
      </c>
      <c r="F2094" s="34" t="s">
        <v>24</v>
      </c>
      <c r="G2094" s="34" t="s">
        <v>299</v>
      </c>
      <c r="H2094" s="35" t="s">
        <v>26</v>
      </c>
      <c r="I2094" s="35" t="s">
        <v>27</v>
      </c>
      <c r="J2094" s="57"/>
      <c r="K2094" s="57"/>
      <c r="L2094" s="84"/>
    </row>
    <row r="2095">
      <c r="A2095" s="32" t="s">
        <v>5543</v>
      </c>
      <c r="B2095" s="32" t="s">
        <v>5543</v>
      </c>
      <c r="C2095" s="33">
        <v>45940.0</v>
      </c>
      <c r="D2095" s="34" t="s">
        <v>22</v>
      </c>
      <c r="E2095" s="32" t="s">
        <v>5544</v>
      </c>
      <c r="F2095" s="34" t="s">
        <v>24</v>
      </c>
      <c r="G2095" s="34" t="s">
        <v>1209</v>
      </c>
      <c r="H2095" s="35" t="s">
        <v>26</v>
      </c>
      <c r="I2095" s="58" t="str">
        <f>HYPERLINK("https://open.spotify.com/album/60y0gLp8Fk17RYQJ4bsZca", "S")</f>
        <v>S</v>
      </c>
      <c r="J2095" s="57"/>
      <c r="K2095" s="57"/>
      <c r="L2095" s="84"/>
    </row>
    <row r="2096">
      <c r="A2096" s="32" t="s">
        <v>5545</v>
      </c>
      <c r="B2096" s="32" t="s">
        <v>5546</v>
      </c>
      <c r="C2096" s="33">
        <v>45940.0</v>
      </c>
      <c r="D2096" s="34" t="s">
        <v>22</v>
      </c>
      <c r="E2096" s="32" t="s">
        <v>5547</v>
      </c>
      <c r="F2096" s="34" t="s">
        <v>24</v>
      </c>
      <c r="G2096" s="34" t="s">
        <v>5548</v>
      </c>
      <c r="H2096" s="35" t="s">
        <v>26</v>
      </c>
      <c r="I2096" s="58" t="str">
        <f>HYPERLINK("https://open.spotify.com/album/3g1h3RI6l2xP5oFJanHpyv", "S")</f>
        <v>S</v>
      </c>
      <c r="J2096" s="57"/>
      <c r="K2096" s="57"/>
      <c r="L2096" s="84"/>
    </row>
    <row r="2097">
      <c r="A2097" s="32" t="s">
        <v>5549</v>
      </c>
      <c r="B2097" s="32" t="s">
        <v>5550</v>
      </c>
      <c r="C2097" s="33">
        <v>45940.0</v>
      </c>
      <c r="D2097" s="34" t="s">
        <v>22</v>
      </c>
      <c r="E2097" s="32" t="s">
        <v>5551</v>
      </c>
      <c r="F2097" s="34" t="s">
        <v>24</v>
      </c>
      <c r="G2097" s="34" t="s">
        <v>3369</v>
      </c>
      <c r="H2097" s="35" t="s">
        <v>26</v>
      </c>
      <c r="I2097" s="35" t="s">
        <v>27</v>
      </c>
      <c r="J2097" s="57"/>
      <c r="K2097" s="57"/>
      <c r="L2097" s="84"/>
    </row>
    <row r="2098">
      <c r="A2098" s="32" t="s">
        <v>5552</v>
      </c>
      <c r="B2098" s="32" t="s">
        <v>5553</v>
      </c>
      <c r="C2098" s="33">
        <v>45940.0</v>
      </c>
      <c r="D2098" s="34" t="s">
        <v>22</v>
      </c>
      <c r="E2098" s="32" t="s">
        <v>3114</v>
      </c>
      <c r="F2098" s="34" t="s">
        <v>24</v>
      </c>
      <c r="G2098" s="34" t="s">
        <v>41</v>
      </c>
      <c r="H2098" s="35" t="s">
        <v>26</v>
      </c>
      <c r="I2098" s="35" t="s">
        <v>27</v>
      </c>
      <c r="J2098" s="35" t="s">
        <v>100</v>
      </c>
      <c r="K2098" s="57"/>
      <c r="L2098" s="84"/>
    </row>
    <row r="2099">
      <c r="A2099" s="32" t="s">
        <v>5554</v>
      </c>
      <c r="B2099" s="32" t="s">
        <v>5555</v>
      </c>
      <c r="C2099" s="33">
        <v>45940.0</v>
      </c>
      <c r="D2099" s="34" t="s">
        <v>22</v>
      </c>
      <c r="E2099" s="32" t="s">
        <v>2510</v>
      </c>
      <c r="F2099" s="34" t="s">
        <v>24</v>
      </c>
      <c r="G2099" s="34" t="s">
        <v>829</v>
      </c>
      <c r="H2099" s="35" t="s">
        <v>26</v>
      </c>
      <c r="I2099" s="35" t="s">
        <v>27</v>
      </c>
      <c r="J2099" s="57"/>
      <c r="K2099" s="57"/>
      <c r="L2099" s="84"/>
    </row>
    <row r="2100">
      <c r="A2100" s="32" t="s">
        <v>5556</v>
      </c>
      <c r="B2100" s="32" t="s">
        <v>5557</v>
      </c>
      <c r="C2100" s="33">
        <v>45940.0</v>
      </c>
      <c r="D2100" s="34" t="s">
        <v>39</v>
      </c>
      <c r="E2100" s="32" t="s">
        <v>737</v>
      </c>
      <c r="F2100" s="34" t="s">
        <v>53</v>
      </c>
      <c r="G2100" s="34" t="s">
        <v>5558</v>
      </c>
      <c r="H2100" s="35" t="s">
        <v>26</v>
      </c>
      <c r="I2100" s="35" t="s">
        <v>27</v>
      </c>
      <c r="J2100" s="35" t="s">
        <v>100</v>
      </c>
      <c r="K2100" s="57"/>
      <c r="L2100" s="84"/>
    </row>
    <row r="2101">
      <c r="A2101" s="32" t="s">
        <v>5559</v>
      </c>
      <c r="B2101" s="32" t="s">
        <v>5560</v>
      </c>
      <c r="C2101" s="33">
        <v>45940.0</v>
      </c>
      <c r="D2101" s="34" t="s">
        <v>22</v>
      </c>
      <c r="E2101" s="32" t="s">
        <v>61</v>
      </c>
      <c r="F2101" s="34" t="s">
        <v>24</v>
      </c>
      <c r="G2101" s="34" t="s">
        <v>514</v>
      </c>
      <c r="H2101" s="35" t="s">
        <v>26</v>
      </c>
      <c r="I2101" s="36" t="str">
        <f>HYPERLINK("https://open.spotify.com/album/71HeH0j4psofsQOejuMkys", "S")</f>
        <v>S</v>
      </c>
      <c r="J2101" s="57"/>
      <c r="K2101" s="57"/>
      <c r="L2101" s="84"/>
    </row>
    <row r="2102">
      <c r="A2102" s="32" t="s">
        <v>5561</v>
      </c>
      <c r="B2102" s="32" t="s">
        <v>5562</v>
      </c>
      <c r="C2102" s="33">
        <v>45940.0</v>
      </c>
      <c r="D2102" s="47" t="s">
        <v>39</v>
      </c>
      <c r="E2102" s="32" t="s">
        <v>5563</v>
      </c>
      <c r="F2102" s="34" t="s">
        <v>24</v>
      </c>
      <c r="G2102" s="34" t="s">
        <v>221</v>
      </c>
      <c r="H2102" s="35" t="s">
        <v>26</v>
      </c>
      <c r="I2102" s="66"/>
      <c r="J2102" s="57"/>
      <c r="K2102" s="57"/>
      <c r="L2102" s="84"/>
    </row>
    <row r="2103">
      <c r="A2103" s="32" t="s">
        <v>5564</v>
      </c>
      <c r="B2103" s="32" t="s">
        <v>5565</v>
      </c>
      <c r="C2103" s="33">
        <v>45940.0</v>
      </c>
      <c r="D2103" s="47" t="s">
        <v>22</v>
      </c>
      <c r="E2103" s="32" t="s">
        <v>69</v>
      </c>
      <c r="F2103" s="34" t="s">
        <v>24</v>
      </c>
      <c r="G2103" s="34" t="s">
        <v>629</v>
      </c>
      <c r="H2103" s="35" t="s">
        <v>26</v>
      </c>
      <c r="I2103" s="35" t="s">
        <v>27</v>
      </c>
      <c r="J2103" s="57"/>
      <c r="K2103" s="57"/>
      <c r="L2103" s="84"/>
    </row>
    <row r="2104">
      <c r="A2104" s="32" t="s">
        <v>5566</v>
      </c>
      <c r="B2104" s="32" t="s">
        <v>5567</v>
      </c>
      <c r="C2104" s="33">
        <v>45940.0</v>
      </c>
      <c r="D2104" s="47" t="s">
        <v>39</v>
      </c>
      <c r="E2104" s="32" t="s">
        <v>84</v>
      </c>
      <c r="F2104" s="34" t="s">
        <v>24</v>
      </c>
      <c r="G2104" s="34" t="s">
        <v>702</v>
      </c>
      <c r="H2104" s="35" t="s">
        <v>26</v>
      </c>
      <c r="I2104" s="35" t="s">
        <v>27</v>
      </c>
      <c r="J2104" s="57"/>
      <c r="K2104" s="57"/>
      <c r="L2104" s="84"/>
    </row>
    <row r="2105">
      <c r="A2105" s="32" t="s">
        <v>5568</v>
      </c>
      <c r="B2105" s="32" t="s">
        <v>5569</v>
      </c>
      <c r="C2105" s="33">
        <v>45940.0</v>
      </c>
      <c r="D2105" s="34" t="s">
        <v>22</v>
      </c>
      <c r="E2105" s="32" t="s">
        <v>2710</v>
      </c>
      <c r="F2105" s="34" t="s">
        <v>53</v>
      </c>
      <c r="G2105" s="34" t="s">
        <v>5570</v>
      </c>
      <c r="H2105" s="35" t="s">
        <v>26</v>
      </c>
      <c r="I2105" s="35" t="s">
        <v>27</v>
      </c>
      <c r="J2105" s="57"/>
      <c r="K2105" s="57"/>
      <c r="L2105" s="84"/>
    </row>
    <row r="2106">
      <c r="A2106" s="32" t="s">
        <v>5571</v>
      </c>
      <c r="B2106" s="32" t="s">
        <v>5572</v>
      </c>
      <c r="C2106" s="33">
        <v>45940.0</v>
      </c>
      <c r="D2106" s="34" t="s">
        <v>22</v>
      </c>
      <c r="E2106" s="32" t="s">
        <v>5573</v>
      </c>
      <c r="F2106" s="34" t="s">
        <v>156</v>
      </c>
      <c r="G2106" s="34" t="s">
        <v>225</v>
      </c>
      <c r="H2106" s="35" t="s">
        <v>26</v>
      </c>
      <c r="I2106" s="35" t="s">
        <v>27</v>
      </c>
      <c r="J2106" s="57"/>
      <c r="K2106" s="57"/>
      <c r="L2106" s="84"/>
    </row>
    <row r="2107">
      <c r="A2107" s="32" t="s">
        <v>5574</v>
      </c>
      <c r="B2107" s="32" t="s">
        <v>5575</v>
      </c>
      <c r="C2107" s="33">
        <v>45940.0</v>
      </c>
      <c r="D2107" s="34" t="s">
        <v>22</v>
      </c>
      <c r="E2107" s="32" t="s">
        <v>2871</v>
      </c>
      <c r="F2107" s="34" t="s">
        <v>156</v>
      </c>
      <c r="G2107" s="34" t="s">
        <v>1513</v>
      </c>
      <c r="H2107" s="35" t="s">
        <v>26</v>
      </c>
      <c r="I2107" s="35" t="s">
        <v>27</v>
      </c>
      <c r="J2107" s="57"/>
      <c r="K2107" s="57"/>
      <c r="L2107" s="84"/>
    </row>
    <row r="2108">
      <c r="A2108" s="32" t="s">
        <v>5576</v>
      </c>
      <c r="B2108" s="32" t="s">
        <v>5577</v>
      </c>
      <c r="C2108" s="33">
        <v>45940.0</v>
      </c>
      <c r="D2108" s="34" t="s">
        <v>22</v>
      </c>
      <c r="E2108" s="32" t="s">
        <v>122</v>
      </c>
      <c r="F2108" s="34" t="s">
        <v>156</v>
      </c>
      <c r="G2108" s="34" t="s">
        <v>3680</v>
      </c>
      <c r="H2108" s="35" t="s">
        <v>26</v>
      </c>
      <c r="I2108" s="35" t="s">
        <v>27</v>
      </c>
      <c r="J2108" s="57"/>
      <c r="K2108" s="57"/>
      <c r="L2108" s="84"/>
    </row>
    <row r="2109">
      <c r="A2109" s="32" t="s">
        <v>5578</v>
      </c>
      <c r="B2109" s="32" t="s">
        <v>5579</v>
      </c>
      <c r="C2109" s="33">
        <v>45940.0</v>
      </c>
      <c r="D2109" s="47" t="s">
        <v>39</v>
      </c>
      <c r="E2109" s="32" t="s">
        <v>122</v>
      </c>
      <c r="F2109" s="34" t="s">
        <v>31</v>
      </c>
      <c r="G2109" s="34" t="s">
        <v>676</v>
      </c>
      <c r="H2109" s="35" t="s">
        <v>26</v>
      </c>
      <c r="I2109" s="35" t="s">
        <v>27</v>
      </c>
      <c r="J2109" s="57"/>
      <c r="K2109" s="57"/>
      <c r="L2109" s="84"/>
    </row>
    <row r="2110">
      <c r="A2110" s="32" t="s">
        <v>5580</v>
      </c>
      <c r="B2110" s="32" t="s">
        <v>5581</v>
      </c>
      <c r="C2110" s="33">
        <v>45944.0</v>
      </c>
      <c r="D2110" s="34" t="s">
        <v>39</v>
      </c>
      <c r="E2110" s="32" t="s">
        <v>989</v>
      </c>
      <c r="F2110" s="34" t="s">
        <v>31</v>
      </c>
      <c r="G2110" s="34" t="s">
        <v>510</v>
      </c>
      <c r="H2110" s="35" t="s">
        <v>26</v>
      </c>
      <c r="I2110" s="35" t="s">
        <v>27</v>
      </c>
      <c r="J2110" s="57"/>
      <c r="K2110" s="57"/>
      <c r="L2110" s="84"/>
    </row>
    <row r="2111">
      <c r="A2111" s="32" t="s">
        <v>5582</v>
      </c>
      <c r="B2111" s="32" t="s">
        <v>5583</v>
      </c>
      <c r="C2111" s="33">
        <v>45944.0</v>
      </c>
      <c r="D2111" s="34" t="s">
        <v>22</v>
      </c>
      <c r="E2111" s="32" t="s">
        <v>1850</v>
      </c>
      <c r="F2111" s="34" t="s">
        <v>53</v>
      </c>
      <c r="G2111" s="34" t="s">
        <v>890</v>
      </c>
      <c r="H2111" s="35" t="s">
        <v>26</v>
      </c>
      <c r="I2111" s="36" t="str">
        <f>HYPERLINK("https://open.spotify.com/album/5p4oN5A8zSzcx2ZRscgBIU", "S")</f>
        <v>S</v>
      </c>
      <c r="J2111" s="57"/>
      <c r="K2111" s="57"/>
      <c r="L2111" s="84"/>
    </row>
    <row r="2112">
      <c r="A2112" s="32" t="s">
        <v>5584</v>
      </c>
      <c r="B2112" s="32" t="s">
        <v>5585</v>
      </c>
      <c r="C2112" s="33">
        <v>45944.0</v>
      </c>
      <c r="D2112" s="34" t="s">
        <v>22</v>
      </c>
      <c r="E2112" s="32" t="s">
        <v>136</v>
      </c>
      <c r="F2112" s="34" t="s">
        <v>156</v>
      </c>
      <c r="G2112" s="34" t="s">
        <v>4658</v>
      </c>
      <c r="H2112" s="35" t="s">
        <v>26</v>
      </c>
      <c r="I2112" s="35" t="s">
        <v>27</v>
      </c>
      <c r="J2112" s="57"/>
      <c r="K2112" s="57"/>
      <c r="L2112" s="84"/>
    </row>
    <row r="2113">
      <c r="A2113" s="32" t="s">
        <v>5586</v>
      </c>
      <c r="B2113" s="32" t="s">
        <v>5587</v>
      </c>
      <c r="C2113" s="33">
        <v>45945.0</v>
      </c>
      <c r="D2113" s="34" t="s">
        <v>22</v>
      </c>
      <c r="E2113" s="32" t="s">
        <v>436</v>
      </c>
      <c r="F2113" s="34" t="s">
        <v>31</v>
      </c>
      <c r="G2113" s="34" t="s">
        <v>119</v>
      </c>
      <c r="H2113" s="35" t="s">
        <v>26</v>
      </c>
      <c r="I2113" s="35" t="s">
        <v>27</v>
      </c>
      <c r="J2113" s="57"/>
      <c r="K2113" s="57"/>
      <c r="L2113" s="84"/>
    </row>
    <row r="2114">
      <c r="A2114" s="32" t="s">
        <v>5588</v>
      </c>
      <c r="B2114" s="32" t="s">
        <v>5589</v>
      </c>
      <c r="C2114" s="33">
        <v>45945.0</v>
      </c>
      <c r="D2114" s="34" t="s">
        <v>22</v>
      </c>
      <c r="E2114" s="32" t="s">
        <v>122</v>
      </c>
      <c r="F2114" s="34" t="s">
        <v>156</v>
      </c>
      <c r="G2114" s="34" t="s">
        <v>2012</v>
      </c>
      <c r="H2114" s="35" t="s">
        <v>26</v>
      </c>
      <c r="I2114" s="35" t="s">
        <v>27</v>
      </c>
      <c r="J2114" s="57"/>
      <c r="K2114" s="57"/>
      <c r="L2114" s="84"/>
    </row>
    <row r="2115">
      <c r="A2115" s="32" t="s">
        <v>5590</v>
      </c>
      <c r="B2115" s="32" t="s">
        <v>5591</v>
      </c>
      <c r="C2115" s="33">
        <v>45946.0</v>
      </c>
      <c r="D2115" s="34" t="s">
        <v>39</v>
      </c>
      <c r="E2115" s="32" t="s">
        <v>136</v>
      </c>
      <c r="F2115" s="34" t="s">
        <v>53</v>
      </c>
      <c r="G2115" s="34" t="s">
        <v>5592</v>
      </c>
      <c r="H2115" s="35" t="s">
        <v>26</v>
      </c>
      <c r="I2115" s="35" t="s">
        <v>27</v>
      </c>
      <c r="J2115" s="57"/>
      <c r="K2115" s="57"/>
      <c r="L2115" s="84"/>
    </row>
    <row r="2116">
      <c r="A2116" s="32" t="s">
        <v>146</v>
      </c>
      <c r="B2116" s="32" t="s">
        <v>5593</v>
      </c>
      <c r="C2116" s="33">
        <v>45946.0</v>
      </c>
      <c r="D2116" s="47" t="s">
        <v>22</v>
      </c>
      <c r="E2116" s="32" t="s">
        <v>2002</v>
      </c>
      <c r="F2116" s="34" t="s">
        <v>24</v>
      </c>
      <c r="G2116" s="34" t="s">
        <v>2408</v>
      </c>
      <c r="H2116" s="35" t="s">
        <v>26</v>
      </c>
      <c r="I2116" s="36" t="str">
        <f>HYPERLINK("https://open.spotify.com/album/0f3SAH0kotlnfXH6MxD7ax", "S")</f>
        <v>S</v>
      </c>
      <c r="J2116" s="57"/>
      <c r="K2116" s="57"/>
      <c r="L2116" s="84"/>
    </row>
    <row r="2117">
      <c r="A2117" s="32" t="s">
        <v>5594</v>
      </c>
      <c r="B2117" s="32" t="s">
        <v>5595</v>
      </c>
      <c r="C2117" s="33">
        <v>45946.0</v>
      </c>
      <c r="D2117" s="34" t="s">
        <v>22</v>
      </c>
      <c r="E2117" s="32" t="s">
        <v>61</v>
      </c>
      <c r="F2117" s="34" t="s">
        <v>24</v>
      </c>
      <c r="G2117" s="34" t="s">
        <v>871</v>
      </c>
      <c r="H2117" s="35" t="s">
        <v>26</v>
      </c>
      <c r="I2117" s="35" t="s">
        <v>27</v>
      </c>
      <c r="J2117" s="57"/>
      <c r="K2117" s="57"/>
      <c r="L2117" s="84"/>
    </row>
    <row r="2118">
      <c r="A2118" s="32" t="s">
        <v>5596</v>
      </c>
      <c r="B2118" s="32" t="s">
        <v>5597</v>
      </c>
      <c r="C2118" s="33">
        <v>45947.0</v>
      </c>
      <c r="D2118" s="34" t="s">
        <v>22</v>
      </c>
      <c r="E2118" s="32" t="s">
        <v>5598</v>
      </c>
      <c r="F2118" s="34" t="s">
        <v>24</v>
      </c>
      <c r="G2118" s="34" t="s">
        <v>41</v>
      </c>
      <c r="H2118" s="35" t="s">
        <v>26</v>
      </c>
      <c r="I2118" s="34"/>
      <c r="J2118" s="57"/>
      <c r="K2118" s="57"/>
      <c r="L2118" s="84"/>
    </row>
    <row r="2119">
      <c r="A2119" s="32" t="s">
        <v>5599</v>
      </c>
      <c r="B2119" s="32" t="s">
        <v>5600</v>
      </c>
      <c r="C2119" s="33">
        <v>45947.0</v>
      </c>
      <c r="D2119" s="34" t="s">
        <v>22</v>
      </c>
      <c r="E2119" s="32" t="s">
        <v>1519</v>
      </c>
      <c r="F2119" s="34" t="s">
        <v>24</v>
      </c>
      <c r="G2119" s="34" t="s">
        <v>549</v>
      </c>
      <c r="H2119" s="35" t="s">
        <v>26</v>
      </c>
      <c r="I2119" s="35" t="s">
        <v>27</v>
      </c>
      <c r="J2119" s="57"/>
      <c r="K2119" s="57"/>
      <c r="L2119" s="84"/>
    </row>
    <row r="2120">
      <c r="A2120" s="32" t="s">
        <v>5601</v>
      </c>
      <c r="B2120" s="32" t="s">
        <v>5602</v>
      </c>
      <c r="C2120" s="33">
        <v>45947.0</v>
      </c>
      <c r="D2120" s="34" t="s">
        <v>22</v>
      </c>
      <c r="E2120" s="32" t="s">
        <v>5603</v>
      </c>
      <c r="F2120" s="34" t="s">
        <v>53</v>
      </c>
      <c r="G2120" s="34" t="s">
        <v>2459</v>
      </c>
      <c r="H2120" s="35" t="s">
        <v>26</v>
      </c>
      <c r="I2120" s="35" t="s">
        <v>27</v>
      </c>
      <c r="J2120" s="57"/>
      <c r="K2120" s="57"/>
      <c r="L2120" s="84"/>
    </row>
    <row r="2121">
      <c r="A2121" s="32" t="s">
        <v>5604</v>
      </c>
      <c r="B2121" s="32" t="s">
        <v>5605</v>
      </c>
      <c r="C2121" s="33">
        <v>45947.0</v>
      </c>
      <c r="D2121" s="47" t="s">
        <v>22</v>
      </c>
      <c r="E2121" s="32" t="s">
        <v>5606</v>
      </c>
      <c r="F2121" s="34" t="s">
        <v>53</v>
      </c>
      <c r="G2121" s="34" t="s">
        <v>62</v>
      </c>
      <c r="H2121" s="35" t="s">
        <v>26</v>
      </c>
      <c r="I2121" s="35" t="s">
        <v>27</v>
      </c>
      <c r="J2121" s="57"/>
      <c r="K2121" s="57"/>
      <c r="L2121" s="84"/>
    </row>
    <row r="2122">
      <c r="A2122" s="32" t="s">
        <v>5607</v>
      </c>
      <c r="B2122" s="32" t="s">
        <v>5608</v>
      </c>
      <c r="C2122" s="33">
        <v>45947.0</v>
      </c>
      <c r="D2122" s="34" t="s">
        <v>22</v>
      </c>
      <c r="E2122" s="32" t="s">
        <v>1750</v>
      </c>
      <c r="F2122" s="34" t="s">
        <v>24</v>
      </c>
      <c r="G2122" s="34" t="s">
        <v>196</v>
      </c>
      <c r="H2122" s="35" t="s">
        <v>26</v>
      </c>
      <c r="I2122" s="35" t="s">
        <v>27</v>
      </c>
      <c r="J2122" s="57"/>
      <c r="K2122" s="57"/>
      <c r="L2122" s="84"/>
    </row>
    <row r="2123">
      <c r="A2123" s="32" t="s">
        <v>5609</v>
      </c>
      <c r="B2123" s="32" t="s">
        <v>5610</v>
      </c>
      <c r="C2123" s="33">
        <v>45947.0</v>
      </c>
      <c r="D2123" s="34" t="s">
        <v>22</v>
      </c>
      <c r="E2123" s="32" t="s">
        <v>69</v>
      </c>
      <c r="F2123" s="34" t="s">
        <v>24</v>
      </c>
      <c r="G2123" s="34" t="s">
        <v>725</v>
      </c>
      <c r="H2123" s="35" t="s">
        <v>26</v>
      </c>
      <c r="I2123" s="35" t="s">
        <v>27</v>
      </c>
      <c r="J2123" s="35" t="s">
        <v>100</v>
      </c>
      <c r="K2123" s="57"/>
      <c r="L2123" s="84"/>
    </row>
    <row r="2124">
      <c r="A2124" s="32" t="s">
        <v>5611</v>
      </c>
      <c r="B2124" s="32" t="s">
        <v>5612</v>
      </c>
      <c r="C2124" s="33">
        <v>45947.0</v>
      </c>
      <c r="D2124" s="34" t="s">
        <v>22</v>
      </c>
      <c r="E2124" s="32" t="s">
        <v>5424</v>
      </c>
      <c r="F2124" s="34" t="s">
        <v>24</v>
      </c>
      <c r="G2124" s="34" t="s">
        <v>5613</v>
      </c>
      <c r="H2124" s="35" t="s">
        <v>26</v>
      </c>
      <c r="I2124" s="35" t="s">
        <v>27</v>
      </c>
      <c r="J2124" s="35" t="s">
        <v>100</v>
      </c>
      <c r="K2124" s="57"/>
      <c r="L2124" s="84"/>
    </row>
    <row r="2125">
      <c r="A2125" s="32" t="s">
        <v>5614</v>
      </c>
      <c r="B2125" s="32" t="s">
        <v>5615</v>
      </c>
      <c r="C2125" s="33">
        <v>45947.0</v>
      </c>
      <c r="D2125" s="34" t="s">
        <v>22</v>
      </c>
      <c r="E2125" s="32" t="s">
        <v>2338</v>
      </c>
      <c r="F2125" s="34" t="s">
        <v>24</v>
      </c>
      <c r="G2125" s="34" t="s">
        <v>1617</v>
      </c>
      <c r="H2125" s="35" t="s">
        <v>26</v>
      </c>
      <c r="I2125" s="35" t="s">
        <v>27</v>
      </c>
      <c r="J2125" s="57"/>
      <c r="K2125" s="57"/>
      <c r="L2125" s="84"/>
    </row>
    <row r="2126">
      <c r="A2126" s="32" t="s">
        <v>5616</v>
      </c>
      <c r="B2126" s="32" t="s">
        <v>5617</v>
      </c>
      <c r="C2126" s="33">
        <v>45947.0</v>
      </c>
      <c r="D2126" s="47" t="s">
        <v>22</v>
      </c>
      <c r="E2126" s="32" t="s">
        <v>5618</v>
      </c>
      <c r="F2126" s="34" t="s">
        <v>24</v>
      </c>
      <c r="G2126" s="34" t="s">
        <v>213</v>
      </c>
      <c r="H2126" s="35" t="s">
        <v>26</v>
      </c>
      <c r="I2126" s="35" t="s">
        <v>27</v>
      </c>
      <c r="J2126" s="57"/>
      <c r="K2126" s="57"/>
      <c r="L2126" s="84"/>
    </row>
    <row r="2127">
      <c r="A2127" s="32" t="s">
        <v>5619</v>
      </c>
      <c r="B2127" s="32" t="s">
        <v>5620</v>
      </c>
      <c r="C2127" s="33">
        <v>45947.0</v>
      </c>
      <c r="D2127" s="34" t="s">
        <v>22</v>
      </c>
      <c r="E2127" s="32" t="s">
        <v>61</v>
      </c>
      <c r="F2127" s="34" t="s">
        <v>24</v>
      </c>
      <c r="G2127" s="34" t="s">
        <v>5621</v>
      </c>
      <c r="H2127" s="35" t="s">
        <v>26</v>
      </c>
      <c r="I2127" s="35" t="s">
        <v>27</v>
      </c>
      <c r="J2127" s="57"/>
      <c r="K2127" s="57"/>
      <c r="L2127" s="84"/>
    </row>
    <row r="2128">
      <c r="A2128" s="32" t="s">
        <v>5622</v>
      </c>
      <c r="B2128" s="32" t="s">
        <v>5623</v>
      </c>
      <c r="C2128" s="33">
        <v>45947.0</v>
      </c>
      <c r="D2128" s="34" t="s">
        <v>22</v>
      </c>
      <c r="E2128" s="32" t="s">
        <v>912</v>
      </c>
      <c r="F2128" s="34" t="s">
        <v>24</v>
      </c>
      <c r="G2128" s="34" t="s">
        <v>1694</v>
      </c>
      <c r="H2128" s="35" t="s">
        <v>26</v>
      </c>
      <c r="I2128" s="35" t="s">
        <v>27</v>
      </c>
      <c r="J2128" s="35" t="s">
        <v>100</v>
      </c>
      <c r="K2128" s="57"/>
      <c r="L2128" s="84"/>
    </row>
    <row r="2129">
      <c r="A2129" s="32" t="s">
        <v>5624</v>
      </c>
      <c r="B2129" s="32" t="s">
        <v>5625</v>
      </c>
      <c r="C2129" s="33">
        <v>45947.0</v>
      </c>
      <c r="D2129" s="34" t="s">
        <v>22</v>
      </c>
      <c r="E2129" s="32" t="s">
        <v>4193</v>
      </c>
      <c r="F2129" s="34" t="s">
        <v>53</v>
      </c>
      <c r="G2129" s="34" t="s">
        <v>49</v>
      </c>
      <c r="H2129" s="35" t="s">
        <v>26</v>
      </c>
      <c r="I2129" s="35" t="s">
        <v>27</v>
      </c>
      <c r="J2129" s="57"/>
      <c r="K2129" s="57"/>
      <c r="L2129" s="84"/>
    </row>
    <row r="2130">
      <c r="A2130" s="32" t="s">
        <v>5626</v>
      </c>
      <c r="B2130" s="32" t="s">
        <v>5627</v>
      </c>
      <c r="C2130" s="33">
        <v>45947.0</v>
      </c>
      <c r="D2130" s="34" t="s">
        <v>22</v>
      </c>
      <c r="E2130" s="32" t="s">
        <v>707</v>
      </c>
      <c r="F2130" s="34" t="s">
        <v>24</v>
      </c>
      <c r="G2130" s="34" t="s">
        <v>1566</v>
      </c>
      <c r="H2130" s="35" t="s">
        <v>26</v>
      </c>
      <c r="I2130" s="35" t="s">
        <v>27</v>
      </c>
      <c r="J2130" s="57"/>
      <c r="K2130" s="57"/>
      <c r="L2130" s="84"/>
    </row>
    <row r="2131">
      <c r="A2131" s="32" t="s">
        <v>5628</v>
      </c>
      <c r="B2131" s="32" t="s">
        <v>5629</v>
      </c>
      <c r="C2131" s="33">
        <v>45947.0</v>
      </c>
      <c r="D2131" s="34" t="s">
        <v>22</v>
      </c>
      <c r="E2131" s="32" t="s">
        <v>521</v>
      </c>
      <c r="F2131" s="34" t="s">
        <v>24</v>
      </c>
      <c r="G2131" s="34" t="s">
        <v>365</v>
      </c>
      <c r="H2131" s="35" t="s">
        <v>26</v>
      </c>
      <c r="I2131" s="35" t="s">
        <v>27</v>
      </c>
      <c r="J2131" s="57"/>
      <c r="K2131" s="57"/>
      <c r="L2131" s="84"/>
    </row>
    <row r="2132">
      <c r="A2132" s="32" t="s">
        <v>5630</v>
      </c>
      <c r="B2132" s="32" t="s">
        <v>5631</v>
      </c>
      <c r="C2132" s="33">
        <v>45947.0</v>
      </c>
      <c r="D2132" s="34" t="s">
        <v>22</v>
      </c>
      <c r="E2132" s="32" t="s">
        <v>1031</v>
      </c>
      <c r="F2132" s="34" t="s">
        <v>156</v>
      </c>
      <c r="G2132" s="34" t="s">
        <v>342</v>
      </c>
      <c r="H2132" s="35" t="s">
        <v>26</v>
      </c>
      <c r="I2132" s="35" t="s">
        <v>27</v>
      </c>
      <c r="J2132" s="35" t="s">
        <v>100</v>
      </c>
      <c r="K2132" s="57"/>
      <c r="L2132" s="84"/>
    </row>
    <row r="2133">
      <c r="A2133" s="32" t="s">
        <v>5632</v>
      </c>
      <c r="B2133" s="32" t="s">
        <v>5633</v>
      </c>
      <c r="C2133" s="33">
        <v>45947.0</v>
      </c>
      <c r="D2133" s="34" t="s">
        <v>22</v>
      </c>
      <c r="E2133" s="32" t="s">
        <v>370</v>
      </c>
      <c r="F2133" s="34" t="s">
        <v>53</v>
      </c>
      <c r="G2133" s="34" t="s">
        <v>342</v>
      </c>
      <c r="H2133" s="35" t="s">
        <v>26</v>
      </c>
      <c r="I2133" s="35" t="s">
        <v>27</v>
      </c>
      <c r="J2133" s="35" t="s">
        <v>100</v>
      </c>
      <c r="K2133" s="57"/>
      <c r="L2133" s="84"/>
    </row>
    <row r="2134">
      <c r="A2134" s="32" t="s">
        <v>5634</v>
      </c>
      <c r="B2134" s="32" t="s">
        <v>5635</v>
      </c>
      <c r="C2134" s="33">
        <v>45947.0</v>
      </c>
      <c r="D2134" s="47" t="s">
        <v>22</v>
      </c>
      <c r="E2134" s="32" t="s">
        <v>335</v>
      </c>
      <c r="F2134" s="34" t="s">
        <v>24</v>
      </c>
      <c r="G2134" s="34" t="s">
        <v>1201</v>
      </c>
      <c r="H2134" s="35" t="s">
        <v>26</v>
      </c>
      <c r="I2134" s="35" t="s">
        <v>27</v>
      </c>
      <c r="J2134" s="35" t="s">
        <v>100</v>
      </c>
      <c r="K2134" s="57"/>
      <c r="L2134" s="84"/>
    </row>
    <row r="2135">
      <c r="A2135" s="32" t="s">
        <v>5636</v>
      </c>
      <c r="B2135" s="32" t="s">
        <v>5637</v>
      </c>
      <c r="C2135" s="33">
        <v>45947.0</v>
      </c>
      <c r="D2135" s="34" t="s">
        <v>22</v>
      </c>
      <c r="E2135" s="32" t="s">
        <v>5638</v>
      </c>
      <c r="F2135" s="34" t="s">
        <v>24</v>
      </c>
      <c r="G2135" s="34" t="s">
        <v>2644</v>
      </c>
      <c r="H2135" s="35" t="s">
        <v>26</v>
      </c>
      <c r="I2135" s="35" t="s">
        <v>27</v>
      </c>
      <c r="J2135" s="57"/>
      <c r="K2135" s="57"/>
      <c r="L2135" s="84"/>
    </row>
    <row r="2136">
      <c r="A2136" s="32" t="s">
        <v>5639</v>
      </c>
      <c r="B2136" s="32" t="s">
        <v>5640</v>
      </c>
      <c r="C2136" s="33">
        <v>45947.0</v>
      </c>
      <c r="D2136" s="34" t="s">
        <v>22</v>
      </c>
      <c r="E2136" s="32" t="s">
        <v>5641</v>
      </c>
      <c r="F2136" s="34" t="s">
        <v>156</v>
      </c>
      <c r="G2136" s="34" t="s">
        <v>423</v>
      </c>
      <c r="H2136" s="35" t="s">
        <v>26</v>
      </c>
      <c r="I2136" s="35" t="s">
        <v>27</v>
      </c>
      <c r="J2136" s="57"/>
      <c r="K2136" s="57"/>
      <c r="L2136" s="84"/>
    </row>
    <row r="2137">
      <c r="A2137" s="32" t="s">
        <v>5642</v>
      </c>
      <c r="B2137" s="32" t="s">
        <v>1682</v>
      </c>
      <c r="C2137" s="33">
        <v>45947.0</v>
      </c>
      <c r="D2137" s="34" t="s">
        <v>22</v>
      </c>
      <c r="E2137" s="32" t="s">
        <v>335</v>
      </c>
      <c r="F2137" s="34" t="s">
        <v>24</v>
      </c>
      <c r="G2137" s="34" t="s">
        <v>5643</v>
      </c>
      <c r="H2137" s="35" t="s">
        <v>26</v>
      </c>
      <c r="I2137" s="35" t="s">
        <v>27</v>
      </c>
      <c r="J2137" s="35" t="s">
        <v>100</v>
      </c>
      <c r="K2137" s="57"/>
      <c r="L2137" s="84"/>
    </row>
    <row r="2138">
      <c r="A2138" s="32" t="s">
        <v>5644</v>
      </c>
      <c r="B2138" s="32" t="s">
        <v>5645</v>
      </c>
      <c r="C2138" s="33">
        <v>45947.0</v>
      </c>
      <c r="D2138" s="34" t="s">
        <v>22</v>
      </c>
      <c r="E2138" s="32" t="s">
        <v>284</v>
      </c>
      <c r="F2138" s="34" t="s">
        <v>24</v>
      </c>
      <c r="G2138" s="34" t="s">
        <v>430</v>
      </c>
      <c r="H2138" s="35" t="s">
        <v>26</v>
      </c>
      <c r="I2138" s="35" t="s">
        <v>27</v>
      </c>
      <c r="J2138" s="57"/>
      <c r="K2138" s="57"/>
      <c r="L2138" s="84"/>
    </row>
    <row r="2139">
      <c r="A2139" s="32" t="s">
        <v>5646</v>
      </c>
      <c r="B2139" s="32" t="s">
        <v>5647</v>
      </c>
      <c r="C2139" s="33">
        <v>45947.0</v>
      </c>
      <c r="D2139" s="47" t="s">
        <v>22</v>
      </c>
      <c r="E2139" s="32" t="s">
        <v>335</v>
      </c>
      <c r="F2139" s="34" t="s">
        <v>24</v>
      </c>
      <c r="G2139" s="34" t="s">
        <v>5648</v>
      </c>
      <c r="H2139" s="35" t="s">
        <v>26</v>
      </c>
      <c r="I2139" s="35" t="s">
        <v>27</v>
      </c>
      <c r="J2139" s="57"/>
      <c r="K2139" s="57"/>
      <c r="L2139" s="84"/>
    </row>
    <row r="2140">
      <c r="A2140" s="32" t="s">
        <v>5649</v>
      </c>
      <c r="B2140" s="32" t="s">
        <v>5650</v>
      </c>
      <c r="C2140" s="33">
        <v>45947.0</v>
      </c>
      <c r="D2140" s="34" t="s">
        <v>39</v>
      </c>
      <c r="E2140" s="32" t="s">
        <v>1049</v>
      </c>
      <c r="F2140" s="34" t="s">
        <v>24</v>
      </c>
      <c r="G2140" s="34" t="s">
        <v>5651</v>
      </c>
      <c r="H2140" s="35" t="s">
        <v>26</v>
      </c>
      <c r="I2140" s="35" t="s">
        <v>27</v>
      </c>
      <c r="J2140" s="35" t="s">
        <v>100</v>
      </c>
      <c r="K2140" s="57"/>
      <c r="L2140" s="84"/>
    </row>
    <row r="2141">
      <c r="A2141" s="32" t="s">
        <v>5652</v>
      </c>
      <c r="B2141" s="32" t="s">
        <v>5653</v>
      </c>
      <c r="C2141" s="33">
        <v>45947.0</v>
      </c>
      <c r="D2141" s="34" t="s">
        <v>22</v>
      </c>
      <c r="E2141" s="32" t="s">
        <v>1648</v>
      </c>
      <c r="F2141" s="34" t="s">
        <v>31</v>
      </c>
      <c r="G2141" s="34" t="s">
        <v>5212</v>
      </c>
      <c r="H2141" s="35" t="s">
        <v>26</v>
      </c>
      <c r="I2141" s="35" t="s">
        <v>27</v>
      </c>
      <c r="J2141" s="57"/>
      <c r="K2141" s="57"/>
      <c r="L2141" s="84"/>
    </row>
    <row r="2142">
      <c r="A2142" s="32" t="s">
        <v>5654</v>
      </c>
      <c r="B2142" s="32" t="s">
        <v>5655</v>
      </c>
      <c r="C2142" s="33">
        <v>45947.0</v>
      </c>
      <c r="D2142" s="47" t="s">
        <v>22</v>
      </c>
      <c r="E2142" s="32" t="s">
        <v>2107</v>
      </c>
      <c r="F2142" s="34" t="s">
        <v>53</v>
      </c>
      <c r="G2142" s="34" t="s">
        <v>599</v>
      </c>
      <c r="H2142" s="35" t="s">
        <v>26</v>
      </c>
      <c r="I2142" s="35" t="s">
        <v>27</v>
      </c>
      <c r="J2142" s="57"/>
      <c r="K2142" s="57"/>
      <c r="L2142" s="84"/>
    </row>
    <row r="2143">
      <c r="A2143" s="32" t="s">
        <v>5656</v>
      </c>
      <c r="B2143" s="32" t="s">
        <v>5656</v>
      </c>
      <c r="C2143" s="33">
        <v>45947.0</v>
      </c>
      <c r="D2143" s="34" t="s">
        <v>22</v>
      </c>
      <c r="E2143" s="32" t="s">
        <v>84</v>
      </c>
      <c r="F2143" s="34" t="s">
        <v>24</v>
      </c>
      <c r="G2143" s="34" t="s">
        <v>440</v>
      </c>
      <c r="H2143" s="35" t="s">
        <v>26</v>
      </c>
      <c r="I2143" s="35" t="s">
        <v>27</v>
      </c>
      <c r="J2143" s="57"/>
      <c r="K2143" s="57"/>
      <c r="L2143" s="84"/>
    </row>
    <row r="2144">
      <c r="A2144" s="32" t="s">
        <v>5657</v>
      </c>
      <c r="B2144" s="32" t="s">
        <v>5658</v>
      </c>
      <c r="C2144" s="33">
        <v>45947.0</v>
      </c>
      <c r="D2144" s="34" t="s">
        <v>22</v>
      </c>
      <c r="E2144" s="32" t="s">
        <v>5659</v>
      </c>
      <c r="F2144" s="34" t="s">
        <v>53</v>
      </c>
      <c r="G2144" s="34" t="s">
        <v>299</v>
      </c>
      <c r="H2144" s="35" t="s">
        <v>26</v>
      </c>
      <c r="I2144" s="35" t="s">
        <v>27</v>
      </c>
      <c r="J2144" s="35" t="s">
        <v>100</v>
      </c>
      <c r="K2144" s="57"/>
      <c r="L2144" s="84"/>
    </row>
    <row r="2145">
      <c r="A2145" s="32" t="s">
        <v>5660</v>
      </c>
      <c r="B2145" s="32" t="s">
        <v>5661</v>
      </c>
      <c r="C2145" s="33">
        <v>45947.0</v>
      </c>
      <c r="D2145" s="34" t="s">
        <v>22</v>
      </c>
      <c r="E2145" s="32" t="s">
        <v>1717</v>
      </c>
      <c r="F2145" s="34" t="s">
        <v>53</v>
      </c>
      <c r="G2145" s="34" t="s">
        <v>3897</v>
      </c>
      <c r="H2145" s="35" t="s">
        <v>26</v>
      </c>
      <c r="I2145" s="35" t="s">
        <v>27</v>
      </c>
      <c r="J2145" s="57"/>
      <c r="K2145" s="57"/>
      <c r="L2145" s="84"/>
    </row>
    <row r="2146">
      <c r="A2146" s="32" t="s">
        <v>5662</v>
      </c>
      <c r="B2146" s="32" t="s">
        <v>5663</v>
      </c>
      <c r="C2146" s="33">
        <v>45947.0</v>
      </c>
      <c r="D2146" s="34" t="s">
        <v>22</v>
      </c>
      <c r="E2146" s="32" t="s">
        <v>5664</v>
      </c>
      <c r="F2146" s="34" t="s">
        <v>24</v>
      </c>
      <c r="G2146" s="34" t="s">
        <v>221</v>
      </c>
      <c r="H2146" s="35" t="s">
        <v>26</v>
      </c>
      <c r="I2146" s="35" t="s">
        <v>27</v>
      </c>
      <c r="J2146" s="65"/>
      <c r="K2146" s="57"/>
      <c r="L2146" s="84"/>
    </row>
    <row r="2147">
      <c r="A2147" s="32" t="s">
        <v>5665</v>
      </c>
      <c r="B2147" s="32" t="s">
        <v>5666</v>
      </c>
      <c r="C2147" s="33">
        <v>45947.0</v>
      </c>
      <c r="D2147" s="34" t="s">
        <v>39</v>
      </c>
      <c r="E2147" s="32" t="s">
        <v>2056</v>
      </c>
      <c r="F2147" s="34" t="s">
        <v>24</v>
      </c>
      <c r="G2147" s="34" t="s">
        <v>599</v>
      </c>
      <c r="H2147" s="35" t="s">
        <v>26</v>
      </c>
      <c r="I2147" s="35" t="s">
        <v>27</v>
      </c>
      <c r="J2147" s="35" t="s">
        <v>100</v>
      </c>
      <c r="K2147" s="57"/>
      <c r="L2147" s="84"/>
    </row>
    <row r="2148">
      <c r="A2148" s="32" t="s">
        <v>5667</v>
      </c>
      <c r="B2148" s="32" t="s">
        <v>5668</v>
      </c>
      <c r="C2148" s="33">
        <v>45947.0</v>
      </c>
      <c r="D2148" s="34" t="s">
        <v>22</v>
      </c>
      <c r="E2148" s="32" t="s">
        <v>5669</v>
      </c>
      <c r="F2148" s="34" t="s">
        <v>31</v>
      </c>
      <c r="G2148" s="34" t="s">
        <v>1583</v>
      </c>
      <c r="H2148" s="35" t="s">
        <v>26</v>
      </c>
      <c r="I2148" s="34"/>
      <c r="J2148" s="57"/>
      <c r="K2148" s="57"/>
      <c r="L2148" s="84"/>
    </row>
    <row r="2149">
      <c r="A2149" s="32" t="s">
        <v>5670</v>
      </c>
      <c r="B2149" s="32" t="s">
        <v>5671</v>
      </c>
      <c r="C2149" s="33">
        <v>45947.0</v>
      </c>
      <c r="D2149" s="34" t="s">
        <v>22</v>
      </c>
      <c r="E2149" s="32" t="s">
        <v>5672</v>
      </c>
      <c r="F2149" s="34" t="s">
        <v>156</v>
      </c>
      <c r="G2149" s="34" t="s">
        <v>1028</v>
      </c>
      <c r="H2149" s="35" t="s">
        <v>26</v>
      </c>
      <c r="I2149" s="35" t="s">
        <v>27</v>
      </c>
      <c r="J2149" s="35" t="s">
        <v>100</v>
      </c>
      <c r="K2149" s="57"/>
      <c r="L2149" s="84"/>
    </row>
    <row r="2150">
      <c r="A2150" s="32" t="s">
        <v>5673</v>
      </c>
      <c r="B2150" s="32" t="s">
        <v>5674</v>
      </c>
      <c r="C2150" s="33">
        <v>45947.0</v>
      </c>
      <c r="D2150" s="34" t="s">
        <v>22</v>
      </c>
      <c r="E2150" s="32" t="s">
        <v>5675</v>
      </c>
      <c r="F2150" s="34" t="s">
        <v>53</v>
      </c>
      <c r="G2150" s="34" t="s">
        <v>1566</v>
      </c>
      <c r="H2150" s="66"/>
      <c r="I2150" s="35" t="s">
        <v>27</v>
      </c>
      <c r="J2150" s="57"/>
      <c r="K2150" s="57"/>
      <c r="L2150" s="84"/>
    </row>
    <row r="2151">
      <c r="A2151" s="32" t="s">
        <v>5676</v>
      </c>
      <c r="B2151" s="32" t="s">
        <v>5676</v>
      </c>
      <c r="C2151" s="33">
        <v>45947.0</v>
      </c>
      <c r="D2151" s="34" t="s">
        <v>22</v>
      </c>
      <c r="E2151" s="32" t="s">
        <v>5677</v>
      </c>
      <c r="F2151" s="34" t="s">
        <v>53</v>
      </c>
      <c r="G2151" s="34" t="s">
        <v>423</v>
      </c>
      <c r="H2151" s="35" t="s">
        <v>26</v>
      </c>
      <c r="I2151" s="35" t="s">
        <v>27</v>
      </c>
      <c r="J2151" s="35" t="s">
        <v>100</v>
      </c>
      <c r="K2151" s="57"/>
      <c r="L2151" s="84"/>
    </row>
    <row r="2152">
      <c r="A2152" s="32" t="s">
        <v>5678</v>
      </c>
      <c r="B2152" s="32" t="s">
        <v>5679</v>
      </c>
      <c r="C2152" s="33">
        <v>45947.0</v>
      </c>
      <c r="D2152" s="34" t="s">
        <v>22</v>
      </c>
      <c r="E2152" s="32" t="s">
        <v>1329</v>
      </c>
      <c r="F2152" s="34" t="s">
        <v>156</v>
      </c>
      <c r="G2152" s="34" t="s">
        <v>5680</v>
      </c>
      <c r="H2152" s="35" t="s">
        <v>26</v>
      </c>
      <c r="I2152" s="58" t="str">
        <f>HYPERLINK("https://open.spotify.com/album/2iVTJUAxVnaXABCAmkfx1j", "S")</f>
        <v>S</v>
      </c>
      <c r="J2152" s="57"/>
      <c r="K2152" s="57"/>
      <c r="L2152" s="84"/>
    </row>
    <row r="2153">
      <c r="A2153" s="32" t="s">
        <v>5681</v>
      </c>
      <c r="B2153" s="32" t="s">
        <v>5682</v>
      </c>
      <c r="C2153" s="33">
        <v>45947.0</v>
      </c>
      <c r="D2153" s="34" t="s">
        <v>22</v>
      </c>
      <c r="E2153" s="32" t="s">
        <v>284</v>
      </c>
      <c r="F2153" s="34" t="s">
        <v>24</v>
      </c>
      <c r="G2153" s="34" t="s">
        <v>1938</v>
      </c>
      <c r="H2153" s="35" t="s">
        <v>26</v>
      </c>
      <c r="I2153" s="35" t="s">
        <v>27</v>
      </c>
      <c r="J2153" s="35" t="s">
        <v>100</v>
      </c>
      <c r="K2153" s="57"/>
      <c r="L2153" s="84"/>
    </row>
    <row r="2154">
      <c r="A2154" s="32" t="s">
        <v>5683</v>
      </c>
      <c r="B2154" s="32" t="s">
        <v>5684</v>
      </c>
      <c r="C2154" s="33">
        <v>45947.0</v>
      </c>
      <c r="D2154" s="34" t="s">
        <v>22</v>
      </c>
      <c r="E2154" s="32" t="s">
        <v>5685</v>
      </c>
      <c r="F2154" s="34" t="s">
        <v>53</v>
      </c>
      <c r="G2154" s="34" t="s">
        <v>199</v>
      </c>
      <c r="H2154" s="35" t="s">
        <v>26</v>
      </c>
      <c r="I2154" s="35" t="s">
        <v>27</v>
      </c>
      <c r="J2154" s="57"/>
      <c r="K2154" s="57"/>
      <c r="L2154" s="84"/>
    </row>
    <row r="2155">
      <c r="A2155" s="32" t="s">
        <v>5686</v>
      </c>
      <c r="B2155" s="32" t="s">
        <v>5687</v>
      </c>
      <c r="C2155" s="33">
        <v>45947.0</v>
      </c>
      <c r="D2155" s="47" t="s">
        <v>22</v>
      </c>
      <c r="E2155" s="32" t="s">
        <v>5688</v>
      </c>
      <c r="F2155" s="34" t="s">
        <v>53</v>
      </c>
      <c r="G2155" s="34" t="s">
        <v>1808</v>
      </c>
      <c r="H2155" s="35" t="s">
        <v>26</v>
      </c>
      <c r="I2155" s="58" t="str">
        <f>HYPERLINK("https://open.spotify.com/album/3tNxxykTf7kwZg1EPYdftq", "S")</f>
        <v>S</v>
      </c>
      <c r="J2155" s="57"/>
      <c r="K2155" s="57"/>
      <c r="L2155" s="84"/>
    </row>
    <row r="2156">
      <c r="A2156" s="32" t="s">
        <v>5689</v>
      </c>
      <c r="B2156" s="32" t="s">
        <v>5690</v>
      </c>
      <c r="C2156" s="33">
        <v>45947.0</v>
      </c>
      <c r="D2156" s="34" t="s">
        <v>39</v>
      </c>
      <c r="E2156" s="32" t="s">
        <v>73</v>
      </c>
      <c r="F2156" s="34" t="s">
        <v>24</v>
      </c>
      <c r="G2156" s="34" t="s">
        <v>5691</v>
      </c>
      <c r="H2156" s="35" t="s">
        <v>26</v>
      </c>
      <c r="I2156" s="66"/>
      <c r="J2156" s="57"/>
      <c r="K2156" s="57"/>
      <c r="L2156" s="84"/>
    </row>
    <row r="2157">
      <c r="A2157" s="32" t="s">
        <v>5692</v>
      </c>
      <c r="B2157" s="32" t="s">
        <v>5692</v>
      </c>
      <c r="C2157" s="33">
        <v>45947.0</v>
      </c>
      <c r="D2157" s="47" t="s">
        <v>22</v>
      </c>
      <c r="E2157" s="32" t="s">
        <v>69</v>
      </c>
      <c r="F2157" s="34" t="s">
        <v>53</v>
      </c>
      <c r="G2157" s="34" t="s">
        <v>923</v>
      </c>
      <c r="H2157" s="35" t="s">
        <v>26</v>
      </c>
      <c r="I2157" s="36" t="str">
        <f>HYPERLINK("https://open.spotify.com/album/5fuTpDYcpHI02WP1V5Szqe", "S")</f>
        <v>S</v>
      </c>
      <c r="J2157" s="57"/>
      <c r="K2157" s="57"/>
      <c r="L2157" s="84"/>
    </row>
    <row r="2158">
      <c r="A2158" s="32" t="s">
        <v>5693</v>
      </c>
      <c r="B2158" s="32" t="s">
        <v>5693</v>
      </c>
      <c r="C2158" s="33">
        <v>45947.0</v>
      </c>
      <c r="D2158" s="34" t="s">
        <v>22</v>
      </c>
      <c r="E2158" s="32" t="s">
        <v>321</v>
      </c>
      <c r="F2158" s="34" t="s">
        <v>156</v>
      </c>
      <c r="G2158" s="34" t="s">
        <v>5124</v>
      </c>
      <c r="H2158" s="35" t="s">
        <v>26</v>
      </c>
      <c r="I2158" s="36" t="str">
        <f>HYPERLINK("https://open.spotify.com/album/6DxQ1wkKEHmVgpo0CpqlZM", "S")</f>
        <v>S</v>
      </c>
      <c r="J2158" s="57"/>
      <c r="K2158" s="57"/>
      <c r="L2158" s="84"/>
    </row>
    <row r="2159">
      <c r="A2159" s="32" t="s">
        <v>5694</v>
      </c>
      <c r="B2159" s="32" t="s">
        <v>5695</v>
      </c>
      <c r="C2159" s="33">
        <v>45947.0</v>
      </c>
      <c r="D2159" s="34" t="s">
        <v>22</v>
      </c>
      <c r="E2159" s="32" t="s">
        <v>331</v>
      </c>
      <c r="F2159" s="34" t="s">
        <v>156</v>
      </c>
      <c r="G2159" s="34" t="s">
        <v>5696</v>
      </c>
      <c r="H2159" s="35" t="s">
        <v>26</v>
      </c>
      <c r="I2159" s="36" t="str">
        <f>HYPERLINK("https://open.spotify.com/album/1HoxyFSlCtcWznzMv8swhC", "S")</f>
        <v>S</v>
      </c>
      <c r="J2159" s="57"/>
      <c r="K2159" s="57"/>
      <c r="L2159" s="84"/>
    </row>
    <row r="2160">
      <c r="A2160" s="32" t="s">
        <v>5697</v>
      </c>
      <c r="B2160" s="32" t="s">
        <v>5698</v>
      </c>
      <c r="C2160" s="33">
        <v>45947.0</v>
      </c>
      <c r="D2160" s="47" t="s">
        <v>22</v>
      </c>
      <c r="E2160" s="32" t="s">
        <v>5699</v>
      </c>
      <c r="F2160" s="34" t="s">
        <v>24</v>
      </c>
      <c r="G2160" s="34" t="s">
        <v>423</v>
      </c>
      <c r="H2160" s="35" t="s">
        <v>26</v>
      </c>
      <c r="I2160" s="36" t="str">
        <f>HYPERLINK("https://open.spotify.com/album/03EYvdeEi7ZUIbfljEk7Xy", "S")</f>
        <v>S</v>
      </c>
      <c r="J2160" s="57"/>
      <c r="K2160" s="57"/>
      <c r="L2160" s="84"/>
    </row>
    <row r="2161">
      <c r="A2161" s="32" t="s">
        <v>5700</v>
      </c>
      <c r="B2161" s="32" t="s">
        <v>5701</v>
      </c>
      <c r="C2161" s="33">
        <v>45947.0</v>
      </c>
      <c r="D2161" s="34" t="s">
        <v>22</v>
      </c>
      <c r="E2161" s="32" t="s">
        <v>436</v>
      </c>
      <c r="F2161" s="34" t="s">
        <v>24</v>
      </c>
      <c r="G2161" s="34" t="s">
        <v>2620</v>
      </c>
      <c r="H2161" s="35" t="s">
        <v>26</v>
      </c>
      <c r="I2161" s="35" t="s">
        <v>27</v>
      </c>
      <c r="J2161" s="57"/>
      <c r="K2161" s="57"/>
      <c r="L2161" s="84"/>
    </row>
    <row r="2162">
      <c r="A2162" s="32" t="s">
        <v>5702</v>
      </c>
      <c r="B2162" s="32" t="s">
        <v>5703</v>
      </c>
      <c r="C2162" s="33">
        <v>45950.0</v>
      </c>
      <c r="D2162" s="34" t="s">
        <v>22</v>
      </c>
      <c r="E2162" s="32" t="s">
        <v>160</v>
      </c>
      <c r="F2162" s="34" t="s">
        <v>24</v>
      </c>
      <c r="G2162" s="34" t="s">
        <v>1560</v>
      </c>
      <c r="H2162" s="35" t="s">
        <v>26</v>
      </c>
      <c r="I2162" s="36" t="str">
        <f>HYPERLINK("https://open.spotify.com/album/60vN6ZsxF4uEbYGuEDC4ha", "S")</f>
        <v>S</v>
      </c>
      <c r="J2162" s="57"/>
      <c r="K2162" s="57"/>
      <c r="L2162" s="84"/>
    </row>
    <row r="2163">
      <c r="A2163" s="32" t="s">
        <v>5704</v>
      </c>
      <c r="B2163" s="32" t="s">
        <v>1275</v>
      </c>
      <c r="C2163" s="33">
        <v>45951.0</v>
      </c>
      <c r="D2163" s="34" t="s">
        <v>22</v>
      </c>
      <c r="E2163" s="32" t="s">
        <v>61</v>
      </c>
      <c r="F2163" s="34" t="s">
        <v>24</v>
      </c>
      <c r="G2163" s="34" t="s">
        <v>5705</v>
      </c>
      <c r="H2163" s="35" t="s">
        <v>26</v>
      </c>
      <c r="I2163" s="36" t="str">
        <f>HYPERLINK("https://open.spotify.com/album/7fRRYS7xl8lF4Z9QalKTt0", "S")</f>
        <v>S</v>
      </c>
      <c r="J2163" s="35" t="s">
        <v>100</v>
      </c>
      <c r="K2163" s="57"/>
      <c r="L2163" s="84"/>
    </row>
    <row r="2164">
      <c r="A2164" s="32" t="s">
        <v>5706</v>
      </c>
      <c r="B2164" s="32" t="s">
        <v>5707</v>
      </c>
      <c r="C2164" s="33">
        <v>45952.0</v>
      </c>
      <c r="D2164" s="34" t="s">
        <v>22</v>
      </c>
      <c r="E2164" s="32" t="s">
        <v>370</v>
      </c>
      <c r="F2164" s="34" t="s">
        <v>24</v>
      </c>
      <c r="G2164" s="34" t="s">
        <v>2670</v>
      </c>
      <c r="H2164" s="35" t="s">
        <v>26</v>
      </c>
      <c r="I2164" s="35" t="s">
        <v>27</v>
      </c>
      <c r="J2164" s="35" t="s">
        <v>100</v>
      </c>
      <c r="K2164" s="57"/>
      <c r="L2164" s="84"/>
    </row>
    <row r="2165">
      <c r="A2165" s="32" t="s">
        <v>5708</v>
      </c>
      <c r="B2165" s="32" t="s">
        <v>5709</v>
      </c>
      <c r="C2165" s="33">
        <v>45952.0</v>
      </c>
      <c r="D2165" s="34" t="s">
        <v>22</v>
      </c>
      <c r="E2165" s="32" t="s">
        <v>1471</v>
      </c>
      <c r="F2165" s="34" t="s">
        <v>156</v>
      </c>
      <c r="G2165" s="34" t="s">
        <v>169</v>
      </c>
      <c r="H2165" s="66"/>
      <c r="I2165" s="35" t="s">
        <v>27</v>
      </c>
      <c r="J2165" s="57"/>
      <c r="K2165" s="57"/>
      <c r="L2165" s="84"/>
    </row>
    <row r="2166">
      <c r="A2166" s="32" t="s">
        <v>4700</v>
      </c>
      <c r="B2166" s="32" t="s">
        <v>5710</v>
      </c>
      <c r="C2166" s="33">
        <v>45952.0</v>
      </c>
      <c r="D2166" s="34" t="s">
        <v>22</v>
      </c>
      <c r="E2166" s="32" t="s">
        <v>2400</v>
      </c>
      <c r="F2166" s="34" t="s">
        <v>31</v>
      </c>
      <c r="G2166" s="34" t="s">
        <v>41</v>
      </c>
      <c r="H2166" s="35" t="s">
        <v>26</v>
      </c>
      <c r="I2166" s="66"/>
      <c r="J2166" s="57"/>
      <c r="K2166" s="57"/>
      <c r="L2166" s="84"/>
    </row>
    <row r="2167">
      <c r="A2167" s="32" t="s">
        <v>296</v>
      </c>
      <c r="B2167" s="32" t="s">
        <v>5711</v>
      </c>
      <c r="C2167" s="33">
        <v>45953.0</v>
      </c>
      <c r="D2167" s="34" t="s">
        <v>22</v>
      </c>
      <c r="E2167" s="32" t="s">
        <v>5712</v>
      </c>
      <c r="F2167" s="34" t="s">
        <v>156</v>
      </c>
      <c r="G2167" s="34" t="s">
        <v>299</v>
      </c>
      <c r="H2167" s="35" t="s">
        <v>26</v>
      </c>
      <c r="I2167" s="36" t="str">
        <f>HYPERLINK("https://open.spotify.com/album/0cNKtsXApvOjzQ6un73ule", "S")</f>
        <v>S</v>
      </c>
      <c r="J2167" s="57"/>
      <c r="K2167" s="57"/>
      <c r="L2167" s="84"/>
    </row>
    <row r="2168">
      <c r="A2168" s="32" t="s">
        <v>5713</v>
      </c>
      <c r="B2168" s="32" t="s">
        <v>5714</v>
      </c>
      <c r="C2168" s="33">
        <v>45953.0</v>
      </c>
      <c r="D2168" s="47" t="s">
        <v>22</v>
      </c>
      <c r="E2168" s="32" t="s">
        <v>2196</v>
      </c>
      <c r="F2168" s="34" t="s">
        <v>53</v>
      </c>
      <c r="G2168" s="34" t="s">
        <v>5715</v>
      </c>
      <c r="H2168" s="35" t="s">
        <v>26</v>
      </c>
      <c r="I2168" s="36" t="str">
        <f>HYPERLINK("https://open.spotify.com/album/5vvFv3xRDIiVeeFdTKDv8i", "S")</f>
        <v>S</v>
      </c>
      <c r="J2168" s="57"/>
      <c r="K2168" s="57"/>
      <c r="L2168" s="84"/>
    </row>
    <row r="2169">
      <c r="A2169" s="32" t="s">
        <v>5716</v>
      </c>
      <c r="B2169" s="32" t="s">
        <v>5717</v>
      </c>
      <c r="C2169" s="33">
        <v>45954.0</v>
      </c>
      <c r="D2169" s="47" t="s">
        <v>22</v>
      </c>
      <c r="E2169" s="32" t="s">
        <v>122</v>
      </c>
      <c r="F2169" s="34" t="s">
        <v>156</v>
      </c>
      <c r="G2169" s="34" t="s">
        <v>70</v>
      </c>
      <c r="H2169" s="66"/>
      <c r="I2169" s="35" t="s">
        <v>27</v>
      </c>
      <c r="J2169" s="57"/>
      <c r="K2169" s="57"/>
      <c r="L2169" s="84"/>
    </row>
    <row r="2170">
      <c r="A2170" s="32" t="s">
        <v>5718</v>
      </c>
      <c r="B2170" s="32" t="s">
        <v>5719</v>
      </c>
      <c r="C2170" s="33">
        <v>45954.0</v>
      </c>
      <c r="D2170" s="34" t="s">
        <v>39</v>
      </c>
      <c r="E2170" s="32" t="s">
        <v>1089</v>
      </c>
      <c r="F2170" s="34" t="s">
        <v>24</v>
      </c>
      <c r="G2170" s="34" t="s">
        <v>3099</v>
      </c>
      <c r="H2170" s="35" t="s">
        <v>26</v>
      </c>
      <c r="I2170" s="104"/>
      <c r="J2170" s="35" t="s">
        <v>100</v>
      </c>
      <c r="K2170" s="57"/>
      <c r="L2170" s="84"/>
    </row>
    <row r="2171">
      <c r="A2171" s="32" t="s">
        <v>5720</v>
      </c>
      <c r="B2171" s="32" t="s">
        <v>5721</v>
      </c>
      <c r="C2171" s="33">
        <v>45954.0</v>
      </c>
      <c r="D2171" s="34" t="s">
        <v>39</v>
      </c>
      <c r="E2171" s="32" t="s">
        <v>5722</v>
      </c>
      <c r="F2171" s="34" t="s">
        <v>53</v>
      </c>
      <c r="G2171" s="34" t="s">
        <v>3596</v>
      </c>
      <c r="H2171" s="35" t="s">
        <v>26</v>
      </c>
      <c r="I2171" s="36" t="str">
        <f>HYPERLINK("https://open.spotify.com/album/3Rhf1Bl8rCT1outEOFqO6u", "S")</f>
        <v>S</v>
      </c>
      <c r="J2171" s="57"/>
      <c r="K2171" s="57"/>
      <c r="L2171" s="84"/>
    </row>
    <row r="2172">
      <c r="A2172" s="32" t="s">
        <v>5723</v>
      </c>
      <c r="B2172" s="32" t="s">
        <v>5724</v>
      </c>
      <c r="C2172" s="33">
        <v>45954.0</v>
      </c>
      <c r="D2172" s="34" t="s">
        <v>22</v>
      </c>
      <c r="E2172" s="32" t="s">
        <v>5725</v>
      </c>
      <c r="F2172" s="34" t="s">
        <v>53</v>
      </c>
      <c r="G2172" s="34" t="s">
        <v>141</v>
      </c>
      <c r="H2172" s="35" t="s">
        <v>26</v>
      </c>
      <c r="I2172" s="35" t="s">
        <v>27</v>
      </c>
      <c r="J2172" s="57"/>
      <c r="K2172" s="57"/>
      <c r="L2172" s="84"/>
    </row>
    <row r="2173">
      <c r="A2173" s="32" t="s">
        <v>5726</v>
      </c>
      <c r="B2173" s="32" t="s">
        <v>5727</v>
      </c>
      <c r="C2173" s="33">
        <v>45954.0</v>
      </c>
      <c r="D2173" s="34" t="s">
        <v>22</v>
      </c>
      <c r="E2173" s="32" t="s">
        <v>61</v>
      </c>
      <c r="F2173" s="34" t="s">
        <v>24</v>
      </c>
      <c r="G2173" s="34" t="s">
        <v>257</v>
      </c>
      <c r="H2173" s="35" t="s">
        <v>26</v>
      </c>
      <c r="I2173" s="36" t="str">
        <f>HYPERLINK("https://open.spotify.com/album/55jxcflrFhzP3UJTygWeTE", "S")</f>
        <v>S</v>
      </c>
      <c r="J2173" s="57"/>
      <c r="K2173" s="57"/>
      <c r="L2173" s="84"/>
    </row>
    <row r="2174">
      <c r="A2174" s="32" t="s">
        <v>5728</v>
      </c>
      <c r="B2174" s="32" t="s">
        <v>5729</v>
      </c>
      <c r="C2174" s="33">
        <v>45954.0</v>
      </c>
      <c r="D2174" s="34" t="s">
        <v>39</v>
      </c>
      <c r="E2174" s="32" t="s">
        <v>3976</v>
      </c>
      <c r="F2174" s="34" t="s">
        <v>53</v>
      </c>
      <c r="G2174" s="34" t="s">
        <v>96</v>
      </c>
      <c r="H2174" s="35" t="s">
        <v>26</v>
      </c>
      <c r="I2174" s="36" t="str">
        <f>HYPERLINK("https://open.spotify.com/album/3xaXt3ErZlLoxsKKndSO8t", "S")</f>
        <v>S</v>
      </c>
      <c r="J2174" s="57"/>
      <c r="K2174" s="57"/>
      <c r="L2174" s="84"/>
    </row>
    <row r="2175">
      <c r="A2175" s="32" t="s">
        <v>5730</v>
      </c>
      <c r="B2175" s="32" t="s">
        <v>5731</v>
      </c>
      <c r="C2175" s="33">
        <v>45954.0</v>
      </c>
      <c r="D2175" s="34" t="s">
        <v>22</v>
      </c>
      <c r="E2175" s="32" t="s">
        <v>122</v>
      </c>
      <c r="F2175" s="34" t="s">
        <v>31</v>
      </c>
      <c r="G2175" s="34" t="s">
        <v>5732</v>
      </c>
      <c r="H2175" s="35" t="s">
        <v>26</v>
      </c>
      <c r="I2175" s="36" t="str">
        <f>HYPERLINK("https://open.spotify.com/album/51GYAV50CwKzPmKEXtu3ap", "S")</f>
        <v>S</v>
      </c>
      <c r="J2175" s="57"/>
      <c r="K2175" s="57"/>
      <c r="L2175" s="84"/>
    </row>
    <row r="2176">
      <c r="A2176" s="32" t="s">
        <v>5733</v>
      </c>
      <c r="B2176" s="32" t="s">
        <v>5734</v>
      </c>
      <c r="C2176" s="33">
        <v>45954.0</v>
      </c>
      <c r="D2176" s="34" t="s">
        <v>22</v>
      </c>
      <c r="E2176" s="32" t="s">
        <v>3123</v>
      </c>
      <c r="F2176" s="34" t="s">
        <v>53</v>
      </c>
      <c r="G2176" s="34" t="s">
        <v>225</v>
      </c>
      <c r="H2176" s="66"/>
      <c r="I2176" s="36" t="str">
        <f>HYPERLINK("https://open.spotify.com/album/331dpokIUtNiVsUuDPLl9h", "S")</f>
        <v>S</v>
      </c>
      <c r="J2176" s="57"/>
      <c r="K2176" s="57"/>
      <c r="L2176" s="84"/>
    </row>
    <row r="2177">
      <c r="A2177" s="32" t="s">
        <v>5735</v>
      </c>
      <c r="B2177" s="32" t="s">
        <v>5736</v>
      </c>
      <c r="C2177" s="33">
        <v>45954.0</v>
      </c>
      <c r="D2177" s="34" t="s">
        <v>22</v>
      </c>
      <c r="E2177" s="32" t="s">
        <v>1458</v>
      </c>
      <c r="F2177" s="34" t="s">
        <v>53</v>
      </c>
      <c r="G2177" s="34" t="s">
        <v>62</v>
      </c>
      <c r="H2177" s="35" t="s">
        <v>26</v>
      </c>
      <c r="I2177" s="104"/>
      <c r="J2177" s="35" t="s">
        <v>100</v>
      </c>
      <c r="K2177" s="57"/>
      <c r="L2177" s="84"/>
    </row>
    <row r="2178">
      <c r="A2178" s="32" t="s">
        <v>5737</v>
      </c>
      <c r="B2178" s="32" t="s">
        <v>5738</v>
      </c>
      <c r="C2178" s="33">
        <v>45954.0</v>
      </c>
      <c r="D2178" s="34" t="s">
        <v>39</v>
      </c>
      <c r="E2178" s="32" t="s">
        <v>160</v>
      </c>
      <c r="F2178" s="34" t="s">
        <v>24</v>
      </c>
      <c r="G2178" s="34" t="s">
        <v>1028</v>
      </c>
      <c r="H2178" s="35" t="s">
        <v>26</v>
      </c>
      <c r="I2178" s="36" t="str">
        <f>HYPERLINK("https://open.spotify.com/album/4gAvrQAnZ6rLzsI0VX7Tjm", "S")</f>
        <v>S</v>
      </c>
      <c r="J2178" s="57"/>
      <c r="K2178" s="57"/>
      <c r="L2178" s="84"/>
    </row>
    <row r="2179">
      <c r="A2179" s="32" t="s">
        <v>5739</v>
      </c>
      <c r="B2179" s="32" t="s">
        <v>5740</v>
      </c>
      <c r="C2179" s="33">
        <v>45954.0</v>
      </c>
      <c r="D2179" s="69" t="s">
        <v>22</v>
      </c>
      <c r="E2179" s="32" t="s">
        <v>5741</v>
      </c>
      <c r="F2179" s="34" t="s">
        <v>53</v>
      </c>
      <c r="G2179" s="34" t="s">
        <v>5742</v>
      </c>
      <c r="H2179" s="35" t="s">
        <v>26</v>
      </c>
      <c r="I2179" s="36" t="str">
        <f>HYPERLINK("https://open.spotify.com/album/1zumICMOuKhpVVHiZ5p2mB", "S")</f>
        <v>S</v>
      </c>
      <c r="J2179" s="57"/>
      <c r="K2179" s="57"/>
      <c r="L2179" s="84"/>
    </row>
    <row r="2180">
      <c r="A2180" s="32" t="s">
        <v>5743</v>
      </c>
      <c r="B2180" s="32" t="s">
        <v>5744</v>
      </c>
      <c r="C2180" s="33">
        <v>45954.0</v>
      </c>
      <c r="D2180" s="34" t="s">
        <v>39</v>
      </c>
      <c r="E2180" s="32" t="s">
        <v>1458</v>
      </c>
      <c r="F2180" s="34" t="s">
        <v>53</v>
      </c>
      <c r="G2180" s="34" t="s">
        <v>78</v>
      </c>
      <c r="H2180" s="35" t="s">
        <v>26</v>
      </c>
      <c r="I2180" s="36" t="str">
        <f>HYPERLINK("https://open.spotify.com/album/0OvY6iqNlNzxr6Wtuzhlwk", "S")</f>
        <v>S</v>
      </c>
      <c r="J2180" s="57"/>
      <c r="K2180" s="57"/>
      <c r="L2180" s="84"/>
    </row>
    <row r="2181">
      <c r="A2181" s="32" t="s">
        <v>5745</v>
      </c>
      <c r="B2181" s="32" t="s">
        <v>5746</v>
      </c>
      <c r="C2181" s="33">
        <v>45954.0</v>
      </c>
      <c r="D2181" s="34" t="s">
        <v>22</v>
      </c>
      <c r="E2181" s="32" t="s">
        <v>5747</v>
      </c>
      <c r="F2181" s="34" t="s">
        <v>24</v>
      </c>
      <c r="G2181" s="34" t="s">
        <v>1392</v>
      </c>
      <c r="H2181" s="66"/>
      <c r="I2181" s="36" t="str">
        <f>HYPERLINK("https://open.spotify.com/album/0j590HfZD5PZbQ8vf3ZAQw", "S")</f>
        <v>S</v>
      </c>
      <c r="J2181" s="57"/>
      <c r="K2181" s="57"/>
      <c r="L2181" s="84"/>
    </row>
    <row r="2182">
      <c r="A2182" s="32" t="s">
        <v>5748</v>
      </c>
      <c r="B2182" s="32" t="s">
        <v>5749</v>
      </c>
      <c r="C2182" s="33">
        <v>45954.0</v>
      </c>
      <c r="D2182" s="34" t="s">
        <v>22</v>
      </c>
      <c r="E2182" s="32" t="s">
        <v>5750</v>
      </c>
      <c r="F2182" s="34" t="s">
        <v>24</v>
      </c>
      <c r="G2182" s="34" t="s">
        <v>1245</v>
      </c>
      <c r="H2182" s="35" t="s">
        <v>26</v>
      </c>
      <c r="I2182" s="36" t="str">
        <f>HYPERLINK("https://open.spotify.com/album/0p8y3Oew7QGRgoitKsWedi", "S")</f>
        <v>S</v>
      </c>
      <c r="J2182" s="57"/>
      <c r="K2182" s="57"/>
      <c r="L2182" s="84"/>
    </row>
    <row r="2183">
      <c r="A2183" s="32" t="s">
        <v>5751</v>
      </c>
      <c r="B2183" s="32" t="s">
        <v>5752</v>
      </c>
      <c r="C2183" s="33">
        <v>45954.0</v>
      </c>
      <c r="D2183" s="34" t="s">
        <v>39</v>
      </c>
      <c r="E2183" s="32" t="s">
        <v>44</v>
      </c>
      <c r="F2183" s="34" t="s">
        <v>24</v>
      </c>
      <c r="G2183" s="34" t="s">
        <v>5753</v>
      </c>
      <c r="H2183" s="35" t="s">
        <v>26</v>
      </c>
      <c r="I2183" s="104"/>
      <c r="J2183" s="57"/>
      <c r="K2183" s="57"/>
      <c r="L2183" s="84"/>
    </row>
    <row r="2184">
      <c r="A2184" s="32" t="s">
        <v>5754</v>
      </c>
      <c r="B2184" s="32" t="s">
        <v>5755</v>
      </c>
      <c r="C2184" s="33">
        <v>45954.0</v>
      </c>
      <c r="D2184" s="34" t="s">
        <v>39</v>
      </c>
      <c r="E2184" s="32" t="s">
        <v>2107</v>
      </c>
      <c r="F2184" s="34" t="s">
        <v>53</v>
      </c>
      <c r="G2184" s="34" t="s">
        <v>5756</v>
      </c>
      <c r="H2184" s="35" t="s">
        <v>26</v>
      </c>
      <c r="I2184" s="36" t="str">
        <f>HYPERLINK("https://open.spotify.com/album/5xFuZLY4la2qVeR01GIeBI", "S")</f>
        <v>S</v>
      </c>
      <c r="J2184" s="35" t="s">
        <v>100</v>
      </c>
      <c r="K2184" s="57"/>
      <c r="L2184" s="84"/>
    </row>
    <row r="2185">
      <c r="A2185" s="32" t="s">
        <v>5757</v>
      </c>
      <c r="B2185" s="32" t="s">
        <v>5758</v>
      </c>
      <c r="C2185" s="33">
        <v>45954.0</v>
      </c>
      <c r="D2185" s="34" t="s">
        <v>22</v>
      </c>
      <c r="E2185" s="32" t="s">
        <v>84</v>
      </c>
      <c r="F2185" s="34" t="s">
        <v>53</v>
      </c>
      <c r="G2185" s="34" t="s">
        <v>5759</v>
      </c>
      <c r="H2185" s="35" t="s">
        <v>26</v>
      </c>
      <c r="I2185" s="36" t="str">
        <f>HYPERLINK("https://open.spotify.com/album/34znRI8FwvRl8bk46tRL0i", "S")</f>
        <v>S</v>
      </c>
      <c r="J2185" s="57"/>
      <c r="K2185" s="57"/>
      <c r="L2185" s="84"/>
    </row>
    <row r="2186">
      <c r="A2186" s="32" t="s">
        <v>5760</v>
      </c>
      <c r="B2186" s="32" t="s">
        <v>5761</v>
      </c>
      <c r="C2186" s="33">
        <v>45954.0</v>
      </c>
      <c r="D2186" s="34" t="s">
        <v>22</v>
      </c>
      <c r="E2186" s="32" t="s">
        <v>5762</v>
      </c>
      <c r="F2186" s="34" t="s">
        <v>24</v>
      </c>
      <c r="G2186" s="34" t="s">
        <v>5763</v>
      </c>
      <c r="H2186" s="35" t="s">
        <v>26</v>
      </c>
      <c r="I2186" s="36" t="str">
        <f>HYPERLINK("https://open.spotify.com/album/2qiEaKa74eo0JkxoyZ1pCg", "S")</f>
        <v>S</v>
      </c>
      <c r="J2186" s="57"/>
      <c r="K2186" s="57"/>
      <c r="L2186" s="84"/>
    </row>
    <row r="2187">
      <c r="A2187" s="32" t="s">
        <v>5764</v>
      </c>
      <c r="B2187" s="32" t="s">
        <v>5765</v>
      </c>
      <c r="C2187" s="33">
        <v>45954.0</v>
      </c>
      <c r="D2187" s="34" t="s">
        <v>22</v>
      </c>
      <c r="E2187" s="32" t="s">
        <v>107</v>
      </c>
      <c r="F2187" s="34" t="s">
        <v>53</v>
      </c>
      <c r="G2187" s="34" t="s">
        <v>5766</v>
      </c>
      <c r="H2187" s="35" t="s">
        <v>26</v>
      </c>
      <c r="I2187" s="36" t="str">
        <f>HYPERLINK("https://open.spotify.com/album/2C6z4sTAG9kIu8rF6fI9r1", "S")</f>
        <v>S</v>
      </c>
      <c r="J2187" s="57"/>
      <c r="K2187" s="57"/>
      <c r="L2187" s="84"/>
    </row>
    <row r="2188">
      <c r="A2188" s="31" t="s">
        <v>5767</v>
      </c>
      <c r="B2188" s="32" t="s">
        <v>5768</v>
      </c>
      <c r="C2188" s="33">
        <v>45954.0</v>
      </c>
      <c r="D2188" s="34" t="s">
        <v>22</v>
      </c>
      <c r="E2188" s="32" t="s">
        <v>1458</v>
      </c>
      <c r="F2188" s="34" t="s">
        <v>53</v>
      </c>
      <c r="G2188" s="34" t="s">
        <v>874</v>
      </c>
      <c r="H2188" s="35" t="s">
        <v>26</v>
      </c>
      <c r="I2188" s="36" t="str">
        <f>HYPERLINK("https://open.spotify.com/album/7tGc2evOdokppX63rGDLKG", "S")</f>
        <v>S</v>
      </c>
      <c r="J2188" s="35" t="s">
        <v>100</v>
      </c>
      <c r="K2188" s="57"/>
      <c r="L2188" s="84"/>
    </row>
    <row r="2189">
      <c r="A2189" s="31" t="s">
        <v>5769</v>
      </c>
      <c r="B2189" s="32" t="s">
        <v>5770</v>
      </c>
      <c r="C2189" s="33">
        <v>45954.0</v>
      </c>
      <c r="D2189" s="34" t="s">
        <v>22</v>
      </c>
      <c r="E2189" s="32" t="s">
        <v>69</v>
      </c>
      <c r="F2189" s="34" t="s">
        <v>24</v>
      </c>
      <c r="G2189" s="34" t="s">
        <v>4428</v>
      </c>
      <c r="H2189" s="35" t="s">
        <v>26</v>
      </c>
      <c r="I2189" s="36" t="str">
        <f>HYPERLINK("https://open.spotify.com/album/5eqt3jVWNL6Rmuy32i0jED", "S")</f>
        <v>S</v>
      </c>
      <c r="J2189" s="35" t="s">
        <v>100</v>
      </c>
      <c r="K2189" s="57"/>
      <c r="L2189" s="84"/>
    </row>
    <row r="2190">
      <c r="A2190" s="32" t="s">
        <v>5771</v>
      </c>
      <c r="B2190" s="32" t="s">
        <v>5772</v>
      </c>
      <c r="C2190" s="33">
        <v>45954.0</v>
      </c>
      <c r="D2190" s="34" t="s">
        <v>22</v>
      </c>
      <c r="E2190" s="32" t="s">
        <v>5773</v>
      </c>
      <c r="F2190" s="34" t="s">
        <v>156</v>
      </c>
      <c r="G2190" s="34" t="s">
        <v>437</v>
      </c>
      <c r="H2190" s="35" t="s">
        <v>26</v>
      </c>
      <c r="I2190" s="36" t="str">
        <f>HYPERLINK("https://open.spotify.com/album/4RoL8jgZozBdzQFhPq1kna", "S")</f>
        <v>S</v>
      </c>
      <c r="J2190" s="57"/>
      <c r="K2190" s="57"/>
      <c r="L2190" s="84"/>
    </row>
    <row r="2191">
      <c r="A2191" s="32" t="s">
        <v>5774</v>
      </c>
      <c r="B2191" s="32" t="s">
        <v>5775</v>
      </c>
      <c r="C2191" s="33">
        <v>45954.0</v>
      </c>
      <c r="D2191" s="34" t="s">
        <v>22</v>
      </c>
      <c r="E2191" s="32" t="s">
        <v>3126</v>
      </c>
      <c r="F2191" s="34" t="s">
        <v>53</v>
      </c>
      <c r="G2191" s="34" t="s">
        <v>5776</v>
      </c>
      <c r="H2191" s="35" t="s">
        <v>26</v>
      </c>
      <c r="I2191" s="36" t="str">
        <f>HYPERLINK("https://open.spotify.com/album/07I7OdOJ8FvUch5y06hd2G", "S")</f>
        <v>S</v>
      </c>
      <c r="J2191" s="57"/>
      <c r="K2191" s="57"/>
      <c r="L2191" s="84"/>
    </row>
    <row r="2192">
      <c r="A2192" s="32" t="s">
        <v>5777</v>
      </c>
      <c r="B2192" s="32" t="s">
        <v>5778</v>
      </c>
      <c r="C2192" s="33">
        <v>45954.0</v>
      </c>
      <c r="D2192" s="34" t="s">
        <v>22</v>
      </c>
      <c r="E2192" s="32" t="s">
        <v>382</v>
      </c>
      <c r="F2192" s="34" t="s">
        <v>156</v>
      </c>
      <c r="G2192" s="34" t="s">
        <v>104</v>
      </c>
      <c r="H2192" s="66"/>
      <c r="I2192" s="36" t="str">
        <f>HYPERLINK("https://open.spotify.com/album/7EcnhnTlfynxncv9Eriwcs", "S")</f>
        <v>S</v>
      </c>
      <c r="J2192" s="57"/>
      <c r="K2192" s="57"/>
      <c r="L2192" s="84"/>
    </row>
    <row r="2193">
      <c r="A2193" s="32" t="s">
        <v>5779</v>
      </c>
      <c r="B2193" s="32" t="s">
        <v>5780</v>
      </c>
      <c r="C2193" s="33">
        <v>45954.0</v>
      </c>
      <c r="D2193" s="34" t="s">
        <v>22</v>
      </c>
      <c r="E2193" s="32" t="s">
        <v>5781</v>
      </c>
      <c r="F2193" s="34" t="s">
        <v>24</v>
      </c>
      <c r="G2193" s="34" t="s">
        <v>5782</v>
      </c>
      <c r="H2193" s="66"/>
      <c r="I2193" s="36" t="str">
        <f>HYPERLINK("https://open.spotify.com/album/4BgA2v2xcgdf7UFj9OZmdQ", "S")</f>
        <v>S</v>
      </c>
      <c r="J2193" s="57"/>
      <c r="K2193" s="57"/>
      <c r="L2193" s="84"/>
    </row>
    <row r="2194">
      <c r="A2194" s="32" t="s">
        <v>5319</v>
      </c>
      <c r="B2194" s="32" t="s">
        <v>5783</v>
      </c>
      <c r="C2194" s="33">
        <v>45954.0</v>
      </c>
      <c r="D2194" s="34" t="s">
        <v>22</v>
      </c>
      <c r="E2194" s="32" t="s">
        <v>4034</v>
      </c>
      <c r="F2194" s="34" t="s">
        <v>156</v>
      </c>
      <c r="G2194" s="34" t="s">
        <v>892</v>
      </c>
      <c r="H2194" s="35" t="s">
        <v>26</v>
      </c>
      <c r="I2194" s="36" t="str">
        <f>HYPERLINK("https://open.spotify.com/album/7aSLOpkcUzvRn66RMq5vl3", "S")</f>
        <v>S</v>
      </c>
      <c r="J2194" s="57"/>
      <c r="K2194" s="57"/>
      <c r="L2194" s="84"/>
    </row>
    <row r="2195">
      <c r="A2195" s="32" t="s">
        <v>5784</v>
      </c>
      <c r="B2195" s="32" t="s">
        <v>237</v>
      </c>
      <c r="C2195" s="33">
        <v>45954.0</v>
      </c>
      <c r="D2195" s="34" t="s">
        <v>22</v>
      </c>
      <c r="E2195" s="32" t="s">
        <v>513</v>
      </c>
      <c r="F2195" s="34" t="s">
        <v>156</v>
      </c>
      <c r="G2195" s="34" t="s">
        <v>5785</v>
      </c>
      <c r="H2195" s="35" t="s">
        <v>26</v>
      </c>
      <c r="I2195" s="36" t="str">
        <f>HYPERLINK("https://open.spotify.com/album/56csvSlQePblyNqsyS5r9P", "S")</f>
        <v>S</v>
      </c>
      <c r="J2195" s="57"/>
      <c r="K2195" s="57"/>
      <c r="L2195" s="84"/>
    </row>
    <row r="2196">
      <c r="A2196" s="32" t="s">
        <v>5786</v>
      </c>
      <c r="B2196" s="32" t="s">
        <v>5787</v>
      </c>
      <c r="C2196" s="33">
        <v>45954.0</v>
      </c>
      <c r="D2196" s="34" t="s">
        <v>22</v>
      </c>
      <c r="E2196" s="32" t="s">
        <v>252</v>
      </c>
      <c r="F2196" s="34" t="s">
        <v>156</v>
      </c>
      <c r="G2196" s="34" t="s">
        <v>5788</v>
      </c>
      <c r="H2196" s="35" t="s">
        <v>26</v>
      </c>
      <c r="I2196" s="36" t="str">
        <f>HYPERLINK("https://open.spotify.com/album/6BUSXpg0lJONmcqxfu74qF", "S")</f>
        <v>S</v>
      </c>
      <c r="J2196" s="57"/>
      <c r="K2196" s="57"/>
      <c r="L2196" s="84"/>
    </row>
    <row r="2197">
      <c r="A2197" s="32" t="s">
        <v>5789</v>
      </c>
      <c r="B2197" s="32" t="s">
        <v>5790</v>
      </c>
      <c r="C2197" s="33">
        <v>45954.0</v>
      </c>
      <c r="D2197" s="34" t="s">
        <v>22</v>
      </c>
      <c r="E2197" s="32" t="s">
        <v>61</v>
      </c>
      <c r="F2197" s="34" t="s">
        <v>24</v>
      </c>
      <c r="G2197" s="34" t="s">
        <v>460</v>
      </c>
      <c r="H2197" s="35" t="s">
        <v>26</v>
      </c>
      <c r="I2197" s="36" t="str">
        <f>HYPERLINK("https://open.spotify.com/album/7gqCRxNJL9Gpm0fNHChcf9", "S")</f>
        <v>S</v>
      </c>
      <c r="J2197" s="35" t="s">
        <v>100</v>
      </c>
      <c r="K2197" s="57"/>
      <c r="L2197" s="84"/>
    </row>
    <row r="2198">
      <c r="A2198" s="32" t="s">
        <v>5791</v>
      </c>
      <c r="B2198" s="32" t="s">
        <v>5792</v>
      </c>
      <c r="C2198" s="33">
        <v>45954.0</v>
      </c>
      <c r="D2198" s="34" t="s">
        <v>22</v>
      </c>
      <c r="E2198" s="32" t="s">
        <v>355</v>
      </c>
      <c r="F2198" s="34" t="s">
        <v>24</v>
      </c>
      <c r="G2198" s="34" t="s">
        <v>5793</v>
      </c>
      <c r="H2198" s="35" t="s">
        <v>26</v>
      </c>
      <c r="I2198" s="36" t="str">
        <f>HYPERLINK("https://open.spotify.com/album/40ua01fuEE6i0KTB0KJPT6", "S")</f>
        <v>S</v>
      </c>
      <c r="J2198" s="57"/>
      <c r="K2198" s="57"/>
      <c r="L2198" s="84"/>
    </row>
    <row r="2199">
      <c r="A2199" s="32" t="s">
        <v>5794</v>
      </c>
      <c r="B2199" s="32" t="s">
        <v>5795</v>
      </c>
      <c r="C2199" s="33">
        <v>45954.0</v>
      </c>
      <c r="D2199" s="47" t="s">
        <v>22</v>
      </c>
      <c r="E2199" s="32" t="s">
        <v>4034</v>
      </c>
      <c r="F2199" s="34" t="s">
        <v>156</v>
      </c>
      <c r="G2199" s="34" t="s">
        <v>225</v>
      </c>
      <c r="H2199" s="35" t="s">
        <v>26</v>
      </c>
      <c r="I2199" s="36" t="str">
        <f>HYPERLINK("https://open.spotify.com/album/1cwKAYG0gzkETWeGdpF1mO", "S")</f>
        <v>S</v>
      </c>
      <c r="J2199" s="57"/>
      <c r="K2199" s="57"/>
      <c r="L2199" s="84"/>
    </row>
    <row r="2200">
      <c r="A2200" s="32" t="s">
        <v>5796</v>
      </c>
      <c r="B2200" s="32" t="s">
        <v>5797</v>
      </c>
      <c r="C2200" s="33">
        <v>45954.0</v>
      </c>
      <c r="D2200" s="34" t="s">
        <v>22</v>
      </c>
      <c r="E2200" s="32" t="s">
        <v>325</v>
      </c>
      <c r="F2200" s="34" t="s">
        <v>156</v>
      </c>
      <c r="G2200" s="34" t="s">
        <v>257</v>
      </c>
      <c r="H2200" s="35" t="s">
        <v>26</v>
      </c>
      <c r="I2200" s="36" t="str">
        <f>HYPERLINK("https://open.spotify.com/album/3klqnhUS9mpIj0aE9AiYwU", "S")</f>
        <v>S</v>
      </c>
      <c r="J2200" s="57"/>
      <c r="K2200" s="57"/>
      <c r="L2200" s="84"/>
    </row>
    <row r="2201">
      <c r="A2201" s="32" t="s">
        <v>5798</v>
      </c>
      <c r="B2201" s="32" t="s">
        <v>5799</v>
      </c>
      <c r="C2201" s="33">
        <v>45954.0</v>
      </c>
      <c r="D2201" s="47" t="s">
        <v>22</v>
      </c>
      <c r="E2201" s="32" t="s">
        <v>374</v>
      </c>
      <c r="F2201" s="34" t="s">
        <v>24</v>
      </c>
      <c r="G2201" s="34" t="s">
        <v>3942</v>
      </c>
      <c r="H2201" s="35" t="s">
        <v>26</v>
      </c>
      <c r="I2201" s="36" t="str">
        <f>HYPERLINK("https://open.spotify.com/album/5L0eL2yKfKegvoPRjAjCyi", "S")</f>
        <v>S</v>
      </c>
      <c r="J2201" s="35" t="s">
        <v>100</v>
      </c>
      <c r="K2201" s="57"/>
      <c r="L2201" s="84"/>
    </row>
    <row r="2202">
      <c r="A2202" s="32" t="s">
        <v>5800</v>
      </c>
      <c r="B2202" s="32" t="s">
        <v>5801</v>
      </c>
      <c r="C2202" s="33">
        <v>45954.0</v>
      </c>
      <c r="D2202" s="34" t="s">
        <v>22</v>
      </c>
      <c r="E2202" s="32" t="s">
        <v>637</v>
      </c>
      <c r="F2202" s="34" t="s">
        <v>156</v>
      </c>
      <c r="G2202" s="34" t="s">
        <v>3277</v>
      </c>
      <c r="H2202" s="35" t="s">
        <v>26</v>
      </c>
      <c r="I2202" s="36" t="str">
        <f>HYPERLINK("https://open.spotify.com/album/4Tzqwkyyp9dojqL6NHFDjJ", "S")</f>
        <v>S</v>
      </c>
      <c r="J2202" s="57"/>
      <c r="K2202" s="57"/>
      <c r="L2202" s="84"/>
    </row>
    <row r="2203">
      <c r="A2203" s="32" t="s">
        <v>5802</v>
      </c>
      <c r="B2203" s="32" t="s">
        <v>5803</v>
      </c>
      <c r="C2203" s="33">
        <v>45954.0</v>
      </c>
      <c r="D2203" s="34" t="s">
        <v>22</v>
      </c>
      <c r="E2203" s="32" t="s">
        <v>328</v>
      </c>
      <c r="F2203" s="34" t="s">
        <v>156</v>
      </c>
      <c r="G2203" s="34" t="s">
        <v>41</v>
      </c>
      <c r="H2203" s="35" t="s">
        <v>26</v>
      </c>
      <c r="I2203" s="36" t="str">
        <f>HYPERLINK("https://open.spotify.com/album/5oKLHa0lHgFf9bIVkBYHlI", "S")</f>
        <v>S</v>
      </c>
      <c r="J2203" s="57"/>
      <c r="K2203" s="57"/>
      <c r="L2203" s="84"/>
    </row>
    <row r="2204">
      <c r="A2204" s="32" t="s">
        <v>5804</v>
      </c>
      <c r="B2204" s="32" t="s">
        <v>5805</v>
      </c>
      <c r="C2204" s="33">
        <v>45954.0</v>
      </c>
      <c r="D2204" s="34" t="s">
        <v>22</v>
      </c>
      <c r="E2204" s="32" t="s">
        <v>1329</v>
      </c>
      <c r="F2204" s="34" t="s">
        <v>156</v>
      </c>
      <c r="G2204" s="34" t="s">
        <v>199</v>
      </c>
      <c r="H2204" s="35" t="s">
        <v>26</v>
      </c>
      <c r="I2204" s="36" t="str">
        <f>HYPERLINK("https://open.spotify.com/album/3DHBvyVCubkOvhyZes4Uxy", "S")</f>
        <v>S</v>
      </c>
      <c r="J2204" s="57"/>
      <c r="K2204" s="57"/>
      <c r="L2204" s="84"/>
    </row>
    <row r="2205">
      <c r="A2205" s="32" t="s">
        <v>5806</v>
      </c>
      <c r="B2205" s="32" t="s">
        <v>5807</v>
      </c>
      <c r="C2205" s="33">
        <v>45954.0</v>
      </c>
      <c r="D2205" s="34" t="s">
        <v>22</v>
      </c>
      <c r="E2205" s="32" t="s">
        <v>5808</v>
      </c>
      <c r="F2205" s="34" t="s">
        <v>53</v>
      </c>
      <c r="G2205" s="34" t="s">
        <v>104</v>
      </c>
      <c r="H2205" s="35" t="s">
        <v>26</v>
      </c>
      <c r="I2205" s="36" t="str">
        <f>HYPERLINK("https://open.spotify.com/album/0XBcOed8mvfG4dSbtk2lSJ", "S")</f>
        <v>S</v>
      </c>
      <c r="J2205" s="35" t="s">
        <v>100</v>
      </c>
      <c r="K2205" s="57"/>
      <c r="L2205" s="84"/>
    </row>
    <row r="2206">
      <c r="A2206" s="32" t="s">
        <v>5809</v>
      </c>
      <c r="B2206" s="32" t="s">
        <v>5810</v>
      </c>
      <c r="C2206" s="33">
        <v>45954.0</v>
      </c>
      <c r="D2206" s="34" t="s">
        <v>22</v>
      </c>
      <c r="E2206" s="32" t="s">
        <v>513</v>
      </c>
      <c r="F2206" s="34" t="s">
        <v>156</v>
      </c>
      <c r="G2206" s="34" t="s">
        <v>70</v>
      </c>
      <c r="H2206" s="35" t="s">
        <v>26</v>
      </c>
      <c r="I2206" s="36" t="str">
        <f>HYPERLINK("https://open.spotify.com/album/3AAw55Kklry74wQnQe1CRW", "S")</f>
        <v>S</v>
      </c>
      <c r="J2206" s="57"/>
      <c r="K2206" s="57"/>
      <c r="L2206" s="84"/>
    </row>
    <row r="2207">
      <c r="A2207" s="32" t="s">
        <v>5811</v>
      </c>
      <c r="B2207" s="32" t="s">
        <v>5812</v>
      </c>
      <c r="C2207" s="33">
        <v>45954.0</v>
      </c>
      <c r="D2207" s="34" t="s">
        <v>22</v>
      </c>
      <c r="E2207" s="32" t="s">
        <v>284</v>
      </c>
      <c r="F2207" s="34" t="s">
        <v>24</v>
      </c>
      <c r="G2207" s="34" t="s">
        <v>161</v>
      </c>
      <c r="H2207" s="35" t="s">
        <v>26</v>
      </c>
      <c r="I2207" s="36" t="str">
        <f>HYPERLINK("https://open.spotify.com/album/40t9YcmYxysVD1FMQmK0lJ", "S")</f>
        <v>S</v>
      </c>
      <c r="J2207" s="35" t="s">
        <v>100</v>
      </c>
      <c r="K2207" s="57"/>
      <c r="L2207" s="84"/>
    </row>
    <row r="2208">
      <c r="A2208" s="32" t="s">
        <v>5813</v>
      </c>
      <c r="B2208" s="32" t="s">
        <v>5814</v>
      </c>
      <c r="C2208" s="33">
        <v>45954.0</v>
      </c>
      <c r="D2208" s="34" t="s">
        <v>22</v>
      </c>
      <c r="E2208" s="32" t="s">
        <v>928</v>
      </c>
      <c r="F2208" s="34" t="s">
        <v>156</v>
      </c>
      <c r="G2208" s="34" t="s">
        <v>3184</v>
      </c>
      <c r="H2208" s="35" t="s">
        <v>26</v>
      </c>
      <c r="I2208" s="36" t="str">
        <f>HYPERLINK("https://open.spotify.com/album/1GtOvSK4wvzl5a5ynXX8as", "S")</f>
        <v>S</v>
      </c>
      <c r="J2208" s="57"/>
      <c r="K2208" s="57"/>
      <c r="L2208" s="84"/>
    </row>
    <row r="2209">
      <c r="A2209" s="32" t="s">
        <v>5815</v>
      </c>
      <c r="B2209" s="32" t="s">
        <v>5816</v>
      </c>
      <c r="C2209" s="33">
        <v>45954.0</v>
      </c>
      <c r="D2209" s="34" t="s">
        <v>22</v>
      </c>
      <c r="E2209" s="32" t="s">
        <v>5134</v>
      </c>
      <c r="F2209" s="34" t="s">
        <v>53</v>
      </c>
      <c r="G2209" s="34" t="s">
        <v>1295</v>
      </c>
      <c r="H2209" s="35" t="s">
        <v>26</v>
      </c>
      <c r="I2209" s="36" t="str">
        <f>HYPERLINK("https://open.spotify.com/album/0K9ecXE7JxAwVrY1S6hVpv", "S")</f>
        <v>S</v>
      </c>
      <c r="J2209" s="57"/>
      <c r="K2209" s="57"/>
      <c r="L2209" s="84"/>
    </row>
    <row r="2210">
      <c r="A2210" s="32" t="s">
        <v>5817</v>
      </c>
      <c r="B2210" s="32" t="s">
        <v>3108</v>
      </c>
      <c r="C2210" s="33">
        <v>45954.0</v>
      </c>
      <c r="D2210" s="34" t="s">
        <v>22</v>
      </c>
      <c r="E2210" s="32" t="s">
        <v>61</v>
      </c>
      <c r="F2210" s="34" t="s">
        <v>24</v>
      </c>
      <c r="G2210" s="34" t="s">
        <v>1098</v>
      </c>
      <c r="H2210" s="35" t="s">
        <v>26</v>
      </c>
      <c r="I2210" s="36" t="str">
        <f>HYPERLINK("https://open.spotify.com/album/7N2EgaVzbB1TwZGY6DRKEw", "S")</f>
        <v>S</v>
      </c>
      <c r="J2210" s="57"/>
      <c r="K2210" s="57"/>
      <c r="L2210" s="84"/>
    </row>
    <row r="2211">
      <c r="A2211" s="32" t="s">
        <v>5818</v>
      </c>
      <c r="B2211" s="32" t="s">
        <v>5819</v>
      </c>
      <c r="C2211" s="33">
        <v>45954.0</v>
      </c>
      <c r="D2211" s="34" t="s">
        <v>22</v>
      </c>
      <c r="E2211" s="32" t="s">
        <v>1204</v>
      </c>
      <c r="F2211" s="34" t="s">
        <v>24</v>
      </c>
      <c r="G2211" s="34" t="s">
        <v>599</v>
      </c>
      <c r="H2211" s="35" t="s">
        <v>26</v>
      </c>
      <c r="I2211" s="36" t="str">
        <f>HYPERLINK("https://open.spotify.com/album/2YE6n5Gf8zugFR1aY81od0", "S")</f>
        <v>S</v>
      </c>
      <c r="J2211" s="35" t="s">
        <v>100</v>
      </c>
      <c r="K2211" s="57"/>
      <c r="L2211" s="84"/>
    </row>
    <row r="2212">
      <c r="A2212" s="32" t="s">
        <v>5820</v>
      </c>
      <c r="B2212" s="32" t="s">
        <v>1171</v>
      </c>
      <c r="C2212" s="33">
        <v>45954.0</v>
      </c>
      <c r="D2212" s="34" t="s">
        <v>22</v>
      </c>
      <c r="E2212" s="32" t="s">
        <v>126</v>
      </c>
      <c r="F2212" s="34" t="s">
        <v>53</v>
      </c>
      <c r="G2212" s="34" t="s">
        <v>225</v>
      </c>
      <c r="H2212" s="35" t="s">
        <v>26</v>
      </c>
      <c r="I2212" s="36" t="str">
        <f>HYPERLINK("https://open.spotify.com/album/7JLi1LnxExI22zSsZ4MGGT", "S")</f>
        <v>S</v>
      </c>
      <c r="J2212" s="57"/>
      <c r="K2212" s="57"/>
      <c r="L2212" s="84"/>
    </row>
    <row r="2213">
      <c r="A2213" s="32" t="s">
        <v>5821</v>
      </c>
      <c r="B2213" s="32" t="s">
        <v>5822</v>
      </c>
      <c r="C2213" s="33">
        <v>45954.0</v>
      </c>
      <c r="D2213" s="34" t="s">
        <v>22</v>
      </c>
      <c r="E2213" s="32" t="s">
        <v>122</v>
      </c>
      <c r="F2213" s="34" t="s">
        <v>31</v>
      </c>
      <c r="G2213" s="34" t="s">
        <v>5823</v>
      </c>
      <c r="H2213" s="35" t="s">
        <v>26</v>
      </c>
      <c r="I2213" s="36" t="str">
        <f>HYPERLINK("https://open.spotify.com/album/46CVWFcd3u2pSRt0D9pSrV", "S")</f>
        <v>S</v>
      </c>
      <c r="J2213" s="57"/>
      <c r="K2213" s="57"/>
      <c r="L2213" s="84"/>
    </row>
    <row r="2214">
      <c r="A2214" s="32" t="s">
        <v>5824</v>
      </c>
      <c r="B2214" s="32" t="s">
        <v>5825</v>
      </c>
      <c r="C2214" s="33">
        <v>45954.0</v>
      </c>
      <c r="D2214" s="34" t="s">
        <v>39</v>
      </c>
      <c r="E2214" s="32" t="s">
        <v>1439</v>
      </c>
      <c r="F2214" s="34" t="s">
        <v>24</v>
      </c>
      <c r="G2214" s="34" t="s">
        <v>1067</v>
      </c>
      <c r="H2214" s="35" t="s">
        <v>26</v>
      </c>
      <c r="I2214" s="36" t="str">
        <f>HYPERLINK("https://open.spotify.com/album/26xuC4NmgcgTFHjtAtuv1d", "S")</f>
        <v>S</v>
      </c>
      <c r="J2214" s="57"/>
      <c r="K2214" s="57"/>
      <c r="L2214" s="84"/>
    </row>
    <row r="2215">
      <c r="A2215" s="32" t="s">
        <v>5826</v>
      </c>
      <c r="B2215" s="32" t="s">
        <v>5827</v>
      </c>
      <c r="C2215" s="33">
        <v>45954.0</v>
      </c>
      <c r="D2215" s="34" t="s">
        <v>22</v>
      </c>
      <c r="E2215" s="32" t="s">
        <v>325</v>
      </c>
      <c r="F2215" s="34" t="s">
        <v>156</v>
      </c>
      <c r="G2215" s="34" t="s">
        <v>442</v>
      </c>
      <c r="H2215" s="35" t="s">
        <v>26</v>
      </c>
      <c r="I2215" s="36" t="str">
        <f>HYPERLINK("https://open.spotify.com/album/75VsWrVTq0m9BA9wIsxLaW", "S")</f>
        <v>S</v>
      </c>
      <c r="J2215" s="57"/>
      <c r="K2215" s="57"/>
      <c r="L2215" s="84"/>
    </row>
    <row r="2216">
      <c r="A2216" s="32" t="s">
        <v>5828</v>
      </c>
      <c r="B2216" s="32" t="s">
        <v>5829</v>
      </c>
      <c r="C2216" s="33">
        <v>45954.0</v>
      </c>
      <c r="D2216" s="34" t="s">
        <v>22</v>
      </c>
      <c r="E2216" s="32" t="s">
        <v>1525</v>
      </c>
      <c r="F2216" s="34" t="s">
        <v>53</v>
      </c>
      <c r="G2216" s="34" t="s">
        <v>36</v>
      </c>
      <c r="H2216" s="35" t="s">
        <v>26</v>
      </c>
      <c r="I2216" s="36" t="str">
        <f>HYPERLINK("https://open.spotify.com/album/2F9dcstQgn1At9fHyfJdum", "S")</f>
        <v>S</v>
      </c>
      <c r="J2216" s="57"/>
      <c r="K2216" s="57"/>
      <c r="L2216" s="84"/>
    </row>
    <row r="2217">
      <c r="A2217" s="32" t="s">
        <v>5830</v>
      </c>
      <c r="B2217" s="32" t="s">
        <v>5831</v>
      </c>
      <c r="C2217" s="33">
        <v>45954.0</v>
      </c>
      <c r="D2217" s="47" t="s">
        <v>22</v>
      </c>
      <c r="E2217" s="32" t="s">
        <v>73</v>
      </c>
      <c r="F2217" s="34" t="s">
        <v>24</v>
      </c>
      <c r="G2217" s="34" t="s">
        <v>199</v>
      </c>
      <c r="H2217" s="35" t="s">
        <v>26</v>
      </c>
      <c r="I2217" s="36" t="str">
        <f>HYPERLINK("https://open.spotify.com/album/5elV7LZjwG0xEx0gkom4s5", "S")</f>
        <v>S</v>
      </c>
      <c r="J2217" s="57"/>
      <c r="K2217" s="57"/>
      <c r="L2217" s="84"/>
    </row>
    <row r="2218">
      <c r="A2218" s="32" t="s">
        <v>5832</v>
      </c>
      <c r="B2218" s="32" t="s">
        <v>5833</v>
      </c>
      <c r="C2218" s="33">
        <v>45954.0</v>
      </c>
      <c r="D2218" s="34" t="s">
        <v>39</v>
      </c>
      <c r="E2218" s="32" t="s">
        <v>5834</v>
      </c>
      <c r="F2218" s="34" t="s">
        <v>53</v>
      </c>
      <c r="G2218" s="34" t="s">
        <v>257</v>
      </c>
      <c r="H2218" s="35" t="s">
        <v>26</v>
      </c>
      <c r="I2218" s="36" t="str">
        <f>HYPERLINK("https://open.spotify.com/album/2S5v1qJSAoSQOkfiVa6wzV", "S")</f>
        <v>S</v>
      </c>
      <c r="J2218" s="35" t="s">
        <v>100</v>
      </c>
      <c r="K2218" s="57"/>
      <c r="L2218" s="84"/>
    </row>
    <row r="2219">
      <c r="A2219" s="32" t="s">
        <v>5835</v>
      </c>
      <c r="B2219" s="32" t="s">
        <v>5836</v>
      </c>
      <c r="C2219" s="33">
        <v>45954.0</v>
      </c>
      <c r="D2219" s="34" t="s">
        <v>22</v>
      </c>
      <c r="E2219" s="32" t="s">
        <v>73</v>
      </c>
      <c r="F2219" s="34" t="s">
        <v>24</v>
      </c>
      <c r="G2219" s="34" t="s">
        <v>528</v>
      </c>
      <c r="H2219" s="35" t="s">
        <v>26</v>
      </c>
      <c r="I2219" s="36" t="str">
        <f>HYPERLINK("https://open.spotify.com/album/0cUGa5GMiUacMyjr9XkPpN", "S")</f>
        <v>S</v>
      </c>
      <c r="J2219" s="57"/>
      <c r="K2219" s="57"/>
      <c r="L2219" s="84"/>
    </row>
    <row r="2220">
      <c r="A2220" s="32" t="s">
        <v>5837</v>
      </c>
      <c r="B2220" s="32" t="s">
        <v>5838</v>
      </c>
      <c r="C2220" s="33">
        <v>45954.0</v>
      </c>
      <c r="D2220" s="34" t="s">
        <v>22</v>
      </c>
      <c r="E2220" s="32" t="s">
        <v>44</v>
      </c>
      <c r="F2220" s="34" t="s">
        <v>53</v>
      </c>
      <c r="G2220" s="34" t="s">
        <v>302</v>
      </c>
      <c r="H2220" s="35" t="s">
        <v>26</v>
      </c>
      <c r="I2220" s="36" t="str">
        <f>HYPERLINK("https://open.spotify.com/album/5RBTPXwI8IONlX6z0p2hbA", "S")</f>
        <v>S</v>
      </c>
      <c r="J2220" s="57"/>
      <c r="K2220" s="57"/>
      <c r="L2220" s="84"/>
    </row>
    <row r="2221">
      <c r="A2221" s="32" t="s">
        <v>5839</v>
      </c>
      <c r="B2221" s="32" t="s">
        <v>5840</v>
      </c>
      <c r="C2221" s="33">
        <v>45954.0</v>
      </c>
      <c r="D2221" s="34" t="s">
        <v>39</v>
      </c>
      <c r="E2221" s="32" t="s">
        <v>284</v>
      </c>
      <c r="F2221" s="34" t="s">
        <v>24</v>
      </c>
      <c r="G2221" s="34" t="s">
        <v>5841</v>
      </c>
      <c r="H2221" s="35" t="s">
        <v>26</v>
      </c>
      <c r="I2221" s="36" t="str">
        <f>HYPERLINK("https://open.spotify.com/album/5M3m8TC7SB6nEa1V8kEw4a", "S")</f>
        <v>S</v>
      </c>
      <c r="J2221" s="57"/>
      <c r="K2221" s="57"/>
      <c r="L2221" s="84"/>
    </row>
    <row r="2222">
      <c r="A2222" s="32" t="s">
        <v>5842</v>
      </c>
      <c r="B2222" s="32" t="s">
        <v>5843</v>
      </c>
      <c r="C2222" s="33">
        <v>45954.0</v>
      </c>
      <c r="D2222" s="34" t="s">
        <v>22</v>
      </c>
      <c r="E2222" s="32" t="s">
        <v>436</v>
      </c>
      <c r="F2222" s="34" t="s">
        <v>53</v>
      </c>
      <c r="G2222" s="34" t="s">
        <v>292</v>
      </c>
      <c r="H2222" s="35" t="s">
        <v>26</v>
      </c>
      <c r="I2222" s="36" t="str">
        <f>HYPERLINK("https://open.spotify.com/album/0kDwZdM3ZYZWuUgiJLCEoU", "S")</f>
        <v>S</v>
      </c>
      <c r="J2222" s="57"/>
      <c r="K2222" s="57"/>
      <c r="L2222" s="84"/>
    </row>
    <row r="2223">
      <c r="A2223" s="32" t="s">
        <v>5844</v>
      </c>
      <c r="B2223" s="32" t="s">
        <v>5845</v>
      </c>
      <c r="C2223" s="33">
        <v>45954.0</v>
      </c>
      <c r="D2223" s="34" t="s">
        <v>22</v>
      </c>
      <c r="E2223" s="32" t="s">
        <v>1401</v>
      </c>
      <c r="F2223" s="34" t="s">
        <v>24</v>
      </c>
      <c r="G2223" s="34" t="s">
        <v>440</v>
      </c>
      <c r="H2223" s="35" t="s">
        <v>26</v>
      </c>
      <c r="I2223" s="36" t="str">
        <f>HYPERLINK("https://open.spotify.com/album/54PtexpOv6Hqu5hidOOmxB", "S")</f>
        <v>S</v>
      </c>
      <c r="J2223" s="57"/>
      <c r="K2223" s="57"/>
      <c r="L2223" s="84"/>
    </row>
    <row r="2224">
      <c r="A2224" s="32" t="s">
        <v>5846</v>
      </c>
      <c r="B2224" s="32" t="s">
        <v>5846</v>
      </c>
      <c r="C2224" s="33">
        <v>45954.0</v>
      </c>
      <c r="D2224" s="34" t="s">
        <v>39</v>
      </c>
      <c r="E2224" s="32" t="s">
        <v>61</v>
      </c>
      <c r="F2224" s="34" t="s">
        <v>24</v>
      </c>
      <c r="G2224" s="34" t="s">
        <v>5008</v>
      </c>
      <c r="H2224" s="35" t="s">
        <v>26</v>
      </c>
      <c r="I2224" s="36" t="str">
        <f>HYPERLINK("https://open.spotify.com/album/64hRUh6BwOUVb6iWyNir2D", "S")</f>
        <v>S</v>
      </c>
      <c r="J2224" s="57"/>
      <c r="K2224" s="57"/>
      <c r="L2224" s="84"/>
    </row>
    <row r="2225">
      <c r="A2225" s="32" t="s">
        <v>5847</v>
      </c>
      <c r="B2225" s="32" t="s">
        <v>5848</v>
      </c>
      <c r="C2225" s="33">
        <v>45954.0</v>
      </c>
      <c r="D2225" s="34" t="s">
        <v>22</v>
      </c>
      <c r="E2225" s="32" t="s">
        <v>632</v>
      </c>
      <c r="F2225" s="34" t="s">
        <v>24</v>
      </c>
      <c r="G2225" s="34" t="s">
        <v>1551</v>
      </c>
      <c r="H2225" s="35" t="s">
        <v>26</v>
      </c>
      <c r="I2225" s="36" t="str">
        <f>HYPERLINK("https://open.spotify.com/album/33mM8niaYt6TJV4SfhsLEG", "S")</f>
        <v>S</v>
      </c>
      <c r="J2225" s="57"/>
      <c r="K2225" s="57"/>
      <c r="L2225" s="84"/>
    </row>
    <row r="2226">
      <c r="A2226" s="32" t="s">
        <v>5849</v>
      </c>
      <c r="B2226" s="32" t="s">
        <v>5850</v>
      </c>
      <c r="C2226" s="33">
        <v>45954.0</v>
      </c>
      <c r="D2226" s="47" t="s">
        <v>39</v>
      </c>
      <c r="E2226" s="32" t="s">
        <v>5851</v>
      </c>
      <c r="F2226" s="34" t="s">
        <v>24</v>
      </c>
      <c r="G2226" s="34" t="s">
        <v>231</v>
      </c>
      <c r="H2226" s="35" t="s">
        <v>26</v>
      </c>
      <c r="I2226" s="104"/>
      <c r="J2226" s="57"/>
      <c r="K2226" s="57"/>
      <c r="L2226" s="84"/>
    </row>
    <row r="2227">
      <c r="A2227" s="32" t="s">
        <v>5852</v>
      </c>
      <c r="B2227" s="32" t="s">
        <v>5853</v>
      </c>
      <c r="C2227" s="33">
        <v>45954.0</v>
      </c>
      <c r="D2227" s="34" t="s">
        <v>22</v>
      </c>
      <c r="E2227" s="32" t="s">
        <v>160</v>
      </c>
      <c r="F2227" s="34" t="s">
        <v>24</v>
      </c>
      <c r="G2227" s="34" t="s">
        <v>5854</v>
      </c>
      <c r="H2227" s="35" t="s">
        <v>26</v>
      </c>
      <c r="I2227" s="36" t="str">
        <f>HYPERLINK("https://open.spotify.com/album/0YyzmnUIR6fIITcdCH5llZ", "S")</f>
        <v>S</v>
      </c>
      <c r="J2227" s="57"/>
      <c r="K2227" s="57"/>
      <c r="L2227" s="84"/>
    </row>
    <row r="2228">
      <c r="A2228" s="32" t="s">
        <v>5855</v>
      </c>
      <c r="B2228" s="32" t="s">
        <v>5856</v>
      </c>
      <c r="C2228" s="33">
        <v>45954.0</v>
      </c>
      <c r="D2228" s="47" t="s">
        <v>39</v>
      </c>
      <c r="E2228" s="32" t="s">
        <v>5857</v>
      </c>
      <c r="F2228" s="34" t="s">
        <v>24</v>
      </c>
      <c r="G2228" s="34" t="s">
        <v>199</v>
      </c>
      <c r="H2228" s="35" t="s">
        <v>26</v>
      </c>
      <c r="I2228" s="36" t="str">
        <f>HYPERLINK("https://open.spotify.com/album/6I5t5i6uhM8yHI76wmTLWw", "S")</f>
        <v>S</v>
      </c>
      <c r="J2228" s="57"/>
      <c r="K2228" s="57"/>
      <c r="L2228" s="84"/>
    </row>
    <row r="2229">
      <c r="A2229" s="32" t="s">
        <v>5858</v>
      </c>
      <c r="B2229" s="32" t="s">
        <v>5859</v>
      </c>
      <c r="C2229" s="33">
        <v>45954.0</v>
      </c>
      <c r="D2229" s="47" t="s">
        <v>22</v>
      </c>
      <c r="E2229" s="32" t="s">
        <v>73</v>
      </c>
      <c r="F2229" s="34" t="s">
        <v>24</v>
      </c>
      <c r="G2229" s="34" t="s">
        <v>1070</v>
      </c>
      <c r="H2229" s="35" t="s">
        <v>26</v>
      </c>
      <c r="I2229" s="104"/>
      <c r="J2229" s="57"/>
      <c r="K2229" s="57"/>
      <c r="L2229" s="84"/>
    </row>
    <row r="2230">
      <c r="A2230" s="32" t="s">
        <v>5860</v>
      </c>
      <c r="B2230" s="32" t="s">
        <v>5861</v>
      </c>
      <c r="C2230" s="33">
        <v>45954.0</v>
      </c>
      <c r="D2230" s="34" t="s">
        <v>39</v>
      </c>
      <c r="E2230" s="32" t="s">
        <v>328</v>
      </c>
      <c r="F2230" s="34" t="s">
        <v>53</v>
      </c>
      <c r="G2230" s="34" t="s">
        <v>1392</v>
      </c>
      <c r="H2230" s="35" t="s">
        <v>26</v>
      </c>
      <c r="I2230" s="36" t="str">
        <f>HYPERLINK("https://open.spotify.com/album/0ZvEMg8oYD1g8elnKBRwWG", "S")</f>
        <v>S</v>
      </c>
      <c r="J2230" s="35" t="s">
        <v>100</v>
      </c>
      <c r="K2230" s="57"/>
      <c r="L2230" s="84"/>
    </row>
    <row r="2231">
      <c r="A2231" s="32" t="s">
        <v>5862</v>
      </c>
      <c r="B2231" s="32" t="s">
        <v>5863</v>
      </c>
      <c r="C2231" s="33">
        <v>45954.0</v>
      </c>
      <c r="D2231" s="34" t="s">
        <v>22</v>
      </c>
      <c r="E2231" s="32" t="s">
        <v>945</v>
      </c>
      <c r="F2231" s="34" t="s">
        <v>53</v>
      </c>
      <c r="G2231" s="34" t="s">
        <v>1213</v>
      </c>
      <c r="H2231" s="66"/>
      <c r="I2231" s="36" t="str">
        <f>HYPERLINK("https://open.spotify.com/album/2dlOsUriCNKM3aCjjcUsd0", "S")</f>
        <v>S</v>
      </c>
      <c r="J2231" s="57"/>
      <c r="K2231" s="57"/>
      <c r="L2231" s="84"/>
    </row>
    <row r="2232">
      <c r="A2232" s="32" t="s">
        <v>5864</v>
      </c>
      <c r="B2232" s="32" t="s">
        <v>5865</v>
      </c>
      <c r="C2232" s="33">
        <v>45954.0</v>
      </c>
      <c r="D2232" s="34" t="s">
        <v>22</v>
      </c>
      <c r="E2232" s="32" t="s">
        <v>1264</v>
      </c>
      <c r="F2232" s="34" t="s">
        <v>156</v>
      </c>
      <c r="G2232" s="34" t="s">
        <v>2203</v>
      </c>
      <c r="H2232" s="66"/>
      <c r="I2232" s="36" t="str">
        <f>HYPERLINK("https://open.spotify.com/album/5kkFwfOIVYpVgHFJjnniwC", "S")</f>
        <v>S</v>
      </c>
      <c r="J2232" s="35" t="s">
        <v>100</v>
      </c>
      <c r="K2232" s="57"/>
      <c r="L2232" s="84"/>
    </row>
    <row r="2233">
      <c r="A2233" s="32" t="s">
        <v>5866</v>
      </c>
      <c r="B2233" s="32" t="s">
        <v>5867</v>
      </c>
      <c r="C2233" s="33">
        <v>45954.0</v>
      </c>
      <c r="D2233" s="34" t="s">
        <v>39</v>
      </c>
      <c r="E2233" s="32" t="s">
        <v>5868</v>
      </c>
      <c r="F2233" s="34" t="s">
        <v>53</v>
      </c>
      <c r="G2233" s="34" t="s">
        <v>561</v>
      </c>
      <c r="H2233" s="35" t="s">
        <v>26</v>
      </c>
      <c r="I2233" s="35" t="s">
        <v>27</v>
      </c>
      <c r="J2233" s="57"/>
      <c r="K2233" s="57"/>
      <c r="L2233" s="84"/>
    </row>
    <row r="2234">
      <c r="A2234" s="32" t="s">
        <v>5869</v>
      </c>
      <c r="B2234" s="32" t="s">
        <v>5870</v>
      </c>
      <c r="C2234" s="33">
        <v>45954.0</v>
      </c>
      <c r="D2234" s="34" t="s">
        <v>39</v>
      </c>
      <c r="E2234" s="32" t="s">
        <v>73</v>
      </c>
      <c r="F2234" s="34" t="s">
        <v>24</v>
      </c>
      <c r="G2234" s="34" t="s">
        <v>693</v>
      </c>
      <c r="H2234" s="35" t="s">
        <v>26</v>
      </c>
      <c r="I2234" s="66"/>
      <c r="J2234" s="57"/>
      <c r="K2234" s="57"/>
      <c r="L2234" s="84"/>
    </row>
    <row r="2235">
      <c r="A2235" s="32" t="s">
        <v>5871</v>
      </c>
      <c r="B2235" s="32" t="s">
        <v>5872</v>
      </c>
      <c r="C2235" s="33">
        <v>45954.0</v>
      </c>
      <c r="D2235" s="34" t="s">
        <v>22</v>
      </c>
      <c r="E2235" s="32" t="s">
        <v>5873</v>
      </c>
      <c r="F2235" s="34" t="s">
        <v>53</v>
      </c>
      <c r="G2235" s="34" t="s">
        <v>5874</v>
      </c>
      <c r="H2235" s="35" t="s">
        <v>26</v>
      </c>
      <c r="I2235" s="35" t="s">
        <v>27</v>
      </c>
      <c r="J2235" s="35" t="s">
        <v>100</v>
      </c>
      <c r="K2235" s="57"/>
      <c r="L2235" s="84"/>
    </row>
    <row r="2236">
      <c r="A2236" s="32" t="s">
        <v>5875</v>
      </c>
      <c r="B2236" s="32" t="s">
        <v>5876</v>
      </c>
      <c r="C2236" s="33">
        <v>45954.0</v>
      </c>
      <c r="D2236" s="34" t="s">
        <v>22</v>
      </c>
      <c r="E2236" s="32" t="s">
        <v>5877</v>
      </c>
      <c r="F2236" s="34" t="s">
        <v>24</v>
      </c>
      <c r="G2236" s="34" t="s">
        <v>181</v>
      </c>
      <c r="H2236" s="35" t="s">
        <v>26</v>
      </c>
      <c r="I2236" s="66"/>
      <c r="J2236" s="57"/>
      <c r="K2236" s="57"/>
      <c r="L2236" s="84"/>
    </row>
    <row r="2237">
      <c r="A2237" s="32" t="s">
        <v>5878</v>
      </c>
      <c r="B2237" s="32" t="s">
        <v>5879</v>
      </c>
      <c r="C2237" s="33">
        <v>45954.0</v>
      </c>
      <c r="D2237" s="47" t="s">
        <v>39</v>
      </c>
      <c r="E2237" s="32" t="s">
        <v>122</v>
      </c>
      <c r="F2237" s="34" t="s">
        <v>31</v>
      </c>
      <c r="G2237" s="34" t="s">
        <v>5267</v>
      </c>
      <c r="H2237" s="35" t="s">
        <v>26</v>
      </c>
      <c r="I2237" s="36" t="str">
        <f>HYPERLINK("https://open.spotify.com/album/3TPSg401EaFaZWSGy5iSte", "S")</f>
        <v>S</v>
      </c>
      <c r="J2237" s="57"/>
      <c r="K2237" s="57"/>
      <c r="L2237" s="84"/>
    </row>
    <row r="2238">
      <c r="A2238" s="32" t="s">
        <v>5880</v>
      </c>
      <c r="B2238" s="32" t="s">
        <v>5881</v>
      </c>
      <c r="C2238" s="33">
        <v>45955.0</v>
      </c>
      <c r="D2238" s="47" t="s">
        <v>22</v>
      </c>
      <c r="E2238" s="32" t="s">
        <v>5882</v>
      </c>
      <c r="F2238" s="34" t="s">
        <v>24</v>
      </c>
      <c r="G2238" s="34" t="s">
        <v>5883</v>
      </c>
      <c r="H2238" s="35" t="s">
        <v>26</v>
      </c>
      <c r="I2238" s="57"/>
      <c r="J2238" s="57"/>
      <c r="K2238" s="57"/>
      <c r="L2238" s="84"/>
    </row>
    <row r="2239">
      <c r="A2239" s="32" t="s">
        <v>5884</v>
      </c>
      <c r="B2239" s="32" t="s">
        <v>5885</v>
      </c>
      <c r="C2239" s="33">
        <v>45955.0</v>
      </c>
      <c r="D2239" s="34" t="s">
        <v>22</v>
      </c>
      <c r="E2239" s="32" t="s">
        <v>122</v>
      </c>
      <c r="F2239" s="34" t="s">
        <v>156</v>
      </c>
      <c r="G2239" s="34" t="s">
        <v>199</v>
      </c>
      <c r="H2239" s="35" t="s">
        <v>26</v>
      </c>
      <c r="I2239" s="57"/>
      <c r="J2239" s="57"/>
      <c r="K2239" s="57"/>
      <c r="L2239" s="84"/>
    </row>
    <row r="2240">
      <c r="A2240" s="32" t="s">
        <v>5886</v>
      </c>
      <c r="B2240" s="32" t="s">
        <v>5887</v>
      </c>
      <c r="C2240" s="33">
        <v>45957.0</v>
      </c>
      <c r="D2240" s="34" t="s">
        <v>22</v>
      </c>
      <c r="E2240" s="32" t="s">
        <v>284</v>
      </c>
      <c r="F2240" s="34" t="s">
        <v>24</v>
      </c>
      <c r="G2240" s="34" t="s">
        <v>561</v>
      </c>
      <c r="H2240" s="35" t="s">
        <v>26</v>
      </c>
      <c r="I2240" s="57"/>
      <c r="J2240" s="57"/>
      <c r="K2240" s="57"/>
      <c r="L2240" s="84"/>
    </row>
    <row r="2241">
      <c r="A2241" s="32" t="s">
        <v>5888</v>
      </c>
      <c r="B2241" s="32" t="s">
        <v>5889</v>
      </c>
      <c r="C2241" s="33">
        <v>45957.0</v>
      </c>
      <c r="D2241" s="47" t="s">
        <v>22</v>
      </c>
      <c r="E2241" s="32" t="s">
        <v>1868</v>
      </c>
      <c r="F2241" s="34" t="s">
        <v>24</v>
      </c>
      <c r="G2241" s="34" t="s">
        <v>712</v>
      </c>
      <c r="H2241" s="66"/>
      <c r="I2241" s="35" t="s">
        <v>27</v>
      </c>
      <c r="J2241" s="57"/>
      <c r="K2241" s="57"/>
      <c r="L2241" s="84"/>
    </row>
    <row r="2242">
      <c r="A2242" s="32" t="s">
        <v>5890</v>
      </c>
      <c r="B2242" s="32" t="s">
        <v>5891</v>
      </c>
      <c r="C2242" s="33">
        <v>45958.0</v>
      </c>
      <c r="D2242" s="34" t="s">
        <v>22</v>
      </c>
      <c r="E2242" s="32" t="s">
        <v>1329</v>
      </c>
      <c r="F2242" s="34" t="s">
        <v>156</v>
      </c>
      <c r="G2242" s="34" t="s">
        <v>181</v>
      </c>
      <c r="H2242" s="35" t="s">
        <v>26</v>
      </c>
      <c r="I2242" s="36" t="str">
        <f>HYPERLINK("https://open.spotify.com/album/6Wqn5S6pqwkJYukXvaM3Zq", "S")</f>
        <v>S</v>
      </c>
      <c r="J2242" s="57"/>
      <c r="K2242" s="57"/>
      <c r="L2242" s="84"/>
    </row>
    <row r="2243">
      <c r="A2243" s="32" t="s">
        <v>5892</v>
      </c>
      <c r="B2243" s="32" t="s">
        <v>5893</v>
      </c>
      <c r="C2243" s="33">
        <v>45958.0</v>
      </c>
      <c r="D2243" s="34" t="s">
        <v>22</v>
      </c>
      <c r="E2243" s="32" t="s">
        <v>5894</v>
      </c>
      <c r="F2243" s="34" t="s">
        <v>31</v>
      </c>
      <c r="G2243" s="34" t="s">
        <v>2203</v>
      </c>
      <c r="H2243" s="35" t="s">
        <v>26</v>
      </c>
      <c r="I2243" s="66"/>
      <c r="J2243" s="57"/>
      <c r="K2243" s="57"/>
      <c r="L2243" s="84"/>
    </row>
    <row r="2244">
      <c r="A2244" s="32" t="s">
        <v>5895</v>
      </c>
      <c r="B2244" s="32" t="s">
        <v>5896</v>
      </c>
      <c r="C2244" s="33">
        <v>45959.0</v>
      </c>
      <c r="D2244" s="47" t="s">
        <v>22</v>
      </c>
      <c r="E2244" s="32" t="s">
        <v>5897</v>
      </c>
      <c r="F2244" s="34" t="s">
        <v>53</v>
      </c>
      <c r="G2244" s="34" t="s">
        <v>5898</v>
      </c>
      <c r="H2244" s="35" t="s">
        <v>26</v>
      </c>
      <c r="I2244" s="35" t="s">
        <v>27</v>
      </c>
      <c r="J2244" s="57"/>
      <c r="K2244" s="57"/>
      <c r="L2244" s="84"/>
    </row>
    <row r="2245">
      <c r="A2245" s="32" t="s">
        <v>5899</v>
      </c>
      <c r="B2245" s="32" t="s">
        <v>5900</v>
      </c>
      <c r="C2245" s="33">
        <v>45960.0</v>
      </c>
      <c r="D2245" s="34" t="s">
        <v>22</v>
      </c>
      <c r="E2245" s="32" t="s">
        <v>5901</v>
      </c>
      <c r="F2245" s="34" t="s">
        <v>53</v>
      </c>
      <c r="G2245" s="34" t="s">
        <v>5117</v>
      </c>
      <c r="H2245" s="35" t="s">
        <v>26</v>
      </c>
      <c r="I2245" s="36" t="str">
        <f>HYPERLINK("https://open.spotify.com/album/4Y6j5C1UJgCg6zfhGRfoDT", "S")</f>
        <v>S</v>
      </c>
      <c r="J2245" s="57"/>
      <c r="K2245" s="57"/>
      <c r="L2245" s="84"/>
    </row>
    <row r="2246">
      <c r="A2246" s="32" t="s">
        <v>5902</v>
      </c>
      <c r="B2246" s="32" t="s">
        <v>5903</v>
      </c>
      <c r="C2246" s="33">
        <v>45960.0</v>
      </c>
      <c r="D2246" s="34" t="s">
        <v>22</v>
      </c>
      <c r="E2246" s="32" t="s">
        <v>4691</v>
      </c>
      <c r="F2246" s="34" t="s">
        <v>53</v>
      </c>
      <c r="G2246" s="34" t="s">
        <v>440</v>
      </c>
      <c r="H2246" s="35" t="s">
        <v>26</v>
      </c>
      <c r="I2246" s="35" t="s">
        <v>27</v>
      </c>
      <c r="J2246" s="57"/>
      <c r="K2246" s="57"/>
      <c r="L2246" s="84"/>
    </row>
    <row r="2247">
      <c r="A2247" s="32" t="s">
        <v>5904</v>
      </c>
      <c r="B2247" s="32" t="s">
        <v>5905</v>
      </c>
      <c r="C2247" s="33">
        <v>45960.0</v>
      </c>
      <c r="D2247" s="69" t="s">
        <v>22</v>
      </c>
      <c r="E2247" s="32" t="s">
        <v>2338</v>
      </c>
      <c r="F2247" s="34" t="s">
        <v>24</v>
      </c>
      <c r="G2247" s="34" t="s">
        <v>5906</v>
      </c>
      <c r="H2247" s="35" t="s">
        <v>26</v>
      </c>
      <c r="I2247" s="57"/>
      <c r="J2247" s="57"/>
      <c r="K2247" s="57"/>
      <c r="L2247" s="84"/>
    </row>
    <row r="2248">
      <c r="A2248" s="32" t="s">
        <v>5907</v>
      </c>
      <c r="B2248" s="32" t="s">
        <v>5908</v>
      </c>
      <c r="C2248" s="33">
        <v>45960.0</v>
      </c>
      <c r="D2248" s="34" t="s">
        <v>22</v>
      </c>
      <c r="E2248" s="32" t="s">
        <v>5909</v>
      </c>
      <c r="F2248" s="34" t="s">
        <v>53</v>
      </c>
      <c r="G2248" s="34" t="s">
        <v>5910</v>
      </c>
      <c r="H2248" s="35" t="s">
        <v>26</v>
      </c>
      <c r="I2248" s="35" t="s">
        <v>27</v>
      </c>
      <c r="J2248" s="57"/>
      <c r="K2248" s="57"/>
      <c r="L2248" s="84"/>
    </row>
    <row r="2249">
      <c r="A2249" s="32" t="s">
        <v>1306</v>
      </c>
      <c r="B2249" s="32" t="s">
        <v>5911</v>
      </c>
      <c r="C2249" s="33">
        <v>45961.0</v>
      </c>
      <c r="D2249" s="34" t="s">
        <v>39</v>
      </c>
      <c r="E2249" s="32" t="s">
        <v>355</v>
      </c>
      <c r="F2249" s="34" t="s">
        <v>24</v>
      </c>
      <c r="G2249" s="34" t="s">
        <v>442</v>
      </c>
      <c r="H2249" s="35" t="s">
        <v>26</v>
      </c>
      <c r="I2249" s="104"/>
      <c r="J2249" s="57"/>
      <c r="K2249" s="57"/>
      <c r="L2249" s="84"/>
    </row>
    <row r="2250">
      <c r="A2250" s="32" t="s">
        <v>5912</v>
      </c>
      <c r="B2250" s="32" t="s">
        <v>5913</v>
      </c>
      <c r="C2250" s="33">
        <v>45961.0</v>
      </c>
      <c r="D2250" s="34" t="s">
        <v>22</v>
      </c>
      <c r="E2250" s="32" t="s">
        <v>69</v>
      </c>
      <c r="F2250" s="34" t="s">
        <v>24</v>
      </c>
      <c r="G2250" s="34" t="s">
        <v>365</v>
      </c>
      <c r="H2250" s="35" t="s">
        <v>26</v>
      </c>
      <c r="I2250" s="35" t="s">
        <v>27</v>
      </c>
      <c r="J2250" s="57"/>
      <c r="K2250" s="57"/>
      <c r="L2250" s="84"/>
    </row>
    <row r="2251">
      <c r="A2251" s="32" t="s">
        <v>5914</v>
      </c>
      <c r="B2251" s="32" t="s">
        <v>5915</v>
      </c>
      <c r="C2251" s="33">
        <v>45961.0</v>
      </c>
      <c r="D2251" s="34" t="s">
        <v>22</v>
      </c>
      <c r="E2251" s="32" t="s">
        <v>335</v>
      </c>
      <c r="F2251" s="34" t="s">
        <v>24</v>
      </c>
      <c r="G2251" s="34" t="s">
        <v>342</v>
      </c>
      <c r="H2251" s="35" t="s">
        <v>26</v>
      </c>
      <c r="I2251" s="36" t="str">
        <f>HYPERLINK("https://open.spotify.com/album/3xINLMUfKXT7miKHCtdKI5", "S")</f>
        <v>S</v>
      </c>
      <c r="J2251" s="35" t="s">
        <v>100</v>
      </c>
      <c r="K2251" s="57"/>
      <c r="L2251" s="84"/>
    </row>
    <row r="2252">
      <c r="A2252" s="32" t="s">
        <v>5916</v>
      </c>
      <c r="B2252" s="32" t="s">
        <v>5917</v>
      </c>
      <c r="C2252" s="33">
        <v>45961.0</v>
      </c>
      <c r="D2252" s="34" t="s">
        <v>39</v>
      </c>
      <c r="E2252" s="32" t="s">
        <v>3976</v>
      </c>
      <c r="F2252" s="34" t="s">
        <v>53</v>
      </c>
      <c r="G2252" s="34" t="s">
        <v>5918</v>
      </c>
      <c r="H2252" s="66"/>
      <c r="I2252" s="36" t="str">
        <f>HYPERLINK("https://open.spotify.com/album/14jkNNtzXEMEYVe1NHE7G8", "S")</f>
        <v>S</v>
      </c>
      <c r="J2252" s="57"/>
      <c r="K2252" s="57"/>
      <c r="L2252" s="84"/>
    </row>
    <row r="2253">
      <c r="A2253" s="32" t="s">
        <v>5919</v>
      </c>
      <c r="B2253" s="32" t="s">
        <v>5920</v>
      </c>
      <c r="C2253" s="33">
        <v>45961.0</v>
      </c>
      <c r="D2253" s="69" t="s">
        <v>22</v>
      </c>
      <c r="E2253" s="32" t="s">
        <v>4243</v>
      </c>
      <c r="F2253" s="34" t="s">
        <v>24</v>
      </c>
      <c r="G2253" s="34" t="s">
        <v>646</v>
      </c>
      <c r="H2253" s="35" t="s">
        <v>26</v>
      </c>
      <c r="I2253" s="36" t="str">
        <f>HYPERLINK("https://open.spotify.com/album/2IFzFVuAL8pyjIbz5lWciD", "S")</f>
        <v>S</v>
      </c>
      <c r="J2253" s="57"/>
      <c r="K2253" s="57"/>
      <c r="L2253" s="84"/>
    </row>
    <row r="2254">
      <c r="A2254" s="32" t="s">
        <v>5921</v>
      </c>
      <c r="B2254" s="32" t="s">
        <v>5922</v>
      </c>
      <c r="C2254" s="33">
        <v>45961.0</v>
      </c>
      <c r="D2254" s="34" t="s">
        <v>22</v>
      </c>
      <c r="E2254" s="32" t="s">
        <v>3976</v>
      </c>
      <c r="F2254" s="34" t="s">
        <v>53</v>
      </c>
      <c r="G2254" s="34" t="s">
        <v>2780</v>
      </c>
      <c r="H2254" s="66"/>
      <c r="I2254" s="36" t="str">
        <f>HYPERLINK("https://open.spotify.com/album/5shcKdkmBEsmuovCtqCd6g", "S")</f>
        <v>S</v>
      </c>
      <c r="J2254" s="57"/>
      <c r="K2254" s="57"/>
      <c r="L2254" s="84"/>
    </row>
    <row r="2255">
      <c r="A2255" s="32" t="s">
        <v>5923</v>
      </c>
      <c r="B2255" s="32" t="s">
        <v>5924</v>
      </c>
      <c r="C2255" s="33">
        <v>45961.0</v>
      </c>
      <c r="D2255" s="34" t="s">
        <v>22</v>
      </c>
      <c r="E2255" s="32" t="s">
        <v>1850</v>
      </c>
      <c r="F2255" s="34" t="s">
        <v>24</v>
      </c>
      <c r="G2255" s="34" t="s">
        <v>725</v>
      </c>
      <c r="H2255" s="35" t="s">
        <v>26</v>
      </c>
      <c r="I2255" s="36" t="str">
        <f>HYPERLINK("https://open.spotify.com/album/4zUURPyxzdbd6ME5TMpcOo", "S")</f>
        <v>S</v>
      </c>
      <c r="J2255" s="57"/>
      <c r="K2255" s="57"/>
      <c r="L2255" s="84"/>
    </row>
    <row r="2256">
      <c r="A2256" s="32" t="s">
        <v>5925</v>
      </c>
      <c r="B2256" s="32" t="s">
        <v>5926</v>
      </c>
      <c r="C2256" s="33">
        <v>45961.0</v>
      </c>
      <c r="D2256" s="34" t="s">
        <v>22</v>
      </c>
      <c r="E2256" s="32" t="s">
        <v>5927</v>
      </c>
      <c r="F2256" s="34" t="s">
        <v>156</v>
      </c>
      <c r="G2256" s="34" t="s">
        <v>96</v>
      </c>
      <c r="H2256" s="35" t="s">
        <v>26</v>
      </c>
      <c r="I2256" s="36" t="str">
        <f>HYPERLINK("https://open.spotify.com/album/4ydjDU9xxBPum9ijOl1kRE", "S")</f>
        <v>S</v>
      </c>
      <c r="J2256" s="57"/>
      <c r="K2256" s="57"/>
      <c r="L2256" s="84"/>
    </row>
    <row r="2257">
      <c r="A2257" s="32" t="s">
        <v>5928</v>
      </c>
      <c r="B2257" s="32" t="s">
        <v>5929</v>
      </c>
      <c r="C2257" s="33">
        <v>45961.0</v>
      </c>
      <c r="D2257" s="34" t="s">
        <v>22</v>
      </c>
      <c r="E2257" s="32" t="s">
        <v>1519</v>
      </c>
      <c r="F2257" s="34" t="s">
        <v>24</v>
      </c>
      <c r="G2257" s="63" t="s">
        <v>440</v>
      </c>
      <c r="H2257" s="35" t="s">
        <v>26</v>
      </c>
      <c r="I2257" s="36" t="str">
        <f>HYPERLINK("https://open.spotify.com/album/6iiIYpwooxuXeKHmwRHKRf", "S")</f>
        <v>S</v>
      </c>
      <c r="J2257" s="57"/>
      <c r="K2257" s="57"/>
      <c r="L2257" s="84"/>
    </row>
    <row r="2258">
      <c r="A2258" s="32" t="s">
        <v>5930</v>
      </c>
      <c r="B2258" s="32" t="s">
        <v>5931</v>
      </c>
      <c r="C2258" s="33">
        <v>45961.0</v>
      </c>
      <c r="D2258" s="34" t="s">
        <v>22</v>
      </c>
      <c r="E2258" s="32" t="s">
        <v>3263</v>
      </c>
      <c r="F2258" s="34" t="s">
        <v>53</v>
      </c>
      <c r="G2258" s="34" t="s">
        <v>5932</v>
      </c>
      <c r="H2258" s="35" t="s">
        <v>26</v>
      </c>
      <c r="I2258" s="104"/>
      <c r="J2258" s="57"/>
      <c r="K2258" s="57"/>
      <c r="L2258" s="84"/>
    </row>
    <row r="2259">
      <c r="A2259" s="32" t="s">
        <v>5933</v>
      </c>
      <c r="B2259" s="32" t="s">
        <v>5934</v>
      </c>
      <c r="C2259" s="33">
        <v>45961.0</v>
      </c>
      <c r="D2259" s="34" t="s">
        <v>22</v>
      </c>
      <c r="E2259" s="32" t="s">
        <v>822</v>
      </c>
      <c r="F2259" s="34" t="s">
        <v>24</v>
      </c>
      <c r="G2259" s="34" t="s">
        <v>141</v>
      </c>
      <c r="H2259" s="35" t="s">
        <v>26</v>
      </c>
      <c r="I2259" s="36" t="str">
        <f>HYPERLINK("https://open.spotify.com/album/1y6mWptDhITsZ5E8JzjKUy", "S")</f>
        <v>S</v>
      </c>
      <c r="J2259" s="57"/>
      <c r="K2259" s="57"/>
      <c r="L2259" s="84"/>
    </row>
    <row r="2260">
      <c r="A2260" s="32" t="s">
        <v>5935</v>
      </c>
      <c r="B2260" s="32" t="s">
        <v>5936</v>
      </c>
      <c r="C2260" s="33">
        <v>45961.0</v>
      </c>
      <c r="D2260" s="34" t="s">
        <v>22</v>
      </c>
      <c r="E2260" s="32" t="s">
        <v>5937</v>
      </c>
      <c r="F2260" s="34" t="s">
        <v>53</v>
      </c>
      <c r="G2260" s="34" t="s">
        <v>2387</v>
      </c>
      <c r="H2260" s="35" t="s">
        <v>26</v>
      </c>
      <c r="I2260" s="35" t="s">
        <v>27</v>
      </c>
      <c r="J2260" s="35" t="s">
        <v>100</v>
      </c>
      <c r="K2260" s="57"/>
      <c r="L2260" s="84"/>
    </row>
    <row r="2261">
      <c r="A2261" s="32" t="s">
        <v>5938</v>
      </c>
      <c r="B2261" s="32" t="s">
        <v>5939</v>
      </c>
      <c r="C2261" s="33">
        <v>45961.0</v>
      </c>
      <c r="D2261" s="34" t="s">
        <v>22</v>
      </c>
      <c r="E2261" s="32" t="s">
        <v>5940</v>
      </c>
      <c r="F2261" s="34" t="s">
        <v>53</v>
      </c>
      <c r="G2261" s="34" t="s">
        <v>161</v>
      </c>
      <c r="H2261" s="66"/>
      <c r="I2261" s="36" t="str">
        <f>HYPERLINK("https://open.spotify.com/album/2YMsJDgdWSmK85B2FnvjXh", "S")</f>
        <v>S</v>
      </c>
      <c r="J2261" s="57"/>
      <c r="K2261" s="57"/>
      <c r="L2261" s="84"/>
    </row>
    <row r="2262">
      <c r="A2262" s="32" t="s">
        <v>5941</v>
      </c>
      <c r="B2262" s="32" t="s">
        <v>5942</v>
      </c>
      <c r="C2262" s="33">
        <v>45961.0</v>
      </c>
      <c r="D2262" s="34" t="s">
        <v>22</v>
      </c>
      <c r="E2262" s="32" t="s">
        <v>4714</v>
      </c>
      <c r="F2262" s="34" t="s">
        <v>53</v>
      </c>
      <c r="G2262" s="34" t="s">
        <v>5943</v>
      </c>
      <c r="H2262" s="35" t="s">
        <v>26</v>
      </c>
      <c r="I2262" s="36" t="str">
        <f>HYPERLINK("https://open.spotify.com/album/1r0jblBmqcxBPZFMwpP1dq", "S")</f>
        <v>S</v>
      </c>
      <c r="J2262" s="57"/>
      <c r="K2262" s="57"/>
      <c r="L2262" s="84"/>
    </row>
    <row r="2263">
      <c r="A2263" s="32" t="s">
        <v>5944</v>
      </c>
      <c r="B2263" s="32" t="s">
        <v>5945</v>
      </c>
      <c r="C2263" s="33">
        <v>45961.0</v>
      </c>
      <c r="D2263" s="34" t="s">
        <v>22</v>
      </c>
      <c r="E2263" s="32" t="s">
        <v>5946</v>
      </c>
      <c r="F2263" s="34" t="s">
        <v>53</v>
      </c>
      <c r="G2263" s="34" t="s">
        <v>5947</v>
      </c>
      <c r="H2263" s="35" t="s">
        <v>26</v>
      </c>
      <c r="I2263" s="36" t="str">
        <f>HYPERLINK("https://open.spotify.com/album/7LqgqzOU7SWZu7dW3cKc9o", "S")</f>
        <v>S</v>
      </c>
      <c r="J2263" s="57"/>
      <c r="K2263" s="57"/>
      <c r="L2263" s="84"/>
    </row>
    <row r="2264">
      <c r="A2264" s="32" t="s">
        <v>5948</v>
      </c>
      <c r="B2264" s="32" t="s">
        <v>5949</v>
      </c>
      <c r="C2264" s="33">
        <v>45961.0</v>
      </c>
      <c r="D2264" s="34" t="s">
        <v>22</v>
      </c>
      <c r="E2264" s="32" t="s">
        <v>98</v>
      </c>
      <c r="F2264" s="34" t="s">
        <v>24</v>
      </c>
      <c r="G2264" s="34" t="s">
        <v>1098</v>
      </c>
      <c r="H2264" s="66"/>
      <c r="I2264" s="36" t="str">
        <f>HYPERLINK("https://open.spotify.com/album/4HXEAKXVGlx5sTryGadzHO", "S")</f>
        <v>S</v>
      </c>
      <c r="J2264" s="57"/>
      <c r="K2264" s="57"/>
      <c r="L2264" s="84"/>
    </row>
    <row r="2265">
      <c r="A2265" s="32" t="s">
        <v>5950</v>
      </c>
      <c r="B2265" s="32" t="s">
        <v>5951</v>
      </c>
      <c r="C2265" s="33">
        <v>45961.0</v>
      </c>
      <c r="D2265" s="34" t="s">
        <v>39</v>
      </c>
      <c r="E2265" s="32" t="s">
        <v>3076</v>
      </c>
      <c r="F2265" s="34" t="s">
        <v>53</v>
      </c>
      <c r="G2265" s="34" t="s">
        <v>157</v>
      </c>
      <c r="H2265" s="66"/>
      <c r="I2265" s="36" t="str">
        <f>HYPERLINK("https://open.spotify.com/album/6nJMEK1URMQE8vgFmsYRXJ", "S")</f>
        <v>S</v>
      </c>
      <c r="J2265" s="57"/>
      <c r="K2265" s="57"/>
      <c r="L2265" s="84"/>
    </row>
    <row r="2266">
      <c r="A2266" s="32" t="s">
        <v>5952</v>
      </c>
      <c r="B2266" s="32" t="s">
        <v>5953</v>
      </c>
      <c r="C2266" s="33">
        <v>45961.0</v>
      </c>
      <c r="D2266" s="34" t="s">
        <v>22</v>
      </c>
      <c r="E2266" s="32" t="s">
        <v>5954</v>
      </c>
      <c r="F2266" s="34" t="s">
        <v>156</v>
      </c>
      <c r="G2266" s="34" t="s">
        <v>611</v>
      </c>
      <c r="H2266" s="35" t="s">
        <v>26</v>
      </c>
      <c r="I2266" s="36" t="str">
        <f>HYPERLINK("https://open.spotify.com/album/0bvbLP5pc85iGIrTrdDYo6", "S")</f>
        <v>S</v>
      </c>
      <c r="J2266" s="57"/>
      <c r="K2266" s="57"/>
      <c r="L2266" s="84"/>
    </row>
    <row r="2267">
      <c r="A2267" s="32" t="s">
        <v>5955</v>
      </c>
      <c r="B2267" s="32" t="s">
        <v>5956</v>
      </c>
      <c r="C2267" s="33">
        <v>45961.0</v>
      </c>
      <c r="D2267" s="34" t="s">
        <v>39</v>
      </c>
      <c r="E2267" s="32" t="s">
        <v>84</v>
      </c>
      <c r="F2267" s="34" t="s">
        <v>24</v>
      </c>
      <c r="G2267" s="34" t="s">
        <v>1938</v>
      </c>
      <c r="H2267" s="35" t="s">
        <v>26</v>
      </c>
      <c r="I2267" s="35" t="str">
        <f>HYPERLINK("https://open.spotify.com/album/635HOOmjXfqyumihPoxWhT", "S")</f>
        <v>S</v>
      </c>
      <c r="J2267" s="57"/>
      <c r="K2267" s="57"/>
      <c r="L2267" s="84"/>
    </row>
    <row r="2268">
      <c r="A2268" s="32" t="s">
        <v>5957</v>
      </c>
      <c r="B2268" s="32" t="s">
        <v>5958</v>
      </c>
      <c r="C2268" s="33">
        <v>45961.0</v>
      </c>
      <c r="D2268" s="34" t="s">
        <v>22</v>
      </c>
      <c r="E2268" s="32" t="s">
        <v>5959</v>
      </c>
      <c r="F2268" s="34" t="s">
        <v>156</v>
      </c>
      <c r="G2268" s="34" t="s">
        <v>225</v>
      </c>
      <c r="H2268" s="35" t="s">
        <v>26</v>
      </c>
      <c r="I2268" s="104"/>
      <c r="J2268" s="57"/>
      <c r="K2268" s="57"/>
      <c r="L2268" s="84"/>
    </row>
    <row r="2269">
      <c r="A2269" s="32" t="s">
        <v>5960</v>
      </c>
      <c r="B2269" s="32" t="s">
        <v>5961</v>
      </c>
      <c r="C2269" s="33">
        <v>45961.0</v>
      </c>
      <c r="D2269" s="34" t="s">
        <v>22</v>
      </c>
      <c r="E2269" s="32" t="s">
        <v>84</v>
      </c>
      <c r="F2269" s="34" t="s">
        <v>53</v>
      </c>
      <c r="G2269" s="34" t="s">
        <v>1404</v>
      </c>
      <c r="H2269" s="35" t="s">
        <v>26</v>
      </c>
      <c r="I2269" s="36" t="str">
        <f>HYPERLINK("https://open.spotify.com/album/1taAA6FhpBSCYEe7ayadNx", "S")</f>
        <v>S</v>
      </c>
      <c r="J2269" s="57"/>
      <c r="K2269" s="57"/>
      <c r="L2269" s="84"/>
    </row>
    <row r="2270">
      <c r="A2270" s="32" t="s">
        <v>5962</v>
      </c>
      <c r="B2270" s="32" t="s">
        <v>5963</v>
      </c>
      <c r="C2270" s="33">
        <v>45961.0</v>
      </c>
      <c r="D2270" s="34" t="s">
        <v>22</v>
      </c>
      <c r="E2270" s="32" t="s">
        <v>160</v>
      </c>
      <c r="F2270" s="34" t="s">
        <v>53</v>
      </c>
      <c r="G2270" s="34" t="s">
        <v>5964</v>
      </c>
      <c r="H2270" s="35" t="s">
        <v>26</v>
      </c>
      <c r="I2270" s="36" t="str">
        <f>HYPERLINK("https://open.spotify.com/album/1aAAssNRmdJF1CQkPVZk2v", "S")</f>
        <v>S</v>
      </c>
      <c r="J2270" s="35" t="s">
        <v>100</v>
      </c>
      <c r="K2270" s="57"/>
      <c r="L2270" s="84"/>
    </row>
    <row r="2271">
      <c r="A2271" s="32" t="s">
        <v>5965</v>
      </c>
      <c r="B2271" s="32" t="s">
        <v>5966</v>
      </c>
      <c r="C2271" s="33">
        <v>45961.0</v>
      </c>
      <c r="D2271" s="34" t="s">
        <v>22</v>
      </c>
      <c r="E2271" s="32" t="s">
        <v>364</v>
      </c>
      <c r="F2271" s="34" t="s">
        <v>24</v>
      </c>
      <c r="G2271" s="34" t="s">
        <v>4679</v>
      </c>
      <c r="H2271" s="35" t="s">
        <v>26</v>
      </c>
      <c r="I2271" s="36" t="str">
        <f>HYPERLINK("https://open.spotify.com/album/4yZt1PpJODTRms5MC70sox", "S")</f>
        <v>S</v>
      </c>
      <c r="J2271" s="35" t="s">
        <v>100</v>
      </c>
      <c r="K2271" s="57"/>
      <c r="L2271" s="84"/>
    </row>
    <row r="2272">
      <c r="A2272" s="32" t="s">
        <v>5967</v>
      </c>
      <c r="B2272" s="32" t="s">
        <v>5968</v>
      </c>
      <c r="C2272" s="33">
        <v>45961.0</v>
      </c>
      <c r="D2272" s="34" t="s">
        <v>22</v>
      </c>
      <c r="E2272" s="32" t="s">
        <v>335</v>
      </c>
      <c r="F2272" s="34" t="s">
        <v>24</v>
      </c>
      <c r="G2272" s="34" t="s">
        <v>41</v>
      </c>
      <c r="H2272" s="35" t="s">
        <v>26</v>
      </c>
      <c r="I2272" s="36" t="str">
        <f>HYPERLINK("https://open.spotify.com/album/5sgSgUrGuGS3daKKuPn045", "S")</f>
        <v>S</v>
      </c>
      <c r="J2272" s="35" t="s">
        <v>100</v>
      </c>
      <c r="K2272" s="57"/>
      <c r="L2272" s="84"/>
    </row>
    <row r="2273">
      <c r="A2273" s="32" t="s">
        <v>5969</v>
      </c>
      <c r="B2273" s="32" t="s">
        <v>5970</v>
      </c>
      <c r="C2273" s="33">
        <v>45961.0</v>
      </c>
      <c r="D2273" s="34" t="s">
        <v>22</v>
      </c>
      <c r="E2273" s="32" t="s">
        <v>355</v>
      </c>
      <c r="F2273" s="34" t="s">
        <v>24</v>
      </c>
      <c r="G2273" s="34" t="s">
        <v>2716</v>
      </c>
      <c r="H2273" s="35" t="s">
        <v>26</v>
      </c>
      <c r="I2273" s="36" t="str">
        <f>HYPERLINK("https://open.spotify.com/album/6zu96Rx6FuCNfhiCbElyKn", "S")</f>
        <v>S</v>
      </c>
      <c r="J2273" s="35" t="s">
        <v>100</v>
      </c>
      <c r="K2273" s="57"/>
      <c r="L2273" s="84"/>
    </row>
    <row r="2274">
      <c r="A2274" s="32" t="s">
        <v>5971</v>
      </c>
      <c r="B2274" s="32" t="s">
        <v>5972</v>
      </c>
      <c r="C2274" s="33">
        <v>45961.0</v>
      </c>
      <c r="D2274" s="34" t="s">
        <v>22</v>
      </c>
      <c r="E2274" s="32" t="s">
        <v>754</v>
      </c>
      <c r="F2274" s="34" t="s">
        <v>24</v>
      </c>
      <c r="G2274" s="34" t="s">
        <v>253</v>
      </c>
      <c r="H2274" s="35" t="s">
        <v>26</v>
      </c>
      <c r="I2274" s="36" t="str">
        <f>HYPERLINK("https://open.spotify.com/album/2KxJKt4c428OopJ6RJznVz", "S")</f>
        <v>S</v>
      </c>
      <c r="J2274" s="35" t="s">
        <v>100</v>
      </c>
      <c r="K2274" s="57"/>
      <c r="L2274" s="84"/>
    </row>
    <row r="2275">
      <c r="A2275" s="32" t="s">
        <v>5973</v>
      </c>
      <c r="B2275" s="32" t="s">
        <v>5974</v>
      </c>
      <c r="C2275" s="33">
        <v>45961.0</v>
      </c>
      <c r="D2275" s="69" t="s">
        <v>39</v>
      </c>
      <c r="E2275" s="32" t="s">
        <v>160</v>
      </c>
      <c r="F2275" s="34" t="s">
        <v>24</v>
      </c>
      <c r="G2275" s="34" t="s">
        <v>5975</v>
      </c>
      <c r="H2275" s="35" t="s">
        <v>26</v>
      </c>
      <c r="I2275" s="36" t="str">
        <f>HYPERLINK("https://open.spotify.com/album/2EFC4ZutoMTDYeu6LwBnij", "S")</f>
        <v>S</v>
      </c>
      <c r="J2275" s="35" t="s">
        <v>100</v>
      </c>
      <c r="K2275" s="57"/>
      <c r="L2275" s="84"/>
    </row>
    <row r="2276">
      <c r="A2276" s="32" t="s">
        <v>5976</v>
      </c>
      <c r="B2276" s="32" t="s">
        <v>5977</v>
      </c>
      <c r="C2276" s="33">
        <v>45961.0</v>
      </c>
      <c r="D2276" s="69" t="s">
        <v>22</v>
      </c>
      <c r="E2276" s="32" t="s">
        <v>5978</v>
      </c>
      <c r="F2276" s="34" t="s">
        <v>53</v>
      </c>
      <c r="G2276" s="34" t="s">
        <v>5979</v>
      </c>
      <c r="H2276" s="35" t="s">
        <v>26</v>
      </c>
      <c r="I2276" s="36" t="str">
        <f>HYPERLINK("https://open.spotify.com/album/1UmNzZcrjZKN83x7D4wIo5", "S")</f>
        <v>S</v>
      </c>
      <c r="J2276" s="57"/>
      <c r="K2276" s="57"/>
      <c r="L2276" s="84"/>
    </row>
    <row r="2277">
      <c r="A2277" s="32" t="s">
        <v>5980</v>
      </c>
      <c r="B2277" s="32" t="s">
        <v>5981</v>
      </c>
      <c r="C2277" s="33">
        <v>45961.0</v>
      </c>
      <c r="D2277" s="34" t="s">
        <v>22</v>
      </c>
      <c r="E2277" s="32" t="s">
        <v>5982</v>
      </c>
      <c r="F2277" s="34" t="s">
        <v>53</v>
      </c>
      <c r="G2277" s="34" t="s">
        <v>199</v>
      </c>
      <c r="H2277" s="35" t="s">
        <v>26</v>
      </c>
      <c r="I2277" s="36" t="str">
        <f>HYPERLINK("https://open.spotify.com/album/58LeabZWBBIE0mDFhkpUuW", "S")</f>
        <v>S</v>
      </c>
      <c r="J2277" s="35" t="s">
        <v>100</v>
      </c>
      <c r="K2277" s="57"/>
      <c r="L2277" s="84"/>
    </row>
    <row r="2278">
      <c r="A2278" s="32" t="s">
        <v>5983</v>
      </c>
      <c r="B2278" s="32" t="s">
        <v>5984</v>
      </c>
      <c r="C2278" s="33">
        <v>45961.0</v>
      </c>
      <c r="D2278" s="34" t="s">
        <v>22</v>
      </c>
      <c r="E2278" s="32" t="s">
        <v>2056</v>
      </c>
      <c r="F2278" s="34" t="s">
        <v>24</v>
      </c>
      <c r="G2278" s="34" t="s">
        <v>599</v>
      </c>
      <c r="H2278" s="35" t="s">
        <v>26</v>
      </c>
      <c r="I2278" s="36" t="str">
        <f>HYPERLINK("https://open.spotify.com/album/1KQv5LDJwYQIoWxK3HBtH7", "S")</f>
        <v>S</v>
      </c>
      <c r="J2278" s="57"/>
      <c r="K2278" s="57"/>
      <c r="L2278" s="84"/>
    </row>
    <row r="2279">
      <c r="A2279" s="32" t="s">
        <v>5985</v>
      </c>
      <c r="B2279" s="32" t="s">
        <v>5986</v>
      </c>
      <c r="C2279" s="33">
        <v>45961.0</v>
      </c>
      <c r="D2279" s="47" t="s">
        <v>22</v>
      </c>
      <c r="E2279" s="32" t="s">
        <v>707</v>
      </c>
      <c r="F2279" s="34" t="s">
        <v>24</v>
      </c>
      <c r="G2279" s="34" t="s">
        <v>5987</v>
      </c>
      <c r="H2279" s="35" t="s">
        <v>26</v>
      </c>
      <c r="I2279" s="36" t="str">
        <f>HYPERLINK("https://open.spotify.com/album/6TgZ5Vb4eYSkMyHFava7p9", "S")</f>
        <v>S</v>
      </c>
      <c r="J2279" s="57"/>
      <c r="K2279" s="57"/>
      <c r="L2279" s="84"/>
    </row>
    <row r="2280">
      <c r="A2280" s="32" t="s">
        <v>5988</v>
      </c>
      <c r="B2280" s="32" t="s">
        <v>5989</v>
      </c>
      <c r="C2280" s="33">
        <v>45961.0</v>
      </c>
      <c r="D2280" s="47" t="s">
        <v>22</v>
      </c>
      <c r="E2280" s="32" t="s">
        <v>61</v>
      </c>
      <c r="F2280" s="34" t="s">
        <v>24</v>
      </c>
      <c r="G2280" s="34" t="s">
        <v>169</v>
      </c>
      <c r="H2280" s="35" t="s">
        <v>26</v>
      </c>
      <c r="I2280" s="36" t="str">
        <f>HYPERLINK("https://open.spotify.com/album/36mnPR4yzZZ8i4hTSGYCOG", "S")</f>
        <v>S</v>
      </c>
      <c r="J2280" s="57"/>
      <c r="K2280" s="57"/>
      <c r="L2280" s="84"/>
    </row>
    <row r="2281">
      <c r="A2281" s="32" t="s">
        <v>5990</v>
      </c>
      <c r="B2281" s="32" t="s">
        <v>5990</v>
      </c>
      <c r="C2281" s="33">
        <v>45961.0</v>
      </c>
      <c r="D2281" s="47" t="s">
        <v>22</v>
      </c>
      <c r="E2281" s="32" t="s">
        <v>5991</v>
      </c>
      <c r="F2281" s="34" t="s">
        <v>24</v>
      </c>
      <c r="G2281" s="34" t="s">
        <v>177</v>
      </c>
      <c r="H2281" s="96" t="s">
        <v>26</v>
      </c>
      <c r="I2281" s="36" t="str">
        <f>HYPERLINK("https://open.spotify.com/album/6iCWrptPN8oyDL9XEK00v0", "S")</f>
        <v>S</v>
      </c>
      <c r="J2281" s="35" t="s">
        <v>100</v>
      </c>
      <c r="K2281" s="57"/>
      <c r="L2281" s="84"/>
    </row>
    <row r="2282">
      <c r="A2282" s="32" t="s">
        <v>5992</v>
      </c>
      <c r="B2282" s="32" t="s">
        <v>5993</v>
      </c>
      <c r="C2282" s="33">
        <v>45961.0</v>
      </c>
      <c r="D2282" s="34" t="s">
        <v>22</v>
      </c>
      <c r="E2282" s="32" t="s">
        <v>355</v>
      </c>
      <c r="F2282" s="34" t="s">
        <v>24</v>
      </c>
      <c r="G2282" s="34" t="s">
        <v>41</v>
      </c>
      <c r="H2282" s="35" t="s">
        <v>26</v>
      </c>
      <c r="I2282" s="36" t="str">
        <f>HYPERLINK("https://open.spotify.com/album/0HWpRPqrcdpNGVNnRucDWz", "S")</f>
        <v>S</v>
      </c>
      <c r="J2282" s="35" t="s">
        <v>100</v>
      </c>
      <c r="K2282" s="57"/>
      <c r="L2282" s="84"/>
    </row>
    <row r="2283">
      <c r="A2283" s="32" t="s">
        <v>5994</v>
      </c>
      <c r="B2283" s="32" t="s">
        <v>5995</v>
      </c>
      <c r="C2283" s="33">
        <v>45961.0</v>
      </c>
      <c r="D2283" s="34" t="s">
        <v>22</v>
      </c>
      <c r="E2283" s="32" t="s">
        <v>5996</v>
      </c>
      <c r="F2283" s="34" t="s">
        <v>53</v>
      </c>
      <c r="G2283" s="34" t="s">
        <v>2423</v>
      </c>
      <c r="H2283" s="35" t="s">
        <v>26</v>
      </c>
      <c r="I2283" s="36" t="str">
        <f>HYPERLINK("https://open.spotify.com/album/41M9t0fvyscLDrFWMhcq8M", "S")</f>
        <v>S</v>
      </c>
      <c r="J2283" s="57"/>
      <c r="K2283" s="57"/>
      <c r="L2283" s="84"/>
    </row>
    <row r="2284">
      <c r="A2284" s="32" t="s">
        <v>5997</v>
      </c>
      <c r="B2284" s="32" t="s">
        <v>5998</v>
      </c>
      <c r="C2284" s="33">
        <v>45961.0</v>
      </c>
      <c r="D2284" s="47" t="s">
        <v>22</v>
      </c>
      <c r="E2284" s="32" t="s">
        <v>637</v>
      </c>
      <c r="F2284" s="34" t="s">
        <v>156</v>
      </c>
      <c r="G2284" s="34" t="s">
        <v>5288</v>
      </c>
      <c r="H2284" s="35" t="s">
        <v>26</v>
      </c>
      <c r="I2284" s="36" t="str">
        <f>HYPERLINK("https://open.spotify.com/album/0K498ArCrU75tMlSetxMqY", "S")</f>
        <v>S</v>
      </c>
      <c r="J2284" s="57"/>
      <c r="K2284" s="57"/>
      <c r="L2284" s="84"/>
    </row>
    <row r="2285">
      <c r="A2285" s="32" t="s">
        <v>5999</v>
      </c>
      <c r="B2285" s="32" t="s">
        <v>6000</v>
      </c>
      <c r="C2285" s="33">
        <v>45961.0</v>
      </c>
      <c r="D2285" s="34" t="s">
        <v>22</v>
      </c>
      <c r="E2285" s="32" t="s">
        <v>4034</v>
      </c>
      <c r="F2285" s="34" t="s">
        <v>156</v>
      </c>
      <c r="G2285" s="34" t="s">
        <v>6001</v>
      </c>
      <c r="H2285" s="35" t="s">
        <v>26</v>
      </c>
      <c r="I2285" s="36" t="str">
        <f>HYPERLINK("https://open.spotify.com/album/7bdhEWYrI4o5rI0Z2iBZhS", "S")</f>
        <v>S</v>
      </c>
      <c r="J2285" s="57"/>
      <c r="K2285" s="57"/>
      <c r="L2285" s="84"/>
    </row>
    <row r="2286">
      <c r="A2286" s="32" t="s">
        <v>6002</v>
      </c>
      <c r="B2286" s="32" t="s">
        <v>6003</v>
      </c>
      <c r="C2286" s="33">
        <v>45961.0</v>
      </c>
      <c r="D2286" s="34" t="s">
        <v>22</v>
      </c>
      <c r="E2286" s="32" t="s">
        <v>6004</v>
      </c>
      <c r="F2286" s="34" t="s">
        <v>53</v>
      </c>
      <c r="G2286" s="34" t="s">
        <v>6005</v>
      </c>
      <c r="H2286" s="66"/>
      <c r="I2286" s="36" t="str">
        <f>HYPERLINK("https://open.spotify.com/album/5ivEBwf8tdyDo81mw0lutY", "S")</f>
        <v>S</v>
      </c>
      <c r="J2286" s="57"/>
      <c r="K2286" s="57"/>
      <c r="L2286" s="84"/>
    </row>
    <row r="2287">
      <c r="A2287" s="32" t="s">
        <v>6006</v>
      </c>
      <c r="B2287" s="32" t="s">
        <v>6007</v>
      </c>
      <c r="C2287" s="33">
        <v>45961.0</v>
      </c>
      <c r="D2287" s="34" t="s">
        <v>22</v>
      </c>
      <c r="E2287" s="32" t="s">
        <v>331</v>
      </c>
      <c r="F2287" s="34" t="s">
        <v>156</v>
      </c>
      <c r="G2287" s="34" t="s">
        <v>1261</v>
      </c>
      <c r="H2287" s="35" t="s">
        <v>26</v>
      </c>
      <c r="I2287" s="36" t="str">
        <f>HYPERLINK("https://open.spotify.com/album/0abzxMU3XvrNsnJVbvMkAB", "S")</f>
        <v>S</v>
      </c>
      <c r="J2287" s="57"/>
      <c r="K2287" s="57"/>
      <c r="L2287" s="84"/>
    </row>
    <row r="2288">
      <c r="A2288" s="32" t="s">
        <v>6008</v>
      </c>
      <c r="B2288" s="32" t="s">
        <v>6009</v>
      </c>
      <c r="C2288" s="33">
        <v>45961.0</v>
      </c>
      <c r="D2288" s="34" t="s">
        <v>22</v>
      </c>
      <c r="E2288" s="32" t="s">
        <v>374</v>
      </c>
      <c r="F2288" s="34" t="s">
        <v>24</v>
      </c>
      <c r="G2288" s="34" t="s">
        <v>6010</v>
      </c>
      <c r="H2288" s="66"/>
      <c r="I2288" s="36" t="str">
        <f>HYPERLINK("https://open.spotify.com/album/6KvNcVOEctzED15y3DUHGT", "S")</f>
        <v>S</v>
      </c>
      <c r="J2288" s="57"/>
      <c r="K2288" s="57"/>
      <c r="L2288" s="84"/>
    </row>
    <row r="2289">
      <c r="A2289" s="32" t="s">
        <v>6011</v>
      </c>
      <c r="B2289" s="32" t="s">
        <v>6012</v>
      </c>
      <c r="C2289" s="33">
        <v>45961.0</v>
      </c>
      <c r="D2289" s="47" t="s">
        <v>22</v>
      </c>
      <c r="E2289" s="32" t="s">
        <v>6013</v>
      </c>
      <c r="F2289" s="34" t="s">
        <v>156</v>
      </c>
      <c r="G2289" s="34" t="s">
        <v>2915</v>
      </c>
      <c r="H2289" s="35" t="s">
        <v>26</v>
      </c>
      <c r="I2289" s="36" t="str">
        <f>HYPERLINK("https://open.spotify.com/album/5QNMmNjllpebJu8MBKXcKf", "S")</f>
        <v>S</v>
      </c>
      <c r="J2289" s="57"/>
      <c r="K2289" s="57"/>
      <c r="L2289" s="84"/>
    </row>
    <row r="2290">
      <c r="A2290" s="32" t="s">
        <v>6014</v>
      </c>
      <c r="B2290" s="32" t="s">
        <v>6015</v>
      </c>
      <c r="C2290" s="33">
        <v>45961.0</v>
      </c>
      <c r="D2290" s="34" t="s">
        <v>22</v>
      </c>
      <c r="E2290" s="32" t="s">
        <v>1525</v>
      </c>
      <c r="F2290" s="34" t="s">
        <v>24</v>
      </c>
      <c r="G2290" s="34" t="s">
        <v>202</v>
      </c>
      <c r="H2290" s="35" t="s">
        <v>26</v>
      </c>
      <c r="I2290" s="36" t="str">
        <f>HYPERLINK("https://open.spotify.com/album/41sjFFMZLM3L6IGElg9dqk", "S")</f>
        <v>S</v>
      </c>
      <c r="J2290" s="35" t="s">
        <v>100</v>
      </c>
      <c r="K2290" s="57"/>
      <c r="L2290" s="84"/>
    </row>
    <row r="2291">
      <c r="A2291" s="32" t="s">
        <v>6016</v>
      </c>
      <c r="B2291" s="32" t="s">
        <v>6017</v>
      </c>
      <c r="C2291" s="33">
        <v>45961.0</v>
      </c>
      <c r="D2291" s="34" t="s">
        <v>22</v>
      </c>
      <c r="E2291" s="32" t="s">
        <v>6018</v>
      </c>
      <c r="F2291" s="34" t="s">
        <v>53</v>
      </c>
      <c r="G2291" s="34" t="s">
        <v>202</v>
      </c>
      <c r="H2291" s="35" t="s">
        <v>26</v>
      </c>
      <c r="I2291" s="36" t="str">
        <f>HYPERLINK("https://open.spotify.com/album/7DWb4DYC91Xxaf0ZFo6MHs", "S")</f>
        <v>S</v>
      </c>
      <c r="J2291" s="57"/>
      <c r="K2291" s="57"/>
      <c r="L2291" s="84"/>
    </row>
    <row r="2292">
      <c r="A2292" s="32" t="s">
        <v>6019</v>
      </c>
      <c r="B2292" s="32" t="s">
        <v>6020</v>
      </c>
      <c r="C2292" s="33">
        <v>45961.0</v>
      </c>
      <c r="D2292" s="34" t="s">
        <v>22</v>
      </c>
      <c r="E2292" s="32" t="s">
        <v>355</v>
      </c>
      <c r="F2292" s="34" t="s">
        <v>24</v>
      </c>
      <c r="G2292" s="34" t="s">
        <v>199</v>
      </c>
      <c r="H2292" s="35" t="s">
        <v>26</v>
      </c>
      <c r="I2292" s="36" t="str">
        <f>HYPERLINK("https://open.spotify.com/album/4OGb2x5Xr9eZCTRFvMwHR3", "S")</f>
        <v>S</v>
      </c>
      <c r="J2292" s="35" t="s">
        <v>100</v>
      </c>
      <c r="K2292" s="57"/>
      <c r="L2292" s="84"/>
    </row>
    <row r="2293">
      <c r="A2293" s="32" t="s">
        <v>6021</v>
      </c>
      <c r="B2293" s="32" t="s">
        <v>6021</v>
      </c>
      <c r="C2293" s="33">
        <v>45961.0</v>
      </c>
      <c r="D2293" s="47" t="s">
        <v>22</v>
      </c>
      <c r="E2293" s="32" t="s">
        <v>6022</v>
      </c>
      <c r="F2293" s="34" t="s">
        <v>156</v>
      </c>
      <c r="G2293" s="34" t="s">
        <v>257</v>
      </c>
      <c r="H2293" s="35" t="s">
        <v>26</v>
      </c>
      <c r="I2293" s="36" t="str">
        <f>HYPERLINK("https://open.spotify.com/album/01CoVlCtiviXbIWE0Oayc9", "S")</f>
        <v>S</v>
      </c>
      <c r="J2293" s="57"/>
      <c r="K2293" s="57"/>
      <c r="L2293" s="84"/>
    </row>
    <row r="2294">
      <c r="A2294" s="32" t="s">
        <v>6023</v>
      </c>
      <c r="B2294" s="32" t="s">
        <v>6024</v>
      </c>
      <c r="C2294" s="33">
        <v>45961.0</v>
      </c>
      <c r="D2294" s="34" t="s">
        <v>22</v>
      </c>
      <c r="E2294" s="32" t="s">
        <v>6025</v>
      </c>
      <c r="F2294" s="34" t="s">
        <v>156</v>
      </c>
      <c r="G2294" s="34" t="s">
        <v>225</v>
      </c>
      <c r="H2294" s="35" t="s">
        <v>26</v>
      </c>
      <c r="I2294" s="36" t="str">
        <f>HYPERLINK("https://open.spotify.com/album/4gBrD2hc3zcpIj87xmtvSy", "S")</f>
        <v>S</v>
      </c>
      <c r="J2294" s="57"/>
      <c r="K2294" s="57"/>
      <c r="L2294" s="84"/>
    </row>
    <row r="2295">
      <c r="A2295" s="32" t="s">
        <v>6026</v>
      </c>
      <c r="B2295" s="32" t="s">
        <v>6027</v>
      </c>
      <c r="C2295" s="33">
        <v>45961.0</v>
      </c>
      <c r="D2295" s="34" t="s">
        <v>22</v>
      </c>
      <c r="E2295" s="32" t="s">
        <v>355</v>
      </c>
      <c r="F2295" s="34" t="s">
        <v>24</v>
      </c>
      <c r="G2295" s="34" t="s">
        <v>5788</v>
      </c>
      <c r="H2295" s="35" t="s">
        <v>26</v>
      </c>
      <c r="I2295" s="36" t="str">
        <f>HYPERLINK("https://open.spotify.com/album/2QJCatyOHL5L64XseRBfZe", "S")</f>
        <v>S</v>
      </c>
      <c r="J2295" s="35" t="s">
        <v>100</v>
      </c>
      <c r="K2295" s="57"/>
      <c r="L2295" s="84"/>
    </row>
    <row r="2296">
      <c r="A2296" s="32" t="s">
        <v>6028</v>
      </c>
      <c r="B2296" s="32" t="s">
        <v>6029</v>
      </c>
      <c r="C2296" s="33">
        <v>45961.0</v>
      </c>
      <c r="D2296" s="47" t="s">
        <v>22</v>
      </c>
      <c r="E2296" s="32" t="s">
        <v>61</v>
      </c>
      <c r="F2296" s="34" t="s">
        <v>24</v>
      </c>
      <c r="G2296" s="34" t="s">
        <v>923</v>
      </c>
      <c r="H2296" s="35" t="s">
        <v>26</v>
      </c>
      <c r="I2296" s="104"/>
      <c r="J2296" s="57"/>
      <c r="K2296" s="57"/>
      <c r="L2296" s="84"/>
    </row>
    <row r="2297">
      <c r="A2297" s="32" t="s">
        <v>6030</v>
      </c>
      <c r="B2297" s="32" t="s">
        <v>6031</v>
      </c>
      <c r="C2297" s="33">
        <v>45961.0</v>
      </c>
      <c r="D2297" s="34" t="s">
        <v>22</v>
      </c>
      <c r="E2297" s="32" t="s">
        <v>98</v>
      </c>
      <c r="F2297" s="34" t="s">
        <v>24</v>
      </c>
      <c r="G2297" s="34" t="s">
        <v>213</v>
      </c>
      <c r="H2297" s="66"/>
      <c r="I2297" s="36" t="str">
        <f>HYPERLINK("https://open.spotify.com/album/2TB7IBN58MFdWvCySzARro", "S")</f>
        <v>S</v>
      </c>
      <c r="J2297" s="57"/>
      <c r="K2297" s="57"/>
      <c r="L2297" s="84"/>
    </row>
    <row r="2298">
      <c r="A2298" s="32" t="s">
        <v>6032</v>
      </c>
      <c r="B2298" s="32" t="s">
        <v>6033</v>
      </c>
      <c r="C2298" s="33">
        <v>45961.0</v>
      </c>
      <c r="D2298" s="34" t="s">
        <v>22</v>
      </c>
      <c r="E2298" s="32" t="s">
        <v>252</v>
      </c>
      <c r="F2298" s="34" t="s">
        <v>53</v>
      </c>
      <c r="G2298" s="34" t="s">
        <v>442</v>
      </c>
      <c r="H2298" s="35" t="s">
        <v>26</v>
      </c>
      <c r="I2298" s="36" t="str">
        <f>HYPERLINK("https://open.spotify.com/album/24CyuKpuO6Zby46F34S4eQ", "S")</f>
        <v>S</v>
      </c>
      <c r="J2298" s="57"/>
      <c r="K2298" s="57"/>
      <c r="L2298" s="84"/>
    </row>
    <row r="2299">
      <c r="A2299" s="32" t="s">
        <v>6034</v>
      </c>
      <c r="B2299" s="32" t="s">
        <v>6035</v>
      </c>
      <c r="C2299" s="33">
        <v>45961.0</v>
      </c>
      <c r="D2299" s="34" t="s">
        <v>22</v>
      </c>
      <c r="E2299" s="32" t="s">
        <v>5424</v>
      </c>
      <c r="F2299" s="34" t="s">
        <v>24</v>
      </c>
      <c r="G2299" s="34" t="s">
        <v>299</v>
      </c>
      <c r="H2299" s="35" t="s">
        <v>26</v>
      </c>
      <c r="I2299" s="36" t="str">
        <f>HYPERLINK("https://open.spotify.com/album/2PBqxfhELYbLJNfWqQlSvu", "S")</f>
        <v>S</v>
      </c>
      <c r="J2299" s="35" t="s">
        <v>100</v>
      </c>
      <c r="K2299" s="57"/>
      <c r="L2299" s="84"/>
    </row>
    <row r="2300">
      <c r="A2300" s="32" t="s">
        <v>6036</v>
      </c>
      <c r="B2300" s="32" t="s">
        <v>6037</v>
      </c>
      <c r="C2300" s="33">
        <v>45961.0</v>
      </c>
      <c r="D2300" s="34" t="s">
        <v>22</v>
      </c>
      <c r="E2300" s="32" t="s">
        <v>61</v>
      </c>
      <c r="F2300" s="34" t="s">
        <v>24</v>
      </c>
      <c r="G2300" s="34" t="s">
        <v>442</v>
      </c>
      <c r="H2300" s="35" t="s">
        <v>26</v>
      </c>
      <c r="I2300" s="104"/>
      <c r="J2300" s="35" t="s">
        <v>100</v>
      </c>
      <c r="K2300" s="57"/>
      <c r="L2300" s="84"/>
    </row>
    <row r="2301">
      <c r="A2301" s="32" t="s">
        <v>6038</v>
      </c>
      <c r="B2301" s="32" t="s">
        <v>6039</v>
      </c>
      <c r="C2301" s="33">
        <v>45961.0</v>
      </c>
      <c r="D2301" s="34" t="s">
        <v>22</v>
      </c>
      <c r="E2301" s="32" t="s">
        <v>513</v>
      </c>
      <c r="F2301" s="34" t="s">
        <v>156</v>
      </c>
      <c r="G2301" s="34" t="s">
        <v>629</v>
      </c>
      <c r="H2301" s="35" t="s">
        <v>26</v>
      </c>
      <c r="I2301" s="36" t="str">
        <f>HYPERLINK("https://open.spotify.com/album/4Wi7t4ANd12RohPRwvriCL", "S")</f>
        <v>S</v>
      </c>
      <c r="J2301" s="57"/>
      <c r="K2301" s="57"/>
      <c r="L2301" s="84"/>
    </row>
    <row r="2302">
      <c r="A2302" s="32" t="s">
        <v>6040</v>
      </c>
      <c r="B2302" s="32" t="s">
        <v>6041</v>
      </c>
      <c r="C2302" s="33">
        <v>45961.0</v>
      </c>
      <c r="D2302" s="34" t="s">
        <v>22</v>
      </c>
      <c r="E2302" s="32" t="s">
        <v>61</v>
      </c>
      <c r="F2302" s="34" t="s">
        <v>24</v>
      </c>
      <c r="G2302" s="34" t="s">
        <v>6042</v>
      </c>
      <c r="H2302" s="35" t="s">
        <v>26</v>
      </c>
      <c r="I2302" s="104"/>
      <c r="J2302" s="57"/>
      <c r="K2302" s="57"/>
      <c r="L2302" s="84"/>
    </row>
    <row r="2303">
      <c r="A2303" s="32" t="s">
        <v>6043</v>
      </c>
      <c r="B2303" s="32" t="s">
        <v>6044</v>
      </c>
      <c r="C2303" s="33">
        <v>45961.0</v>
      </c>
      <c r="D2303" s="34" t="s">
        <v>22</v>
      </c>
      <c r="E2303" s="32" t="s">
        <v>2338</v>
      </c>
      <c r="F2303" s="34" t="s">
        <v>24</v>
      </c>
      <c r="G2303" s="34" t="s">
        <v>6045</v>
      </c>
      <c r="H2303" s="35" t="s">
        <v>26</v>
      </c>
      <c r="I2303" s="104"/>
      <c r="J2303" s="35" t="s">
        <v>100</v>
      </c>
      <c r="K2303" s="57"/>
      <c r="L2303" s="84"/>
    </row>
    <row r="2304">
      <c r="A2304" s="32" t="s">
        <v>6046</v>
      </c>
      <c r="B2304" s="32" t="s">
        <v>6047</v>
      </c>
      <c r="C2304" s="33">
        <v>45961.0</v>
      </c>
      <c r="D2304" s="47" t="s">
        <v>22</v>
      </c>
      <c r="E2304" s="32" t="s">
        <v>73</v>
      </c>
      <c r="F2304" s="34" t="s">
        <v>24</v>
      </c>
      <c r="G2304" s="34" t="s">
        <v>41</v>
      </c>
      <c r="H2304" s="35" t="s">
        <v>26</v>
      </c>
      <c r="I2304" s="104"/>
      <c r="J2304" s="57"/>
      <c r="K2304" s="57"/>
      <c r="L2304" s="84"/>
    </row>
    <row r="2305">
      <c r="A2305" s="32" t="s">
        <v>6048</v>
      </c>
      <c r="B2305" s="32" t="s">
        <v>6049</v>
      </c>
      <c r="C2305" s="33">
        <v>45961.0</v>
      </c>
      <c r="D2305" s="34" t="s">
        <v>39</v>
      </c>
      <c r="E2305" s="32" t="s">
        <v>160</v>
      </c>
      <c r="F2305" s="34" t="s">
        <v>24</v>
      </c>
      <c r="G2305" s="34" t="s">
        <v>1808</v>
      </c>
      <c r="H2305" s="35" t="s">
        <v>26</v>
      </c>
      <c r="I2305" s="36" t="str">
        <f>HYPERLINK("https://open.spotify.com/album/4CWeeq34bXEvZzJnSHAbOB", "S")</f>
        <v>S</v>
      </c>
      <c r="J2305" s="35" t="s">
        <v>100</v>
      </c>
      <c r="K2305" s="57"/>
      <c r="L2305" s="84"/>
    </row>
    <row r="2306">
      <c r="A2306" s="32" t="s">
        <v>6050</v>
      </c>
      <c r="B2306" s="32" t="s">
        <v>6051</v>
      </c>
      <c r="C2306" s="33">
        <v>45961.0</v>
      </c>
      <c r="D2306" s="34" t="s">
        <v>22</v>
      </c>
      <c r="E2306" s="32" t="s">
        <v>95</v>
      </c>
      <c r="F2306" s="34" t="s">
        <v>24</v>
      </c>
      <c r="G2306" s="34" t="s">
        <v>4906</v>
      </c>
      <c r="H2306" s="35" t="s">
        <v>26</v>
      </c>
      <c r="I2306" s="36" t="str">
        <f>HYPERLINK("https://open.spotify.com/album/4r6nPsDLHcDzpNibTn3kpZ", "S")</f>
        <v>S</v>
      </c>
      <c r="J2306" s="57"/>
      <c r="K2306" s="57"/>
      <c r="L2306" s="84"/>
    </row>
    <row r="2307">
      <c r="A2307" s="32" t="s">
        <v>6052</v>
      </c>
      <c r="B2307" s="32" t="s">
        <v>6053</v>
      </c>
      <c r="C2307" s="33">
        <v>45961.0</v>
      </c>
      <c r="D2307" s="34" t="s">
        <v>22</v>
      </c>
      <c r="E2307" s="32" t="s">
        <v>84</v>
      </c>
      <c r="F2307" s="34" t="s">
        <v>53</v>
      </c>
      <c r="G2307" s="34" t="s">
        <v>169</v>
      </c>
      <c r="H2307" s="35" t="s">
        <v>26</v>
      </c>
      <c r="I2307" s="36" t="str">
        <f>HYPERLINK("https://open.spotify.com/album/17kg9VfgJWa3rTfqxRXhaB", "S")</f>
        <v>S</v>
      </c>
      <c r="J2307" s="57"/>
      <c r="K2307" s="57"/>
      <c r="L2307" s="84"/>
    </row>
    <row r="2308">
      <c r="A2308" s="32" t="s">
        <v>6054</v>
      </c>
      <c r="B2308" s="32" t="s">
        <v>6055</v>
      </c>
      <c r="C2308" s="33">
        <v>45961.0</v>
      </c>
      <c r="D2308" s="34" t="s">
        <v>22</v>
      </c>
      <c r="E2308" s="32" t="s">
        <v>1519</v>
      </c>
      <c r="F2308" s="34" t="s">
        <v>24</v>
      </c>
      <c r="G2308" s="34" t="s">
        <v>62</v>
      </c>
      <c r="H2308" s="35" t="s">
        <v>26</v>
      </c>
      <c r="I2308" s="36" t="str">
        <f>HYPERLINK("https://open.spotify.com/album/6JLjEqQzgoBzPyacsE9deh", "S")</f>
        <v>S</v>
      </c>
      <c r="J2308" s="57"/>
      <c r="K2308" s="57"/>
      <c r="L2308" s="84"/>
    </row>
    <row r="2309">
      <c r="A2309" s="32" t="s">
        <v>6056</v>
      </c>
      <c r="B2309" s="32" t="s">
        <v>6057</v>
      </c>
      <c r="C2309" s="33">
        <v>45961.0</v>
      </c>
      <c r="D2309" s="34" t="s">
        <v>22</v>
      </c>
      <c r="E2309" s="32" t="s">
        <v>6058</v>
      </c>
      <c r="F2309" s="34" t="s">
        <v>24</v>
      </c>
      <c r="G2309" s="34" t="s">
        <v>6059</v>
      </c>
      <c r="H2309" s="35" t="s">
        <v>26</v>
      </c>
      <c r="I2309" s="36" t="str">
        <f>HYPERLINK("https://open.spotify.com/album/2F4ghd19BiTO6y1dJWXjac", "S")</f>
        <v>S</v>
      </c>
      <c r="J2309" s="57"/>
      <c r="K2309" s="57"/>
      <c r="L2309" s="84"/>
    </row>
    <row r="2310">
      <c r="A2310" s="32" t="s">
        <v>6060</v>
      </c>
      <c r="B2310" s="32" t="s">
        <v>6061</v>
      </c>
      <c r="C2310" s="33">
        <v>45961.0</v>
      </c>
      <c r="D2310" s="34" t="s">
        <v>22</v>
      </c>
      <c r="E2310" s="32" t="s">
        <v>73</v>
      </c>
      <c r="F2310" s="34" t="s">
        <v>24</v>
      </c>
      <c r="G2310" s="34" t="s">
        <v>2081</v>
      </c>
      <c r="H2310" s="35" t="s">
        <v>26</v>
      </c>
      <c r="I2310" s="36" t="str">
        <f>HYPERLINK("https://open.spotify.com/album/6OOl3Oj0V996GgxEBnPO3n", "S")</f>
        <v>S</v>
      </c>
      <c r="J2310" s="57"/>
      <c r="K2310" s="57"/>
      <c r="L2310" s="84"/>
    </row>
    <row r="2311">
      <c r="A2311" s="32" t="s">
        <v>6062</v>
      </c>
      <c r="B2311" s="32" t="s">
        <v>6063</v>
      </c>
      <c r="C2311" s="33">
        <v>45961.0</v>
      </c>
      <c r="D2311" s="34" t="s">
        <v>22</v>
      </c>
      <c r="E2311" s="32" t="s">
        <v>2056</v>
      </c>
      <c r="F2311" s="34" t="s">
        <v>24</v>
      </c>
      <c r="G2311" s="34" t="s">
        <v>510</v>
      </c>
      <c r="H2311" s="35" t="s">
        <v>26</v>
      </c>
      <c r="I2311" s="104"/>
      <c r="J2311" s="57"/>
      <c r="K2311" s="57"/>
      <c r="L2311" s="84"/>
    </row>
    <row r="2312">
      <c r="A2312" s="32" t="s">
        <v>6064</v>
      </c>
      <c r="B2312" s="32" t="s">
        <v>6065</v>
      </c>
      <c r="C2312" s="33">
        <v>45961.0</v>
      </c>
      <c r="D2312" s="47" t="s">
        <v>22</v>
      </c>
      <c r="E2312" s="32" t="s">
        <v>1580</v>
      </c>
      <c r="F2312" s="34" t="s">
        <v>24</v>
      </c>
      <c r="G2312" s="34" t="s">
        <v>352</v>
      </c>
      <c r="H2312" s="35" t="s">
        <v>26</v>
      </c>
      <c r="I2312" s="104"/>
      <c r="J2312" s="57"/>
      <c r="K2312" s="57"/>
      <c r="L2312" s="84"/>
    </row>
    <row r="2313">
      <c r="A2313" s="32" t="s">
        <v>6066</v>
      </c>
      <c r="B2313" s="32" t="s">
        <v>3660</v>
      </c>
      <c r="C2313" s="33">
        <v>45961.0</v>
      </c>
      <c r="D2313" s="34" t="s">
        <v>22</v>
      </c>
      <c r="E2313" s="32" t="s">
        <v>6067</v>
      </c>
      <c r="F2313" s="34" t="s">
        <v>53</v>
      </c>
      <c r="G2313" s="34" t="s">
        <v>6068</v>
      </c>
      <c r="H2313" s="66"/>
      <c r="I2313" s="36" t="str">
        <f>HYPERLINK("https://open.spotify.com/album/7dKrT8ADEeKVT6XwNk8xQd", "S")</f>
        <v>S</v>
      </c>
      <c r="J2313" s="57"/>
      <c r="K2313" s="57"/>
      <c r="L2313" s="84"/>
    </row>
    <row r="2314">
      <c r="A2314" s="32" t="s">
        <v>6069</v>
      </c>
      <c r="B2314" s="32" t="s">
        <v>6070</v>
      </c>
      <c r="C2314" s="33">
        <v>45961.0</v>
      </c>
      <c r="D2314" s="34" t="s">
        <v>22</v>
      </c>
      <c r="E2314" s="32" t="s">
        <v>3029</v>
      </c>
      <c r="F2314" s="34" t="s">
        <v>156</v>
      </c>
      <c r="G2314" s="34" t="s">
        <v>199</v>
      </c>
      <c r="H2314" s="35" t="s">
        <v>26</v>
      </c>
      <c r="I2314" s="36" t="str">
        <f>HYPERLINK("https://open.spotify.com/album/1YklFwv2B82Y9v8ZAlGiQ0", "S")</f>
        <v>S</v>
      </c>
      <c r="J2314" s="57"/>
      <c r="K2314" s="57"/>
      <c r="L2314" s="84"/>
    </row>
    <row r="2315">
      <c r="A2315" s="32" t="s">
        <v>6071</v>
      </c>
      <c r="B2315" s="32" t="s">
        <v>6072</v>
      </c>
      <c r="C2315" s="33">
        <v>45961.0</v>
      </c>
      <c r="D2315" s="34" t="s">
        <v>39</v>
      </c>
      <c r="E2315" s="32" t="s">
        <v>61</v>
      </c>
      <c r="F2315" s="34" t="s">
        <v>24</v>
      </c>
      <c r="G2315" s="34" t="s">
        <v>1392</v>
      </c>
      <c r="H2315" s="35" t="s">
        <v>26</v>
      </c>
      <c r="I2315" s="36" t="str">
        <f>HYPERLINK("https://open.spotify.com/album/1asabU2kR7F6mQkt2igN1X", "S")</f>
        <v>S</v>
      </c>
      <c r="J2315" s="57"/>
      <c r="K2315" s="57"/>
      <c r="L2315" s="84"/>
    </row>
    <row r="2316">
      <c r="A2316" s="32" t="s">
        <v>6073</v>
      </c>
      <c r="B2316" s="32" t="s">
        <v>6074</v>
      </c>
      <c r="C2316" s="33">
        <v>45961.0</v>
      </c>
      <c r="D2316" s="34" t="s">
        <v>22</v>
      </c>
      <c r="E2316" s="32" t="s">
        <v>263</v>
      </c>
      <c r="F2316" s="34" t="s">
        <v>31</v>
      </c>
      <c r="G2316" s="34" t="s">
        <v>454</v>
      </c>
      <c r="H2316" s="35" t="s">
        <v>26</v>
      </c>
      <c r="I2316" s="36" t="str">
        <f>HYPERLINK("https://open.spotify.com/album/3aTBJgbmqL9gcjDVjreDCS", "S")</f>
        <v>S</v>
      </c>
      <c r="J2316" s="57"/>
      <c r="K2316" s="57"/>
      <c r="L2316" s="84"/>
    </row>
    <row r="2317">
      <c r="A2317" s="32" t="s">
        <v>6075</v>
      </c>
      <c r="B2317" s="32" t="s">
        <v>6076</v>
      </c>
      <c r="C2317" s="33">
        <v>45961.0</v>
      </c>
      <c r="D2317" s="34" t="s">
        <v>22</v>
      </c>
      <c r="E2317" s="32" t="s">
        <v>745</v>
      </c>
      <c r="F2317" s="34" t="s">
        <v>53</v>
      </c>
      <c r="G2317" s="34" t="s">
        <v>199</v>
      </c>
      <c r="H2317" s="35" t="s">
        <v>26</v>
      </c>
      <c r="I2317" s="104"/>
      <c r="J2317" s="57"/>
      <c r="K2317" s="57"/>
      <c r="L2317" s="84"/>
    </row>
    <row r="2318">
      <c r="A2318" s="32" t="s">
        <v>6077</v>
      </c>
      <c r="B2318" s="32" t="s">
        <v>6078</v>
      </c>
      <c r="C2318" s="33">
        <v>45961.0</v>
      </c>
      <c r="D2318" s="34" t="s">
        <v>22</v>
      </c>
      <c r="E2318" s="32" t="s">
        <v>321</v>
      </c>
      <c r="F2318" s="34" t="s">
        <v>156</v>
      </c>
      <c r="G2318" s="34" t="s">
        <v>4428</v>
      </c>
      <c r="H2318" s="35" t="s">
        <v>26</v>
      </c>
      <c r="I2318" s="36" t="str">
        <f>HYPERLINK("https://open.spotify.com/album/3XETPof5cU0QgAPao1Mv7g", "S")</f>
        <v>S</v>
      </c>
      <c r="J2318" s="57"/>
      <c r="K2318" s="57"/>
      <c r="L2318" s="84"/>
    </row>
    <row r="2319">
      <c r="A2319" s="32" t="s">
        <v>6079</v>
      </c>
      <c r="B2319" s="32" t="s">
        <v>6080</v>
      </c>
      <c r="C2319" s="33">
        <v>45961.0</v>
      </c>
      <c r="D2319" s="34" t="s">
        <v>22</v>
      </c>
      <c r="E2319" s="32" t="s">
        <v>61</v>
      </c>
      <c r="F2319" s="34" t="s">
        <v>24</v>
      </c>
      <c r="G2319" s="34" t="s">
        <v>6081</v>
      </c>
      <c r="H2319" s="35" t="s">
        <v>26</v>
      </c>
      <c r="I2319" s="36" t="str">
        <f>HYPERLINK("https://open.spotify.com/album/2K9HQ8syf2FSTyY7OzQYJl", "S")</f>
        <v>S</v>
      </c>
      <c r="J2319" s="57"/>
      <c r="K2319" s="57"/>
      <c r="L2319" s="84"/>
    </row>
    <row r="2320">
      <c r="A2320" s="32" t="s">
        <v>6082</v>
      </c>
      <c r="B2320" s="32" t="s">
        <v>6083</v>
      </c>
      <c r="C2320" s="33">
        <v>45961.0</v>
      </c>
      <c r="D2320" s="47" t="s">
        <v>22</v>
      </c>
      <c r="E2320" s="32" t="s">
        <v>122</v>
      </c>
      <c r="F2320" s="34" t="s">
        <v>156</v>
      </c>
      <c r="G2320" s="34" t="s">
        <v>2670</v>
      </c>
      <c r="H2320" s="35" t="s">
        <v>26</v>
      </c>
      <c r="I2320" s="36" t="str">
        <f>HYPERLINK("https://open.spotify.com/album/0MSZqHo1XZ7paFOnPFrblu", "S")</f>
        <v>S</v>
      </c>
      <c r="J2320" s="57"/>
      <c r="K2320" s="57"/>
      <c r="L2320" s="84"/>
    </row>
    <row r="2321">
      <c r="A2321" s="32" t="s">
        <v>6084</v>
      </c>
      <c r="B2321" s="32" t="s">
        <v>6085</v>
      </c>
      <c r="C2321" s="33">
        <v>45961.0</v>
      </c>
      <c r="D2321" s="34" t="s">
        <v>22</v>
      </c>
      <c r="E2321" s="32" t="s">
        <v>6086</v>
      </c>
      <c r="F2321" s="34" t="s">
        <v>24</v>
      </c>
      <c r="G2321" s="34" t="s">
        <v>6087</v>
      </c>
      <c r="H2321" s="35" t="s">
        <v>26</v>
      </c>
      <c r="I2321" s="104"/>
      <c r="J2321" s="57"/>
      <c r="K2321" s="57"/>
      <c r="L2321" s="84"/>
    </row>
    <row r="2322">
      <c r="A2322" s="32" t="s">
        <v>6088</v>
      </c>
      <c r="B2322" s="32" t="s">
        <v>6089</v>
      </c>
      <c r="C2322" s="33">
        <v>45961.0</v>
      </c>
      <c r="D2322" s="34" t="s">
        <v>22</v>
      </c>
      <c r="E2322" s="32" t="s">
        <v>701</v>
      </c>
      <c r="F2322" s="34" t="s">
        <v>24</v>
      </c>
      <c r="G2322" s="34" t="s">
        <v>460</v>
      </c>
      <c r="H2322" s="35" t="s">
        <v>26</v>
      </c>
      <c r="I2322" s="36" t="str">
        <f>HYPERLINK("https://open.spotify.com/album/0g0F2vbQznhHNZstbH7RDY", "S")</f>
        <v>S</v>
      </c>
      <c r="J2322" s="35" t="s">
        <v>100</v>
      </c>
      <c r="K2322" s="57"/>
      <c r="L2322" s="84"/>
    </row>
    <row r="2323">
      <c r="A2323" s="32" t="s">
        <v>6090</v>
      </c>
      <c r="B2323" s="32" t="s">
        <v>1275</v>
      </c>
      <c r="C2323" s="33">
        <v>45961.0</v>
      </c>
      <c r="D2323" s="47" t="s">
        <v>22</v>
      </c>
      <c r="E2323" s="32" t="s">
        <v>122</v>
      </c>
      <c r="F2323" s="34" t="s">
        <v>156</v>
      </c>
      <c r="G2323" s="34" t="s">
        <v>1201</v>
      </c>
      <c r="H2323" s="66"/>
      <c r="I2323" s="36" t="str">
        <f>HYPERLINK("https://open.spotify.com/album/67BBcc1qhBz5BaVO07NAIF", "S")</f>
        <v>S</v>
      </c>
      <c r="J2323" s="57"/>
      <c r="K2323" s="57"/>
      <c r="L2323" s="84"/>
    </row>
    <row r="2324">
      <c r="A2324" s="32" t="s">
        <v>6091</v>
      </c>
      <c r="B2324" s="32" t="s">
        <v>6092</v>
      </c>
      <c r="C2324" s="33">
        <v>45961.0</v>
      </c>
      <c r="D2324" s="34" t="s">
        <v>22</v>
      </c>
      <c r="E2324" s="32" t="s">
        <v>632</v>
      </c>
      <c r="F2324" s="34" t="s">
        <v>24</v>
      </c>
      <c r="G2324" s="34" t="s">
        <v>3441</v>
      </c>
      <c r="H2324" s="35" t="s">
        <v>26</v>
      </c>
      <c r="I2324" s="104"/>
      <c r="J2324" s="57"/>
      <c r="K2324" s="57"/>
      <c r="L2324" s="84"/>
    </row>
    <row r="2325">
      <c r="A2325" s="32" t="s">
        <v>6093</v>
      </c>
      <c r="B2325" s="32" t="s">
        <v>5969</v>
      </c>
      <c r="C2325" s="33">
        <v>45961.0</v>
      </c>
      <c r="D2325" s="34" t="s">
        <v>22</v>
      </c>
      <c r="E2325" s="32" t="s">
        <v>122</v>
      </c>
      <c r="F2325" s="34" t="s">
        <v>156</v>
      </c>
      <c r="G2325" s="34" t="s">
        <v>221</v>
      </c>
      <c r="H2325" s="35" t="s">
        <v>26</v>
      </c>
      <c r="I2325" s="66"/>
      <c r="J2325" s="57"/>
      <c r="K2325" s="57"/>
      <c r="L2325" s="84"/>
    </row>
    <row r="2326">
      <c r="A2326" s="32" t="s">
        <v>6094</v>
      </c>
      <c r="B2326" s="32" t="s">
        <v>6095</v>
      </c>
      <c r="C2326" s="33">
        <v>45961.0</v>
      </c>
      <c r="D2326" s="34" t="s">
        <v>39</v>
      </c>
      <c r="E2326" s="32" t="s">
        <v>436</v>
      </c>
      <c r="F2326" s="34" t="s">
        <v>24</v>
      </c>
      <c r="G2326" s="34" t="s">
        <v>6096</v>
      </c>
      <c r="H2326" s="35" t="s">
        <v>26</v>
      </c>
      <c r="I2326" s="35" t="s">
        <v>27</v>
      </c>
      <c r="J2326" s="57"/>
      <c r="K2326" s="57"/>
      <c r="L2326" s="84"/>
    </row>
    <row r="2327">
      <c r="A2327" s="32" t="s">
        <v>6097</v>
      </c>
      <c r="B2327" s="32" t="s">
        <v>6098</v>
      </c>
      <c r="C2327" s="33">
        <v>45961.0</v>
      </c>
      <c r="D2327" s="47" t="s">
        <v>22</v>
      </c>
      <c r="E2327" s="32" t="s">
        <v>4787</v>
      </c>
      <c r="F2327" s="34" t="s">
        <v>24</v>
      </c>
      <c r="G2327" s="34" t="s">
        <v>253</v>
      </c>
      <c r="H2327" s="35" t="s">
        <v>26</v>
      </c>
      <c r="I2327" s="66"/>
      <c r="J2327" s="57"/>
      <c r="K2327" s="57"/>
      <c r="L2327" s="84"/>
    </row>
    <row r="2328">
      <c r="A2328" s="32" t="s">
        <v>6099</v>
      </c>
      <c r="B2328" s="32" t="s">
        <v>6100</v>
      </c>
      <c r="C2328" s="33">
        <v>45961.0</v>
      </c>
      <c r="D2328" s="34" t="s">
        <v>22</v>
      </c>
      <c r="E2328" s="32" t="s">
        <v>3263</v>
      </c>
      <c r="F2328" s="34" t="s">
        <v>53</v>
      </c>
      <c r="G2328" s="34" t="s">
        <v>2757</v>
      </c>
      <c r="H2328" s="35" t="s">
        <v>26</v>
      </c>
      <c r="I2328" s="35" t="s">
        <v>27</v>
      </c>
      <c r="J2328" s="57"/>
      <c r="K2328" s="57"/>
      <c r="L2328" s="84"/>
    </row>
    <row r="2329">
      <c r="A2329" s="32" t="s">
        <v>2732</v>
      </c>
      <c r="B2329" s="32" t="s">
        <v>6101</v>
      </c>
      <c r="C2329" s="33">
        <v>45961.0</v>
      </c>
      <c r="D2329" s="34" t="s">
        <v>22</v>
      </c>
      <c r="E2329" s="32" t="s">
        <v>129</v>
      </c>
      <c r="F2329" s="34" t="s">
        <v>24</v>
      </c>
      <c r="G2329" s="34" t="s">
        <v>884</v>
      </c>
      <c r="H2329" s="35" t="s">
        <v>26</v>
      </c>
      <c r="I2329" s="35" t="s">
        <v>27</v>
      </c>
      <c r="J2329" s="57"/>
      <c r="K2329" s="57"/>
      <c r="L2329" s="84"/>
    </row>
    <row r="2330">
      <c r="A2330" s="32" t="s">
        <v>6102</v>
      </c>
      <c r="B2330" s="32" t="s">
        <v>6103</v>
      </c>
      <c r="C2330" s="33">
        <v>45961.0</v>
      </c>
      <c r="D2330" s="34" t="s">
        <v>22</v>
      </c>
      <c r="E2330" s="32" t="s">
        <v>1138</v>
      </c>
      <c r="F2330" s="34" t="s">
        <v>24</v>
      </c>
      <c r="G2330" s="34" t="s">
        <v>6104</v>
      </c>
      <c r="H2330" s="35" t="s">
        <v>26</v>
      </c>
      <c r="I2330" s="35" t="s">
        <v>27</v>
      </c>
      <c r="J2330" s="57"/>
      <c r="K2330" s="57"/>
      <c r="L2330" s="84"/>
    </row>
    <row r="2331">
      <c r="A2331" s="32" t="s">
        <v>6105</v>
      </c>
      <c r="B2331" s="32" t="s">
        <v>6106</v>
      </c>
      <c r="C2331" s="33">
        <v>45961.0</v>
      </c>
      <c r="D2331" s="34" t="s">
        <v>22</v>
      </c>
      <c r="E2331" s="32" t="s">
        <v>122</v>
      </c>
      <c r="F2331" s="34" t="s">
        <v>53</v>
      </c>
      <c r="G2331" s="34" t="s">
        <v>202</v>
      </c>
      <c r="H2331" s="35" t="s">
        <v>26</v>
      </c>
      <c r="I2331" s="35" t="s">
        <v>27</v>
      </c>
      <c r="J2331" s="57"/>
      <c r="K2331" s="57"/>
      <c r="L2331" s="84"/>
    </row>
    <row r="2332">
      <c r="A2332" s="32" t="s">
        <v>6107</v>
      </c>
      <c r="B2332" s="32" t="s">
        <v>6107</v>
      </c>
      <c r="C2332" s="33">
        <v>45962.0</v>
      </c>
      <c r="D2332" s="47" t="s">
        <v>22</v>
      </c>
      <c r="E2332" s="32" t="s">
        <v>6108</v>
      </c>
      <c r="F2332" s="34" t="s">
        <v>156</v>
      </c>
      <c r="G2332" s="34" t="s">
        <v>202</v>
      </c>
      <c r="H2332" s="35" t="s">
        <v>26</v>
      </c>
      <c r="I2332" s="57"/>
      <c r="J2332" s="57"/>
      <c r="K2332" s="57"/>
      <c r="L2332" s="84"/>
    </row>
    <row r="2333">
      <c r="A2333" s="32" t="s">
        <v>2340</v>
      </c>
      <c r="B2333" s="32" t="s">
        <v>6109</v>
      </c>
      <c r="C2333" s="33">
        <v>45962.0</v>
      </c>
      <c r="D2333" s="34" t="s">
        <v>39</v>
      </c>
      <c r="E2333" s="32" t="s">
        <v>355</v>
      </c>
      <c r="F2333" s="34" t="s">
        <v>24</v>
      </c>
      <c r="G2333" s="34" t="s">
        <v>96</v>
      </c>
      <c r="H2333" s="35" t="s">
        <v>26</v>
      </c>
      <c r="I2333" s="57"/>
      <c r="J2333" s="57"/>
      <c r="K2333" s="57"/>
      <c r="L2333" s="84"/>
    </row>
    <row r="2334">
      <c r="A2334" s="32" t="s">
        <v>6110</v>
      </c>
      <c r="B2334" s="32" t="s">
        <v>6111</v>
      </c>
      <c r="C2334" s="33">
        <v>45962.0</v>
      </c>
      <c r="D2334" s="34" t="s">
        <v>22</v>
      </c>
      <c r="E2334" s="32" t="s">
        <v>160</v>
      </c>
      <c r="F2334" s="34" t="s">
        <v>24</v>
      </c>
      <c r="G2334" s="34" t="s">
        <v>342</v>
      </c>
      <c r="H2334" s="35" t="s">
        <v>26</v>
      </c>
      <c r="I2334" s="57"/>
      <c r="J2334" s="57"/>
      <c r="K2334" s="57"/>
      <c r="L2334" s="84"/>
    </row>
    <row r="2335">
      <c r="A2335" s="32" t="s">
        <v>6112</v>
      </c>
      <c r="B2335" s="32" t="s">
        <v>6113</v>
      </c>
      <c r="C2335" s="33">
        <v>45963.0</v>
      </c>
      <c r="D2335" s="47" t="s">
        <v>39</v>
      </c>
      <c r="E2335" s="32" t="s">
        <v>436</v>
      </c>
      <c r="F2335" s="34" t="s">
        <v>31</v>
      </c>
      <c r="G2335" s="34" t="s">
        <v>3417</v>
      </c>
      <c r="H2335" s="35" t="s">
        <v>26</v>
      </c>
      <c r="I2335" s="57"/>
      <c r="J2335" s="57"/>
      <c r="K2335" s="57"/>
      <c r="L2335" s="84"/>
    </row>
    <row r="2336">
      <c r="A2336" s="32" t="s">
        <v>6114</v>
      </c>
      <c r="B2336" s="32" t="s">
        <v>6115</v>
      </c>
      <c r="C2336" s="33">
        <v>45964.0</v>
      </c>
      <c r="D2336" s="47" t="s">
        <v>22</v>
      </c>
      <c r="E2336" s="32" t="s">
        <v>3882</v>
      </c>
      <c r="F2336" s="34" t="s">
        <v>24</v>
      </c>
      <c r="G2336" s="34" t="s">
        <v>221</v>
      </c>
      <c r="H2336" s="35" t="s">
        <v>26</v>
      </c>
      <c r="I2336" s="57"/>
      <c r="J2336" s="57"/>
      <c r="K2336" s="57"/>
      <c r="L2336" s="84"/>
    </row>
    <row r="2337">
      <c r="A2337" s="32" t="s">
        <v>6116</v>
      </c>
      <c r="B2337" s="32" t="s">
        <v>6117</v>
      </c>
      <c r="C2337" s="33">
        <v>45965.0</v>
      </c>
      <c r="D2337" s="34" t="s">
        <v>22</v>
      </c>
      <c r="E2337" s="32" t="s">
        <v>5527</v>
      </c>
      <c r="F2337" s="34" t="s">
        <v>24</v>
      </c>
      <c r="G2337" s="34" t="s">
        <v>939</v>
      </c>
      <c r="H2337" s="35" t="s">
        <v>26</v>
      </c>
      <c r="I2337" s="57"/>
      <c r="J2337" s="57"/>
      <c r="K2337" s="57"/>
      <c r="L2337" s="84"/>
    </row>
    <row r="2338">
      <c r="A2338" s="32" t="s">
        <v>6118</v>
      </c>
      <c r="B2338" s="32" t="s">
        <v>6119</v>
      </c>
      <c r="C2338" s="33">
        <v>45965.0</v>
      </c>
      <c r="D2338" s="34" t="s">
        <v>22</v>
      </c>
      <c r="E2338" s="32" t="s">
        <v>6120</v>
      </c>
      <c r="F2338" s="34" t="s">
        <v>53</v>
      </c>
      <c r="G2338" s="34" t="s">
        <v>169</v>
      </c>
      <c r="H2338" s="35" t="s">
        <v>26</v>
      </c>
      <c r="I2338" s="57"/>
      <c r="J2338" s="57"/>
      <c r="K2338" s="57"/>
      <c r="L2338" s="84"/>
    </row>
    <row r="2339">
      <c r="A2339" s="32" t="s">
        <v>6121</v>
      </c>
      <c r="B2339" s="32" t="s">
        <v>6122</v>
      </c>
      <c r="C2339" s="33">
        <v>45966.0</v>
      </c>
      <c r="D2339" s="34" t="s">
        <v>22</v>
      </c>
      <c r="E2339" s="32" t="s">
        <v>6123</v>
      </c>
      <c r="F2339" s="34" t="s">
        <v>24</v>
      </c>
      <c r="G2339" s="34" t="s">
        <v>202</v>
      </c>
      <c r="H2339" s="35" t="s">
        <v>26</v>
      </c>
      <c r="I2339" s="57"/>
      <c r="J2339" s="57"/>
      <c r="K2339" s="57"/>
      <c r="L2339" s="84"/>
    </row>
    <row r="2340">
      <c r="A2340" s="32" t="s">
        <v>6124</v>
      </c>
      <c r="B2340" s="32" t="s">
        <v>6125</v>
      </c>
      <c r="C2340" s="33">
        <v>45967.0</v>
      </c>
      <c r="D2340" s="34" t="s">
        <v>22</v>
      </c>
      <c r="E2340" s="32" t="s">
        <v>160</v>
      </c>
      <c r="F2340" s="34" t="s">
        <v>24</v>
      </c>
      <c r="G2340" s="34" t="s">
        <v>3501</v>
      </c>
      <c r="H2340" s="35" t="s">
        <v>26</v>
      </c>
      <c r="I2340" s="57"/>
      <c r="J2340" s="57"/>
      <c r="K2340" s="57"/>
      <c r="L2340" s="84"/>
    </row>
    <row r="2341">
      <c r="A2341" s="32" t="s">
        <v>6126</v>
      </c>
      <c r="B2341" s="32" t="s">
        <v>6127</v>
      </c>
      <c r="C2341" s="33">
        <v>45967.0</v>
      </c>
      <c r="D2341" s="47" t="s">
        <v>39</v>
      </c>
      <c r="E2341" s="32" t="s">
        <v>318</v>
      </c>
      <c r="F2341" s="34" t="s">
        <v>24</v>
      </c>
      <c r="G2341" s="34" t="s">
        <v>6128</v>
      </c>
      <c r="H2341" s="35" t="s">
        <v>26</v>
      </c>
      <c r="I2341" s="57"/>
      <c r="J2341" s="57"/>
      <c r="K2341" s="57"/>
      <c r="L2341" s="84"/>
    </row>
    <row r="2342">
      <c r="A2342" s="32" t="s">
        <v>6129</v>
      </c>
      <c r="B2342" s="32" t="s">
        <v>6130</v>
      </c>
      <c r="C2342" s="33">
        <v>45967.0</v>
      </c>
      <c r="D2342" s="47" t="s">
        <v>22</v>
      </c>
      <c r="E2342" s="32" t="s">
        <v>69</v>
      </c>
      <c r="F2342" s="34" t="s">
        <v>24</v>
      </c>
      <c r="G2342" s="34" t="s">
        <v>1845</v>
      </c>
      <c r="H2342" s="35" t="s">
        <v>26</v>
      </c>
      <c r="I2342" s="57"/>
      <c r="J2342" s="57"/>
      <c r="K2342" s="57"/>
      <c r="L2342" s="84"/>
    </row>
    <row r="2343">
      <c r="A2343" s="32" t="s">
        <v>6131</v>
      </c>
      <c r="B2343" s="32" t="s">
        <v>6132</v>
      </c>
      <c r="C2343" s="33">
        <v>45968.0</v>
      </c>
      <c r="D2343" s="34" t="s">
        <v>22</v>
      </c>
      <c r="E2343" s="32" t="s">
        <v>6133</v>
      </c>
      <c r="F2343" s="34" t="s">
        <v>156</v>
      </c>
      <c r="G2343" s="34" t="s">
        <v>6134</v>
      </c>
      <c r="H2343" s="35" t="s">
        <v>26</v>
      </c>
      <c r="I2343" s="57"/>
      <c r="J2343" s="57"/>
      <c r="K2343" s="57"/>
      <c r="L2343" s="84"/>
    </row>
    <row r="2344">
      <c r="A2344" s="32" t="s">
        <v>6135</v>
      </c>
      <c r="B2344" s="32" t="s">
        <v>6136</v>
      </c>
      <c r="C2344" s="33">
        <v>45968.0</v>
      </c>
      <c r="D2344" s="34" t="s">
        <v>22</v>
      </c>
      <c r="E2344" s="32" t="s">
        <v>6137</v>
      </c>
      <c r="F2344" s="34" t="s">
        <v>53</v>
      </c>
      <c r="G2344" s="34" t="s">
        <v>725</v>
      </c>
      <c r="H2344" s="66"/>
      <c r="I2344" s="57"/>
      <c r="J2344" s="57"/>
      <c r="K2344" s="57"/>
      <c r="L2344" s="84"/>
    </row>
    <row r="2345">
      <c r="A2345" s="32" t="s">
        <v>6138</v>
      </c>
      <c r="B2345" s="32" t="s">
        <v>6139</v>
      </c>
      <c r="C2345" s="33">
        <v>45968.0</v>
      </c>
      <c r="D2345" s="34" t="s">
        <v>22</v>
      </c>
      <c r="E2345" s="32" t="s">
        <v>61</v>
      </c>
      <c r="F2345" s="34" t="s">
        <v>24</v>
      </c>
      <c r="G2345" s="34" t="s">
        <v>342</v>
      </c>
      <c r="H2345" s="35" t="s">
        <v>26</v>
      </c>
      <c r="I2345" s="57"/>
      <c r="J2345" s="57"/>
      <c r="K2345" s="57"/>
      <c r="L2345" s="84"/>
    </row>
    <row r="2346">
      <c r="A2346" s="32" t="s">
        <v>6140</v>
      </c>
      <c r="B2346" s="32" t="s">
        <v>6141</v>
      </c>
      <c r="C2346" s="33">
        <v>45968.0</v>
      </c>
      <c r="D2346" s="34" t="s">
        <v>22</v>
      </c>
      <c r="E2346" s="32" t="s">
        <v>355</v>
      </c>
      <c r="F2346" s="34" t="s">
        <v>24</v>
      </c>
      <c r="G2346" s="34" t="s">
        <v>1082</v>
      </c>
      <c r="H2346" s="35" t="s">
        <v>26</v>
      </c>
      <c r="I2346" s="57"/>
      <c r="J2346" s="57"/>
      <c r="K2346" s="57"/>
      <c r="L2346" s="84"/>
    </row>
    <row r="2347">
      <c r="A2347" s="32" t="s">
        <v>6142</v>
      </c>
      <c r="B2347" s="32" t="s">
        <v>6143</v>
      </c>
      <c r="C2347" s="33">
        <v>45968.0</v>
      </c>
      <c r="D2347" s="34" t="s">
        <v>22</v>
      </c>
      <c r="E2347" s="32" t="s">
        <v>1580</v>
      </c>
      <c r="F2347" s="34" t="s">
        <v>24</v>
      </c>
      <c r="G2347" s="34" t="s">
        <v>605</v>
      </c>
      <c r="H2347" s="35" t="s">
        <v>26</v>
      </c>
      <c r="I2347" s="57"/>
      <c r="J2347" s="57"/>
      <c r="K2347" s="57"/>
      <c r="L2347" s="84"/>
    </row>
    <row r="2348">
      <c r="A2348" s="32" t="s">
        <v>6144</v>
      </c>
      <c r="B2348" s="32" t="s">
        <v>6145</v>
      </c>
      <c r="C2348" s="33">
        <v>45968.0</v>
      </c>
      <c r="D2348" s="69" t="s">
        <v>22</v>
      </c>
      <c r="E2348" s="32" t="s">
        <v>6146</v>
      </c>
      <c r="F2348" s="34" t="s">
        <v>156</v>
      </c>
      <c r="G2348" s="34" t="s">
        <v>670</v>
      </c>
      <c r="H2348" s="35" t="s">
        <v>26</v>
      </c>
      <c r="I2348" s="57"/>
      <c r="J2348" s="57"/>
      <c r="K2348" s="57"/>
      <c r="L2348" s="84"/>
    </row>
    <row r="2349">
      <c r="A2349" s="32" t="s">
        <v>6147</v>
      </c>
      <c r="B2349" s="32" t="s">
        <v>6148</v>
      </c>
      <c r="C2349" s="33">
        <v>45968.0</v>
      </c>
      <c r="D2349" s="34" t="s">
        <v>22</v>
      </c>
      <c r="E2349" s="32" t="s">
        <v>4611</v>
      </c>
      <c r="F2349" s="34" t="s">
        <v>53</v>
      </c>
      <c r="G2349" s="34" t="s">
        <v>1404</v>
      </c>
      <c r="H2349" s="35" t="s">
        <v>26</v>
      </c>
      <c r="I2349" s="57"/>
      <c r="J2349" s="57"/>
      <c r="K2349" s="57"/>
      <c r="L2349" s="84"/>
    </row>
    <row r="2350">
      <c r="A2350" s="32" t="s">
        <v>6149</v>
      </c>
      <c r="B2350" s="32" t="s">
        <v>6150</v>
      </c>
      <c r="C2350" s="33">
        <v>45968.0</v>
      </c>
      <c r="D2350" s="34" t="s">
        <v>22</v>
      </c>
      <c r="E2350" s="32" t="s">
        <v>6151</v>
      </c>
      <c r="F2350" s="34" t="s">
        <v>156</v>
      </c>
      <c r="G2350" s="34" t="s">
        <v>6152</v>
      </c>
      <c r="H2350" s="66"/>
      <c r="I2350" s="57"/>
      <c r="J2350" s="57"/>
      <c r="K2350" s="57"/>
      <c r="L2350" s="84"/>
    </row>
    <row r="2351">
      <c r="A2351" s="32" t="s">
        <v>6153</v>
      </c>
      <c r="B2351" s="32" t="s">
        <v>6154</v>
      </c>
      <c r="C2351" s="33">
        <v>45968.0</v>
      </c>
      <c r="D2351" s="34" t="s">
        <v>22</v>
      </c>
      <c r="E2351" s="32" t="s">
        <v>989</v>
      </c>
      <c r="F2351" s="34" t="s">
        <v>31</v>
      </c>
      <c r="G2351" s="34" t="s">
        <v>6155</v>
      </c>
      <c r="H2351" s="35" t="s">
        <v>26</v>
      </c>
      <c r="I2351" s="57"/>
      <c r="J2351" s="57"/>
      <c r="K2351" s="57"/>
      <c r="L2351" s="84"/>
    </row>
    <row r="2352">
      <c r="A2352" s="32" t="s">
        <v>6156</v>
      </c>
      <c r="B2352" s="32" t="s">
        <v>6157</v>
      </c>
      <c r="C2352" s="33">
        <v>45968.0</v>
      </c>
      <c r="D2352" s="34" t="s">
        <v>22</v>
      </c>
      <c r="E2352" s="32" t="s">
        <v>6158</v>
      </c>
      <c r="F2352" s="34" t="s">
        <v>24</v>
      </c>
      <c r="G2352" s="34" t="s">
        <v>365</v>
      </c>
      <c r="H2352" s="35" t="s">
        <v>26</v>
      </c>
      <c r="I2352" s="57"/>
      <c r="J2352" s="57"/>
      <c r="K2352" s="57"/>
      <c r="L2352" s="84"/>
    </row>
    <row r="2353">
      <c r="A2353" s="32" t="s">
        <v>6159</v>
      </c>
      <c r="B2353" s="32" t="s">
        <v>6160</v>
      </c>
      <c r="C2353" s="33">
        <v>45968.0</v>
      </c>
      <c r="D2353" s="34" t="s">
        <v>22</v>
      </c>
      <c r="E2353" s="32" t="s">
        <v>6161</v>
      </c>
      <c r="F2353" s="34" t="s">
        <v>53</v>
      </c>
      <c r="G2353" s="34" t="s">
        <v>257</v>
      </c>
      <c r="H2353" s="35" t="s">
        <v>26</v>
      </c>
      <c r="I2353" s="57"/>
      <c r="J2353" s="57"/>
      <c r="K2353" s="57"/>
      <c r="L2353" s="84"/>
    </row>
    <row r="2354">
      <c r="A2354" s="32" t="s">
        <v>6162</v>
      </c>
      <c r="B2354" s="32" t="s">
        <v>6163</v>
      </c>
      <c r="C2354" s="33">
        <v>45968.0</v>
      </c>
      <c r="D2354" s="34" t="s">
        <v>22</v>
      </c>
      <c r="E2354" s="32" t="s">
        <v>6164</v>
      </c>
      <c r="F2354" s="34" t="s">
        <v>31</v>
      </c>
      <c r="G2354" s="34" t="s">
        <v>725</v>
      </c>
      <c r="H2354" s="35" t="s">
        <v>26</v>
      </c>
      <c r="I2354" s="57"/>
      <c r="J2354" s="57"/>
      <c r="K2354" s="57"/>
      <c r="L2354" s="84"/>
    </row>
    <row r="2355">
      <c r="A2355" s="32" t="s">
        <v>6165</v>
      </c>
      <c r="B2355" s="32" t="s">
        <v>6166</v>
      </c>
      <c r="C2355" s="33">
        <v>45968.0</v>
      </c>
      <c r="D2355" s="34" t="s">
        <v>22</v>
      </c>
      <c r="E2355" s="32" t="s">
        <v>6167</v>
      </c>
      <c r="F2355" s="34" t="s">
        <v>24</v>
      </c>
      <c r="G2355" s="34" t="s">
        <v>1808</v>
      </c>
      <c r="H2355" s="35" t="s">
        <v>26</v>
      </c>
      <c r="I2355" s="57"/>
      <c r="J2355" s="57"/>
      <c r="K2355" s="57"/>
      <c r="L2355" s="84"/>
    </row>
    <row r="2356">
      <c r="A2356" s="32" t="s">
        <v>6168</v>
      </c>
      <c r="B2356" s="32" t="s">
        <v>6169</v>
      </c>
      <c r="C2356" s="33">
        <v>45968.0</v>
      </c>
      <c r="D2356" s="34" t="s">
        <v>22</v>
      </c>
      <c r="E2356" s="32" t="s">
        <v>3430</v>
      </c>
      <c r="F2356" s="34" t="s">
        <v>24</v>
      </c>
      <c r="G2356" s="34" t="s">
        <v>62</v>
      </c>
      <c r="H2356" s="35" t="s">
        <v>26</v>
      </c>
      <c r="I2356" s="57"/>
      <c r="J2356" s="57"/>
      <c r="K2356" s="57"/>
      <c r="L2356" s="84"/>
    </row>
    <row r="2357">
      <c r="A2357" s="31" t="s">
        <v>6170</v>
      </c>
      <c r="B2357" s="32" t="s">
        <v>6171</v>
      </c>
      <c r="C2357" s="33">
        <v>45968.0</v>
      </c>
      <c r="D2357" s="34" t="s">
        <v>22</v>
      </c>
      <c r="E2357" s="32" t="s">
        <v>6172</v>
      </c>
      <c r="F2357" s="34" t="s">
        <v>53</v>
      </c>
      <c r="G2357" s="34" t="s">
        <v>423</v>
      </c>
      <c r="H2357" s="35" t="s">
        <v>26</v>
      </c>
      <c r="I2357" s="57"/>
      <c r="J2357" s="57"/>
      <c r="K2357" s="57"/>
      <c r="L2357" s="84"/>
    </row>
    <row r="2358">
      <c r="A2358" s="31" t="s">
        <v>6173</v>
      </c>
      <c r="B2358" s="32" t="s">
        <v>6174</v>
      </c>
      <c r="C2358" s="33">
        <v>45968.0</v>
      </c>
      <c r="D2358" s="34" t="s">
        <v>22</v>
      </c>
      <c r="E2358" s="32" t="s">
        <v>6175</v>
      </c>
      <c r="F2358" s="34" t="s">
        <v>24</v>
      </c>
      <c r="G2358" s="34" t="s">
        <v>5008</v>
      </c>
      <c r="H2358" s="35" t="s">
        <v>26</v>
      </c>
      <c r="I2358" s="57"/>
      <c r="J2358" s="57"/>
      <c r="K2358" s="57"/>
      <c r="L2358" s="84"/>
    </row>
    <row r="2359">
      <c r="A2359" s="32" t="s">
        <v>6176</v>
      </c>
      <c r="B2359" s="32" t="s">
        <v>6177</v>
      </c>
      <c r="C2359" s="33">
        <v>45968.0</v>
      </c>
      <c r="D2359" s="34" t="s">
        <v>22</v>
      </c>
      <c r="E2359" s="32" t="s">
        <v>160</v>
      </c>
      <c r="F2359" s="34" t="s">
        <v>53</v>
      </c>
      <c r="G2359" s="34" t="s">
        <v>881</v>
      </c>
      <c r="H2359" s="35" t="s">
        <v>26</v>
      </c>
      <c r="I2359" s="57"/>
      <c r="J2359" s="57"/>
      <c r="K2359" s="57"/>
      <c r="L2359" s="84"/>
    </row>
    <row r="2360">
      <c r="A2360" s="31" t="s">
        <v>6178</v>
      </c>
      <c r="B2360" s="32" t="s">
        <v>6179</v>
      </c>
      <c r="C2360" s="33">
        <v>45968.0</v>
      </c>
      <c r="D2360" s="34" t="s">
        <v>22</v>
      </c>
      <c r="E2360" s="32" t="s">
        <v>632</v>
      </c>
      <c r="F2360" s="34" t="s">
        <v>24</v>
      </c>
      <c r="G2360" s="34" t="s">
        <v>2049</v>
      </c>
      <c r="H2360" s="35" t="s">
        <v>26</v>
      </c>
      <c r="I2360" s="57"/>
      <c r="J2360" s="57"/>
      <c r="K2360" s="57"/>
      <c r="L2360" s="84"/>
    </row>
    <row r="2361">
      <c r="A2361" s="31" t="s">
        <v>6180</v>
      </c>
      <c r="B2361" s="32" t="s">
        <v>6181</v>
      </c>
      <c r="C2361" s="33">
        <v>45968.0</v>
      </c>
      <c r="D2361" s="34" t="s">
        <v>22</v>
      </c>
      <c r="E2361" s="32" t="s">
        <v>61</v>
      </c>
      <c r="F2361" s="34" t="s">
        <v>24</v>
      </c>
      <c r="G2361" s="34" t="s">
        <v>3257</v>
      </c>
      <c r="H2361" s="35" t="s">
        <v>26</v>
      </c>
      <c r="I2361" s="57"/>
      <c r="J2361" s="57"/>
      <c r="K2361" s="57"/>
      <c r="L2361" s="84"/>
    </row>
    <row r="2362">
      <c r="A2362" s="31" t="s">
        <v>6182</v>
      </c>
      <c r="B2362" s="32" t="s">
        <v>6183</v>
      </c>
      <c r="C2362" s="33">
        <v>45968.0</v>
      </c>
      <c r="D2362" s="34" t="s">
        <v>22</v>
      </c>
      <c r="E2362" s="32" t="s">
        <v>6184</v>
      </c>
      <c r="F2362" s="34" t="s">
        <v>24</v>
      </c>
      <c r="G2362" s="34" t="s">
        <v>6185</v>
      </c>
      <c r="H2362" s="35" t="s">
        <v>26</v>
      </c>
      <c r="I2362" s="57"/>
      <c r="J2362" s="57"/>
      <c r="K2362" s="57"/>
      <c r="L2362" s="84"/>
    </row>
    <row r="2363">
      <c r="A2363" s="32" t="s">
        <v>6186</v>
      </c>
      <c r="B2363" s="32" t="s">
        <v>6187</v>
      </c>
      <c r="C2363" s="33">
        <v>45968.0</v>
      </c>
      <c r="D2363" s="34" t="s">
        <v>22</v>
      </c>
      <c r="E2363" s="32" t="s">
        <v>764</v>
      </c>
      <c r="F2363" s="34" t="s">
        <v>156</v>
      </c>
      <c r="G2363" s="34" t="s">
        <v>6188</v>
      </c>
      <c r="H2363" s="35" t="s">
        <v>26</v>
      </c>
      <c r="I2363" s="57"/>
      <c r="J2363" s="57"/>
      <c r="K2363" s="57"/>
      <c r="L2363" s="84"/>
    </row>
    <row r="2364">
      <c r="A2364" s="32" t="s">
        <v>2735</v>
      </c>
      <c r="B2364" s="32" t="s">
        <v>6189</v>
      </c>
      <c r="C2364" s="33">
        <v>45968.0</v>
      </c>
      <c r="D2364" s="69" t="s">
        <v>22</v>
      </c>
      <c r="E2364" s="32" t="s">
        <v>176</v>
      </c>
      <c r="F2364" s="34" t="s">
        <v>156</v>
      </c>
      <c r="G2364" s="34" t="s">
        <v>767</v>
      </c>
      <c r="H2364" s="35" t="s">
        <v>26</v>
      </c>
      <c r="I2364" s="57"/>
      <c r="J2364" s="57"/>
      <c r="K2364" s="57"/>
      <c r="L2364" s="84"/>
    </row>
    <row r="2365">
      <c r="A2365" s="32" t="s">
        <v>6190</v>
      </c>
      <c r="B2365" s="32" t="s">
        <v>6191</v>
      </c>
      <c r="C2365" s="33">
        <v>45968.0</v>
      </c>
      <c r="D2365" s="34" t="s">
        <v>22</v>
      </c>
      <c r="E2365" s="32" t="s">
        <v>69</v>
      </c>
      <c r="F2365" s="34" t="s">
        <v>53</v>
      </c>
      <c r="G2365" s="34" t="s">
        <v>6192</v>
      </c>
      <c r="H2365" s="35" t="s">
        <v>26</v>
      </c>
      <c r="I2365" s="57"/>
      <c r="J2365" s="35" t="s">
        <v>100</v>
      </c>
      <c r="K2365" s="57"/>
      <c r="L2365" s="84"/>
    </row>
    <row r="2366">
      <c r="A2366" s="32" t="s">
        <v>6190</v>
      </c>
      <c r="B2366" s="32" t="s">
        <v>6193</v>
      </c>
      <c r="C2366" s="33">
        <v>45968.0</v>
      </c>
      <c r="D2366" s="34" t="s">
        <v>22</v>
      </c>
      <c r="E2366" s="32" t="s">
        <v>69</v>
      </c>
      <c r="F2366" s="34" t="s">
        <v>53</v>
      </c>
      <c r="G2366" s="34" t="s">
        <v>6192</v>
      </c>
      <c r="H2366" s="35" t="s">
        <v>26</v>
      </c>
      <c r="I2366" s="57"/>
      <c r="J2366" s="35" t="s">
        <v>100</v>
      </c>
      <c r="K2366" s="57"/>
      <c r="L2366" s="84"/>
    </row>
    <row r="2367">
      <c r="A2367" s="32" t="s">
        <v>6194</v>
      </c>
      <c r="B2367" s="32" t="s">
        <v>6195</v>
      </c>
      <c r="C2367" s="33">
        <v>45968.0</v>
      </c>
      <c r="D2367" s="47" t="s">
        <v>22</v>
      </c>
      <c r="E2367" s="32" t="s">
        <v>6196</v>
      </c>
      <c r="F2367" s="34" t="s">
        <v>24</v>
      </c>
      <c r="G2367" s="34" t="s">
        <v>792</v>
      </c>
      <c r="H2367" s="35" t="s">
        <v>26</v>
      </c>
      <c r="I2367" s="57"/>
      <c r="J2367" s="57"/>
      <c r="K2367" s="57"/>
      <c r="L2367" s="84"/>
    </row>
    <row r="2368">
      <c r="A2368" s="32" t="s">
        <v>6197</v>
      </c>
      <c r="B2368" s="32" t="s">
        <v>6198</v>
      </c>
      <c r="C2368" s="33">
        <v>45968.0</v>
      </c>
      <c r="D2368" s="34" t="s">
        <v>22</v>
      </c>
      <c r="E2368" s="32" t="s">
        <v>2710</v>
      </c>
      <c r="F2368" s="34" t="s">
        <v>156</v>
      </c>
      <c r="G2368" s="34" t="s">
        <v>2534</v>
      </c>
      <c r="H2368" s="35" t="s">
        <v>26</v>
      </c>
      <c r="I2368" s="57"/>
      <c r="J2368" s="57"/>
      <c r="K2368" s="57"/>
      <c r="L2368" s="84"/>
    </row>
    <row r="2369">
      <c r="A2369" s="32" t="s">
        <v>6199</v>
      </c>
      <c r="B2369" s="32" t="s">
        <v>6200</v>
      </c>
      <c r="C2369" s="33">
        <v>45968.0</v>
      </c>
      <c r="D2369" s="69" t="s">
        <v>22</v>
      </c>
      <c r="E2369" s="32" t="s">
        <v>2871</v>
      </c>
      <c r="F2369" s="34" t="s">
        <v>156</v>
      </c>
      <c r="G2369" s="34" t="s">
        <v>225</v>
      </c>
      <c r="H2369" s="35" t="s">
        <v>26</v>
      </c>
      <c r="I2369" s="57"/>
      <c r="J2369" s="57"/>
      <c r="K2369" s="57"/>
      <c r="L2369" s="84"/>
    </row>
    <row r="2370">
      <c r="A2370" s="32" t="s">
        <v>6201</v>
      </c>
      <c r="B2370" s="32" t="s">
        <v>6202</v>
      </c>
      <c r="C2370" s="33">
        <v>45968.0</v>
      </c>
      <c r="D2370" s="34" t="s">
        <v>22</v>
      </c>
      <c r="E2370" s="32" t="s">
        <v>61</v>
      </c>
      <c r="F2370" s="34" t="s">
        <v>24</v>
      </c>
      <c r="G2370" s="34" t="s">
        <v>1566</v>
      </c>
      <c r="H2370" s="35" t="s">
        <v>26</v>
      </c>
      <c r="I2370" s="57"/>
      <c r="J2370" s="57"/>
      <c r="K2370" s="57"/>
      <c r="L2370" s="84"/>
    </row>
    <row r="2371">
      <c r="A2371" s="32" t="s">
        <v>6203</v>
      </c>
      <c r="B2371" s="32" t="s">
        <v>6204</v>
      </c>
      <c r="C2371" s="33">
        <v>45968.0</v>
      </c>
      <c r="D2371" s="34" t="s">
        <v>22</v>
      </c>
      <c r="E2371" s="32" t="s">
        <v>6205</v>
      </c>
      <c r="F2371" s="34" t="s">
        <v>156</v>
      </c>
      <c r="G2371" s="34" t="s">
        <v>62</v>
      </c>
      <c r="H2371" s="35" t="s">
        <v>26</v>
      </c>
      <c r="I2371" s="57"/>
      <c r="J2371" s="57"/>
      <c r="K2371" s="57"/>
      <c r="L2371" s="84"/>
    </row>
    <row r="2372">
      <c r="A2372" s="32" t="s">
        <v>6206</v>
      </c>
      <c r="B2372" s="32" t="s">
        <v>6207</v>
      </c>
      <c r="C2372" s="33">
        <v>45968.0</v>
      </c>
      <c r="D2372" s="34" t="s">
        <v>22</v>
      </c>
      <c r="E2372" s="32" t="s">
        <v>521</v>
      </c>
      <c r="F2372" s="34" t="s">
        <v>24</v>
      </c>
      <c r="G2372" s="34" t="s">
        <v>702</v>
      </c>
      <c r="H2372" s="35" t="s">
        <v>26</v>
      </c>
      <c r="I2372" s="57"/>
      <c r="J2372" s="57"/>
      <c r="K2372" s="57"/>
      <c r="L2372" s="84"/>
    </row>
    <row r="2373">
      <c r="A2373" s="32" t="s">
        <v>6208</v>
      </c>
      <c r="B2373" s="32" t="s">
        <v>6209</v>
      </c>
      <c r="C2373" s="33">
        <v>45968.0</v>
      </c>
      <c r="D2373" s="34" t="s">
        <v>22</v>
      </c>
      <c r="E2373" s="32" t="s">
        <v>6210</v>
      </c>
      <c r="F2373" s="34" t="s">
        <v>156</v>
      </c>
      <c r="G2373" s="34" t="s">
        <v>561</v>
      </c>
      <c r="H2373" s="35" t="s">
        <v>26</v>
      </c>
      <c r="I2373" s="57"/>
      <c r="J2373" s="57"/>
      <c r="K2373" s="57"/>
      <c r="L2373" s="84"/>
    </row>
    <row r="2374">
      <c r="A2374" s="32" t="s">
        <v>6211</v>
      </c>
      <c r="B2374" s="32" t="s">
        <v>6212</v>
      </c>
      <c r="C2374" s="33">
        <v>45968.0</v>
      </c>
      <c r="D2374" s="47" t="s">
        <v>22</v>
      </c>
      <c r="E2374" s="32" t="s">
        <v>6213</v>
      </c>
      <c r="F2374" s="34" t="s">
        <v>31</v>
      </c>
      <c r="G2374" s="34" t="s">
        <v>96</v>
      </c>
      <c r="H2374" s="35" t="s">
        <v>26</v>
      </c>
      <c r="I2374" s="57"/>
      <c r="J2374" s="57"/>
      <c r="K2374" s="57"/>
      <c r="L2374" s="84"/>
    </row>
    <row r="2375">
      <c r="A2375" s="32" t="s">
        <v>6214</v>
      </c>
      <c r="B2375" s="32" t="s">
        <v>6215</v>
      </c>
      <c r="C2375" s="33">
        <v>45968.0</v>
      </c>
      <c r="D2375" s="34" t="s">
        <v>22</v>
      </c>
      <c r="E2375" s="32" t="s">
        <v>2980</v>
      </c>
      <c r="F2375" s="34" t="s">
        <v>24</v>
      </c>
      <c r="G2375" s="34" t="s">
        <v>202</v>
      </c>
      <c r="H2375" s="35" t="s">
        <v>26</v>
      </c>
      <c r="I2375" s="57"/>
      <c r="J2375" s="57"/>
      <c r="K2375" s="57"/>
      <c r="L2375" s="84"/>
    </row>
    <row r="2376">
      <c r="A2376" s="32" t="s">
        <v>6216</v>
      </c>
      <c r="B2376" s="32" t="s">
        <v>6217</v>
      </c>
      <c r="C2376" s="33">
        <v>45968.0</v>
      </c>
      <c r="D2376" s="34" t="s">
        <v>22</v>
      </c>
      <c r="E2376" s="32" t="s">
        <v>436</v>
      </c>
      <c r="F2376" s="34" t="s">
        <v>31</v>
      </c>
      <c r="G2376" s="34" t="s">
        <v>292</v>
      </c>
      <c r="H2376" s="35" t="s">
        <v>26</v>
      </c>
      <c r="I2376" s="57"/>
      <c r="J2376" s="57"/>
      <c r="K2376" s="57"/>
      <c r="L2376" s="84"/>
    </row>
    <row r="2377">
      <c r="A2377" s="32" t="s">
        <v>6218</v>
      </c>
      <c r="B2377" s="32" t="s">
        <v>6219</v>
      </c>
      <c r="C2377" s="33">
        <v>45968.0</v>
      </c>
      <c r="D2377" s="34" t="s">
        <v>22</v>
      </c>
      <c r="E2377" s="32" t="s">
        <v>69</v>
      </c>
      <c r="F2377" s="34" t="s">
        <v>24</v>
      </c>
      <c r="G2377" s="34" t="s">
        <v>6220</v>
      </c>
      <c r="H2377" s="35" t="s">
        <v>26</v>
      </c>
      <c r="I2377" s="57"/>
      <c r="J2377" s="57"/>
      <c r="K2377" s="57"/>
      <c r="L2377" s="84"/>
    </row>
    <row r="2378">
      <c r="A2378" s="67">
        <v>217.0</v>
      </c>
      <c r="B2378" s="32" t="s">
        <v>6221</v>
      </c>
      <c r="C2378" s="33">
        <v>45968.0</v>
      </c>
      <c r="D2378" s="34" t="s">
        <v>22</v>
      </c>
      <c r="E2378" s="32" t="s">
        <v>4388</v>
      </c>
      <c r="F2378" s="34" t="s">
        <v>53</v>
      </c>
      <c r="G2378" s="34" t="s">
        <v>5515</v>
      </c>
      <c r="H2378" s="35" t="s">
        <v>26</v>
      </c>
      <c r="I2378" s="57"/>
      <c r="J2378" s="57"/>
      <c r="K2378" s="57"/>
      <c r="L2378" s="84"/>
    </row>
    <row r="2379">
      <c r="A2379" s="32" t="s">
        <v>6222</v>
      </c>
      <c r="B2379" s="32" t="s">
        <v>6223</v>
      </c>
      <c r="C2379" s="33">
        <v>45968.0</v>
      </c>
      <c r="D2379" s="34" t="s">
        <v>39</v>
      </c>
      <c r="E2379" s="32" t="s">
        <v>6224</v>
      </c>
      <c r="F2379" s="34" t="s">
        <v>156</v>
      </c>
      <c r="G2379" s="34" t="s">
        <v>6225</v>
      </c>
      <c r="H2379" s="35" t="s">
        <v>26</v>
      </c>
      <c r="I2379" s="57"/>
      <c r="J2379" s="57"/>
      <c r="K2379" s="57"/>
      <c r="L2379" s="84"/>
    </row>
    <row r="2380">
      <c r="A2380" s="32" t="s">
        <v>6226</v>
      </c>
      <c r="B2380" s="32" t="s">
        <v>6227</v>
      </c>
      <c r="C2380" s="33">
        <v>45968.0</v>
      </c>
      <c r="D2380" s="47" t="s">
        <v>22</v>
      </c>
      <c r="E2380" s="32" t="s">
        <v>632</v>
      </c>
      <c r="F2380" s="34" t="s">
        <v>24</v>
      </c>
      <c r="G2380" s="34" t="s">
        <v>339</v>
      </c>
      <c r="H2380" s="35" t="s">
        <v>26</v>
      </c>
      <c r="I2380" s="57"/>
      <c r="J2380" s="57"/>
      <c r="K2380" s="57"/>
      <c r="L2380" s="84"/>
    </row>
    <row r="2381">
      <c r="A2381" s="32" t="s">
        <v>6228</v>
      </c>
      <c r="B2381" s="32" t="s">
        <v>6229</v>
      </c>
      <c r="C2381" s="33">
        <v>45968.0</v>
      </c>
      <c r="D2381" s="47" t="s">
        <v>22</v>
      </c>
      <c r="E2381" s="32" t="s">
        <v>122</v>
      </c>
      <c r="F2381" s="34" t="s">
        <v>31</v>
      </c>
      <c r="G2381" s="34" t="s">
        <v>2830</v>
      </c>
      <c r="H2381" s="35" t="s">
        <v>26</v>
      </c>
      <c r="I2381" s="57"/>
      <c r="J2381" s="57"/>
      <c r="K2381" s="57"/>
      <c r="L2381" s="84"/>
    </row>
    <row r="2382">
      <c r="A2382" s="32" t="s">
        <v>6230</v>
      </c>
      <c r="B2382" s="32" t="s">
        <v>6231</v>
      </c>
      <c r="C2382" s="33">
        <v>45968.0</v>
      </c>
      <c r="D2382" s="34" t="s">
        <v>22</v>
      </c>
      <c r="E2382" s="32" t="s">
        <v>6232</v>
      </c>
      <c r="F2382" s="34" t="s">
        <v>53</v>
      </c>
      <c r="G2382" s="34" t="s">
        <v>2454</v>
      </c>
      <c r="H2382" s="35" t="s">
        <v>26</v>
      </c>
      <c r="I2382" s="57"/>
      <c r="J2382" s="57"/>
      <c r="K2382" s="57"/>
      <c r="L2382" s="84"/>
    </row>
    <row r="2383">
      <c r="A2383" s="32" t="s">
        <v>6233</v>
      </c>
      <c r="B2383" s="32" t="s">
        <v>6234</v>
      </c>
      <c r="C2383" s="33">
        <v>45968.0</v>
      </c>
      <c r="D2383" s="34" t="s">
        <v>22</v>
      </c>
      <c r="E2383" s="32" t="s">
        <v>284</v>
      </c>
      <c r="F2383" s="34" t="s">
        <v>24</v>
      </c>
      <c r="G2383" s="34" t="s">
        <v>352</v>
      </c>
      <c r="H2383" s="35" t="s">
        <v>26</v>
      </c>
      <c r="I2383" s="57"/>
      <c r="J2383" s="57"/>
      <c r="K2383" s="57"/>
      <c r="L2383" s="84"/>
    </row>
    <row r="2384">
      <c r="A2384" s="32" t="s">
        <v>6235</v>
      </c>
      <c r="B2384" s="32" t="s">
        <v>6235</v>
      </c>
      <c r="C2384" s="33">
        <v>45968.0</v>
      </c>
      <c r="D2384" s="34" t="s">
        <v>22</v>
      </c>
      <c r="E2384" s="32" t="s">
        <v>6236</v>
      </c>
      <c r="F2384" s="34" t="s">
        <v>24</v>
      </c>
      <c r="G2384" s="34" t="s">
        <v>62</v>
      </c>
      <c r="H2384" s="35" t="s">
        <v>26</v>
      </c>
      <c r="I2384" s="57"/>
      <c r="J2384" s="57"/>
      <c r="K2384" s="57"/>
      <c r="L2384" s="84"/>
    </row>
    <row r="2385">
      <c r="A2385" s="32" t="s">
        <v>6237</v>
      </c>
      <c r="B2385" s="32" t="s">
        <v>6238</v>
      </c>
      <c r="C2385" s="33">
        <v>45968.0</v>
      </c>
      <c r="D2385" s="34" t="s">
        <v>22</v>
      </c>
      <c r="E2385" s="32" t="s">
        <v>2192</v>
      </c>
      <c r="F2385" s="34" t="s">
        <v>156</v>
      </c>
      <c r="G2385" s="34" t="s">
        <v>526</v>
      </c>
      <c r="H2385" s="35" t="s">
        <v>26</v>
      </c>
      <c r="I2385" s="57"/>
      <c r="J2385" s="57"/>
      <c r="K2385" s="57"/>
      <c r="L2385" s="84"/>
    </row>
    <row r="2386">
      <c r="A2386" s="32" t="s">
        <v>6239</v>
      </c>
      <c r="B2386" s="32" t="s">
        <v>6240</v>
      </c>
      <c r="C2386" s="33">
        <v>45968.0</v>
      </c>
      <c r="D2386" s="34" t="s">
        <v>22</v>
      </c>
      <c r="E2386" s="32" t="s">
        <v>122</v>
      </c>
      <c r="F2386" s="34" t="s">
        <v>53</v>
      </c>
      <c r="G2386" s="34" t="s">
        <v>2030</v>
      </c>
      <c r="H2386" s="35" t="s">
        <v>26</v>
      </c>
      <c r="I2386" s="57"/>
      <c r="J2386" s="57"/>
      <c r="K2386" s="57"/>
      <c r="L2386" s="84"/>
    </row>
    <row r="2387">
      <c r="A2387" s="32" t="s">
        <v>739</v>
      </c>
      <c r="B2387" s="32" t="s">
        <v>6241</v>
      </c>
      <c r="C2387" s="33">
        <v>45968.0</v>
      </c>
      <c r="D2387" s="69" t="s">
        <v>22</v>
      </c>
      <c r="E2387" s="32" t="s">
        <v>335</v>
      </c>
      <c r="F2387" s="34" t="s">
        <v>53</v>
      </c>
      <c r="G2387" s="34" t="s">
        <v>742</v>
      </c>
      <c r="H2387" s="35" t="s">
        <v>26</v>
      </c>
      <c r="I2387" s="57"/>
      <c r="J2387" s="57"/>
      <c r="K2387" s="57"/>
      <c r="L2387" s="84"/>
    </row>
    <row r="2388">
      <c r="A2388" s="32" t="s">
        <v>6242</v>
      </c>
      <c r="B2388" s="32" t="s">
        <v>6243</v>
      </c>
      <c r="C2388" s="33">
        <v>45968.0</v>
      </c>
      <c r="D2388" s="34" t="s">
        <v>22</v>
      </c>
      <c r="E2388" s="32" t="s">
        <v>6244</v>
      </c>
      <c r="F2388" s="34" t="s">
        <v>24</v>
      </c>
      <c r="G2388" s="34" t="s">
        <v>599</v>
      </c>
      <c r="H2388" s="35" t="s">
        <v>26</v>
      </c>
      <c r="I2388" s="57"/>
      <c r="J2388" s="57"/>
      <c r="K2388" s="57"/>
      <c r="L2388" s="84"/>
    </row>
    <row r="2389">
      <c r="A2389" s="32" t="s">
        <v>6245</v>
      </c>
      <c r="B2389" s="32" t="s">
        <v>6246</v>
      </c>
      <c r="C2389" s="33">
        <v>45968.0</v>
      </c>
      <c r="D2389" s="34" t="s">
        <v>22</v>
      </c>
      <c r="E2389" s="32" t="s">
        <v>1458</v>
      </c>
      <c r="F2389" s="34" t="s">
        <v>53</v>
      </c>
      <c r="G2389" s="34" t="s">
        <v>469</v>
      </c>
      <c r="H2389" s="66"/>
      <c r="I2389" s="57"/>
      <c r="J2389" s="57"/>
      <c r="K2389" s="57"/>
      <c r="L2389" s="84"/>
    </row>
    <row r="2390">
      <c r="A2390" s="32" t="s">
        <v>6247</v>
      </c>
      <c r="B2390" s="32" t="s">
        <v>6248</v>
      </c>
      <c r="C2390" s="33">
        <v>45968.0</v>
      </c>
      <c r="D2390" s="34" t="s">
        <v>22</v>
      </c>
      <c r="E2390" s="32" t="s">
        <v>1073</v>
      </c>
      <c r="F2390" s="34" t="s">
        <v>156</v>
      </c>
      <c r="G2390" s="34" t="s">
        <v>62</v>
      </c>
      <c r="H2390" s="35" t="s">
        <v>26</v>
      </c>
      <c r="I2390" s="57"/>
      <c r="J2390" s="57"/>
      <c r="K2390" s="57"/>
      <c r="L2390" s="84"/>
    </row>
    <row r="2391">
      <c r="A2391" s="32" t="s">
        <v>6249</v>
      </c>
      <c r="B2391" s="32" t="s">
        <v>6250</v>
      </c>
      <c r="C2391" s="33">
        <v>45968.0</v>
      </c>
      <c r="D2391" s="34" t="s">
        <v>22</v>
      </c>
      <c r="E2391" s="32" t="s">
        <v>1049</v>
      </c>
      <c r="F2391" s="34" t="s">
        <v>24</v>
      </c>
      <c r="G2391" s="34" t="s">
        <v>792</v>
      </c>
      <c r="H2391" s="35" t="s">
        <v>26</v>
      </c>
      <c r="I2391" s="57"/>
      <c r="J2391" s="57"/>
      <c r="K2391" s="57"/>
      <c r="L2391" s="84"/>
    </row>
    <row r="2392">
      <c r="A2392" s="32" t="s">
        <v>4732</v>
      </c>
      <c r="B2392" s="32" t="s">
        <v>6251</v>
      </c>
      <c r="C2392" s="33">
        <v>45968.0</v>
      </c>
      <c r="D2392" s="34" t="s">
        <v>22</v>
      </c>
      <c r="E2392" s="32" t="s">
        <v>6252</v>
      </c>
      <c r="F2392" s="34" t="s">
        <v>24</v>
      </c>
      <c r="G2392" s="34" t="s">
        <v>510</v>
      </c>
      <c r="H2392" s="35" t="s">
        <v>26</v>
      </c>
      <c r="I2392" s="57"/>
      <c r="J2392" s="57"/>
      <c r="K2392" s="57"/>
      <c r="L2392" s="84"/>
    </row>
    <row r="2393">
      <c r="A2393" s="32" t="s">
        <v>6253</v>
      </c>
      <c r="B2393" s="32" t="s">
        <v>6254</v>
      </c>
      <c r="C2393" s="33">
        <v>45968.0</v>
      </c>
      <c r="D2393" s="34" t="s">
        <v>22</v>
      </c>
      <c r="E2393" s="32" t="s">
        <v>3129</v>
      </c>
      <c r="F2393" s="34" t="s">
        <v>24</v>
      </c>
      <c r="G2393" s="34" t="s">
        <v>342</v>
      </c>
      <c r="H2393" s="35" t="s">
        <v>26</v>
      </c>
      <c r="I2393" s="57"/>
      <c r="J2393" s="57"/>
      <c r="K2393" s="57"/>
      <c r="L2393" s="84"/>
    </row>
    <row r="2394">
      <c r="A2394" s="32" t="s">
        <v>6255</v>
      </c>
      <c r="B2394" s="32" t="s">
        <v>6256</v>
      </c>
      <c r="C2394" s="33">
        <v>45969.0</v>
      </c>
      <c r="D2394" s="34" t="s">
        <v>22</v>
      </c>
      <c r="E2394" s="32" t="s">
        <v>3107</v>
      </c>
      <c r="F2394" s="34" t="s">
        <v>156</v>
      </c>
      <c r="G2394" s="34" t="s">
        <v>4877</v>
      </c>
      <c r="H2394" s="35" t="s">
        <v>26</v>
      </c>
      <c r="I2394" s="57"/>
      <c r="J2394" s="57"/>
      <c r="K2394" s="57"/>
      <c r="L2394" s="84"/>
    </row>
    <row r="2395">
      <c r="A2395" s="32" t="s">
        <v>6257</v>
      </c>
      <c r="B2395" s="32" t="s">
        <v>6258</v>
      </c>
      <c r="C2395" s="33">
        <v>45971.0</v>
      </c>
      <c r="D2395" s="34" t="s">
        <v>22</v>
      </c>
      <c r="E2395" s="32" t="s">
        <v>44</v>
      </c>
      <c r="F2395" s="34" t="s">
        <v>24</v>
      </c>
      <c r="G2395" s="34" t="s">
        <v>920</v>
      </c>
      <c r="H2395" s="35" t="s">
        <v>26</v>
      </c>
      <c r="I2395" s="57"/>
      <c r="J2395" s="57"/>
      <c r="K2395" s="57"/>
      <c r="L2395" s="84"/>
    </row>
    <row r="2396">
      <c r="A2396" s="32" t="s">
        <v>6259</v>
      </c>
      <c r="B2396" s="32" t="s">
        <v>6260</v>
      </c>
      <c r="C2396" s="33">
        <v>45972.0</v>
      </c>
      <c r="D2396" s="34" t="s">
        <v>22</v>
      </c>
      <c r="E2396" s="32" t="s">
        <v>263</v>
      </c>
      <c r="F2396" s="34" t="s">
        <v>24</v>
      </c>
      <c r="G2396" s="34" t="s">
        <v>6261</v>
      </c>
      <c r="H2396" s="35" t="s">
        <v>26</v>
      </c>
      <c r="I2396" s="57"/>
      <c r="J2396" s="57"/>
      <c r="K2396" s="57"/>
      <c r="L2396" s="84"/>
    </row>
    <row r="2397">
      <c r="A2397" s="32" t="s">
        <v>6262</v>
      </c>
      <c r="B2397" s="32" t="s">
        <v>6263</v>
      </c>
      <c r="C2397" s="33">
        <v>45972.0</v>
      </c>
      <c r="D2397" s="34" t="s">
        <v>22</v>
      </c>
      <c r="E2397" s="32" t="s">
        <v>61</v>
      </c>
      <c r="F2397" s="34" t="s">
        <v>24</v>
      </c>
      <c r="G2397" s="34" t="s">
        <v>70</v>
      </c>
      <c r="H2397" s="35" t="s">
        <v>26</v>
      </c>
      <c r="I2397" s="57"/>
      <c r="J2397" s="57"/>
      <c r="K2397" s="57"/>
      <c r="L2397" s="84"/>
    </row>
    <row r="2398">
      <c r="A2398" s="32" t="s">
        <v>6264</v>
      </c>
      <c r="B2398" s="32" t="s">
        <v>6265</v>
      </c>
      <c r="C2398" s="33">
        <v>45972.0</v>
      </c>
      <c r="D2398" s="34" t="s">
        <v>22</v>
      </c>
      <c r="E2398" s="32" t="s">
        <v>865</v>
      </c>
      <c r="F2398" s="34" t="s">
        <v>53</v>
      </c>
      <c r="G2398" s="34" t="s">
        <v>257</v>
      </c>
      <c r="H2398" s="35" t="s">
        <v>26</v>
      </c>
      <c r="I2398" s="57"/>
      <c r="J2398" s="57"/>
      <c r="K2398" s="57"/>
      <c r="L2398" s="84"/>
    </row>
    <row r="2399">
      <c r="A2399" s="32" t="s">
        <v>6266</v>
      </c>
      <c r="B2399" s="32" t="s">
        <v>6267</v>
      </c>
      <c r="C2399" s="33">
        <v>45973.0</v>
      </c>
      <c r="D2399" s="47" t="s">
        <v>39</v>
      </c>
      <c r="E2399" s="32" t="s">
        <v>160</v>
      </c>
      <c r="F2399" s="34" t="s">
        <v>24</v>
      </c>
      <c r="G2399" s="34" t="s">
        <v>514</v>
      </c>
      <c r="H2399" s="35" t="s">
        <v>26</v>
      </c>
      <c r="I2399" s="57"/>
      <c r="J2399" s="57"/>
      <c r="K2399" s="57"/>
      <c r="L2399" s="84"/>
    </row>
    <row r="2400">
      <c r="A2400" s="32" t="s">
        <v>6268</v>
      </c>
      <c r="B2400" s="32" t="s">
        <v>6269</v>
      </c>
      <c r="C2400" s="33">
        <v>45973.0</v>
      </c>
      <c r="D2400" s="34" t="s">
        <v>22</v>
      </c>
      <c r="E2400" s="32" t="s">
        <v>73</v>
      </c>
      <c r="F2400" s="34" t="s">
        <v>24</v>
      </c>
      <c r="G2400" s="34" t="s">
        <v>4120</v>
      </c>
      <c r="H2400" s="35" t="s">
        <v>26</v>
      </c>
      <c r="I2400" s="57"/>
      <c r="J2400" s="57"/>
      <c r="K2400" s="57"/>
      <c r="L2400" s="84"/>
    </row>
    <row r="2401">
      <c r="A2401" s="32" t="s">
        <v>6270</v>
      </c>
      <c r="B2401" s="32" t="s">
        <v>6271</v>
      </c>
      <c r="C2401" s="33">
        <v>45974.0</v>
      </c>
      <c r="D2401" s="34" t="s">
        <v>22</v>
      </c>
      <c r="E2401" s="32" t="s">
        <v>122</v>
      </c>
      <c r="F2401" s="34" t="s">
        <v>53</v>
      </c>
      <c r="G2401" s="34" t="s">
        <v>6272</v>
      </c>
      <c r="H2401" s="66"/>
      <c r="I2401" s="57"/>
      <c r="J2401" s="57"/>
      <c r="K2401" s="57"/>
      <c r="L2401" s="84"/>
    </row>
    <row r="2402">
      <c r="A2402" s="32" t="s">
        <v>6273</v>
      </c>
      <c r="B2402" s="32" t="s">
        <v>6274</v>
      </c>
      <c r="C2402" s="33">
        <v>45975.0</v>
      </c>
      <c r="D2402" s="47" t="s">
        <v>22</v>
      </c>
      <c r="E2402" s="32" t="s">
        <v>6275</v>
      </c>
      <c r="F2402" s="34" t="s">
        <v>24</v>
      </c>
      <c r="G2402" s="34" t="s">
        <v>442</v>
      </c>
      <c r="H2402" s="35" t="s">
        <v>26</v>
      </c>
      <c r="I2402" s="57"/>
      <c r="J2402" s="57"/>
      <c r="K2402" s="57"/>
      <c r="L2402" s="84"/>
    </row>
    <row r="2403">
      <c r="A2403" s="32" t="s">
        <v>6276</v>
      </c>
      <c r="B2403" s="32" t="s">
        <v>6277</v>
      </c>
      <c r="C2403" s="33">
        <v>45975.0</v>
      </c>
      <c r="D2403" s="47" t="s">
        <v>22</v>
      </c>
      <c r="E2403" s="32" t="s">
        <v>6278</v>
      </c>
      <c r="F2403" s="34" t="s">
        <v>24</v>
      </c>
      <c r="G2403" s="34" t="s">
        <v>257</v>
      </c>
      <c r="H2403" s="35" t="s">
        <v>26</v>
      </c>
      <c r="I2403" s="57"/>
      <c r="J2403" s="57"/>
      <c r="K2403" s="57"/>
      <c r="L2403" s="84"/>
    </row>
    <row r="2404">
      <c r="A2404" s="32" t="s">
        <v>6279</v>
      </c>
      <c r="B2404" s="32" t="s">
        <v>6280</v>
      </c>
      <c r="C2404" s="33">
        <v>45975.0</v>
      </c>
      <c r="D2404" s="34" t="s">
        <v>22</v>
      </c>
      <c r="E2404" s="32" t="s">
        <v>3381</v>
      </c>
      <c r="F2404" s="34" t="s">
        <v>53</v>
      </c>
      <c r="G2404" s="34" t="s">
        <v>670</v>
      </c>
      <c r="H2404" s="35" t="s">
        <v>26</v>
      </c>
      <c r="I2404" s="57"/>
      <c r="J2404" s="57"/>
      <c r="K2404" s="57"/>
      <c r="L2404" s="84"/>
    </row>
    <row r="2405">
      <c r="A2405" s="32" t="s">
        <v>6281</v>
      </c>
      <c r="B2405" s="32" t="s">
        <v>6281</v>
      </c>
      <c r="C2405" s="33">
        <v>45975.0</v>
      </c>
      <c r="D2405" s="34" t="s">
        <v>22</v>
      </c>
      <c r="E2405" s="32" t="s">
        <v>1494</v>
      </c>
      <c r="F2405" s="34" t="s">
        <v>24</v>
      </c>
      <c r="G2405" s="34" t="s">
        <v>6282</v>
      </c>
      <c r="H2405" s="66"/>
      <c r="I2405" s="57"/>
      <c r="J2405" s="57"/>
      <c r="K2405" s="57"/>
      <c r="L2405" s="84"/>
    </row>
    <row r="2406">
      <c r="A2406" s="32" t="s">
        <v>6283</v>
      </c>
      <c r="B2406" s="32" t="s">
        <v>6284</v>
      </c>
      <c r="C2406" s="33">
        <v>45975.0</v>
      </c>
      <c r="D2406" s="34" t="s">
        <v>22</v>
      </c>
      <c r="E2406" s="32" t="s">
        <v>1580</v>
      </c>
      <c r="F2406" s="34" t="s">
        <v>156</v>
      </c>
      <c r="G2406" s="34" t="s">
        <v>41</v>
      </c>
      <c r="H2406" s="35" t="s">
        <v>26</v>
      </c>
      <c r="I2406" s="57"/>
      <c r="J2406" s="57"/>
      <c r="K2406" s="57"/>
      <c r="L2406" s="84"/>
    </row>
    <row r="2407">
      <c r="A2407" s="32" t="s">
        <v>6285</v>
      </c>
      <c r="B2407" s="32" t="s">
        <v>6286</v>
      </c>
      <c r="C2407" s="33">
        <v>45975.0</v>
      </c>
      <c r="D2407" s="34" t="s">
        <v>22</v>
      </c>
      <c r="E2407" s="32" t="s">
        <v>1519</v>
      </c>
      <c r="F2407" s="34" t="s">
        <v>53</v>
      </c>
      <c r="G2407" s="34" t="s">
        <v>62</v>
      </c>
      <c r="H2407" s="35" t="s">
        <v>26</v>
      </c>
      <c r="I2407" s="57"/>
      <c r="J2407" s="57"/>
      <c r="K2407" s="57"/>
      <c r="L2407" s="84"/>
    </row>
    <row r="2408">
      <c r="A2408" s="32" t="s">
        <v>6287</v>
      </c>
      <c r="B2408" s="32" t="s">
        <v>6288</v>
      </c>
      <c r="C2408" s="33">
        <v>45975.0</v>
      </c>
      <c r="D2408" s="34" t="s">
        <v>22</v>
      </c>
      <c r="E2408" s="32" t="s">
        <v>61</v>
      </c>
      <c r="F2408" s="34" t="s">
        <v>24</v>
      </c>
      <c r="G2408" s="34" t="s">
        <v>510</v>
      </c>
      <c r="H2408" s="35" t="s">
        <v>26</v>
      </c>
      <c r="I2408" s="57"/>
      <c r="J2408" s="57"/>
      <c r="K2408" s="57"/>
      <c r="L2408" s="84"/>
    </row>
    <row r="2409">
      <c r="A2409" s="32" t="s">
        <v>6289</v>
      </c>
      <c r="B2409" s="32" t="s">
        <v>6290</v>
      </c>
      <c r="C2409" s="33">
        <v>45975.0</v>
      </c>
      <c r="D2409" s="34" t="s">
        <v>22</v>
      </c>
      <c r="E2409" s="32" t="s">
        <v>263</v>
      </c>
      <c r="F2409" s="34" t="s">
        <v>24</v>
      </c>
      <c r="G2409" s="34" t="s">
        <v>6291</v>
      </c>
      <c r="H2409" s="35" t="s">
        <v>26</v>
      </c>
      <c r="I2409" s="57"/>
      <c r="J2409" s="57"/>
      <c r="K2409" s="57"/>
      <c r="L2409" s="84"/>
    </row>
    <row r="2410">
      <c r="A2410" s="32" t="s">
        <v>6292</v>
      </c>
      <c r="B2410" s="32" t="s">
        <v>6293</v>
      </c>
      <c r="C2410" s="33">
        <v>45975.0</v>
      </c>
      <c r="D2410" s="34" t="s">
        <v>39</v>
      </c>
      <c r="E2410" s="32" t="s">
        <v>6294</v>
      </c>
      <c r="F2410" s="34" t="s">
        <v>53</v>
      </c>
      <c r="G2410" s="34" t="s">
        <v>1158</v>
      </c>
      <c r="H2410" s="35" t="s">
        <v>26</v>
      </c>
      <c r="I2410" s="57"/>
      <c r="J2410" s="57"/>
      <c r="K2410" s="57"/>
      <c r="L2410" s="84"/>
    </row>
    <row r="2411">
      <c r="A2411" s="32" t="s">
        <v>6295</v>
      </c>
      <c r="B2411" s="32" t="s">
        <v>6295</v>
      </c>
      <c r="C2411" s="33">
        <v>45975.0</v>
      </c>
      <c r="D2411" s="47" t="s">
        <v>22</v>
      </c>
      <c r="E2411" s="32" t="s">
        <v>6296</v>
      </c>
      <c r="F2411" s="34" t="s">
        <v>156</v>
      </c>
      <c r="G2411" s="34" t="s">
        <v>32</v>
      </c>
      <c r="H2411" s="35" t="s">
        <v>26</v>
      </c>
      <c r="I2411" s="57"/>
      <c r="J2411" s="57"/>
      <c r="K2411" s="57"/>
      <c r="L2411" s="84"/>
    </row>
    <row r="2412">
      <c r="A2412" s="32" t="s">
        <v>6297</v>
      </c>
      <c r="B2412" s="32" t="s">
        <v>6298</v>
      </c>
      <c r="C2412" s="33">
        <v>45975.0</v>
      </c>
      <c r="D2412" s="34" t="s">
        <v>22</v>
      </c>
      <c r="E2412" s="32" t="s">
        <v>6278</v>
      </c>
      <c r="F2412" s="34" t="s">
        <v>24</v>
      </c>
      <c r="G2412" s="34" t="s">
        <v>41</v>
      </c>
      <c r="H2412" s="35" t="s">
        <v>26</v>
      </c>
      <c r="I2412" s="57"/>
      <c r="J2412" s="57"/>
      <c r="K2412" s="57"/>
      <c r="L2412" s="84"/>
    </row>
    <row r="2413">
      <c r="A2413" s="32" t="s">
        <v>6299</v>
      </c>
      <c r="B2413" s="32" t="s">
        <v>6300</v>
      </c>
      <c r="C2413" s="33">
        <v>45975.0</v>
      </c>
      <c r="D2413" s="34" t="s">
        <v>22</v>
      </c>
      <c r="E2413" s="32" t="s">
        <v>5454</v>
      </c>
      <c r="F2413" s="34" t="s">
        <v>53</v>
      </c>
      <c r="G2413" s="34" t="s">
        <v>4930</v>
      </c>
      <c r="H2413" s="66"/>
      <c r="I2413" s="57"/>
      <c r="J2413" s="57"/>
      <c r="K2413" s="57"/>
      <c r="L2413" s="84"/>
    </row>
    <row r="2414">
      <c r="A2414" s="32" t="s">
        <v>6301</v>
      </c>
      <c r="B2414" s="32" t="s">
        <v>6302</v>
      </c>
      <c r="C2414" s="33">
        <v>45975.0</v>
      </c>
      <c r="D2414" s="34" t="s">
        <v>22</v>
      </c>
      <c r="E2414" s="32" t="s">
        <v>6303</v>
      </c>
      <c r="F2414" s="34" t="s">
        <v>53</v>
      </c>
      <c r="G2414" s="34" t="s">
        <v>41</v>
      </c>
      <c r="H2414" s="35" t="s">
        <v>26</v>
      </c>
      <c r="I2414" s="57"/>
      <c r="J2414" s="57"/>
      <c r="K2414" s="57"/>
      <c r="L2414" s="84"/>
    </row>
    <row r="2415">
      <c r="A2415" s="32" t="s">
        <v>6304</v>
      </c>
      <c r="B2415" s="32" t="s">
        <v>6305</v>
      </c>
      <c r="C2415" s="33">
        <v>45975.0</v>
      </c>
      <c r="D2415" s="34" t="s">
        <v>22</v>
      </c>
      <c r="E2415" s="32" t="s">
        <v>6306</v>
      </c>
      <c r="F2415" s="34" t="s">
        <v>53</v>
      </c>
      <c r="G2415" s="34" t="s">
        <v>6307</v>
      </c>
      <c r="H2415" s="35" t="s">
        <v>26</v>
      </c>
      <c r="I2415" s="57"/>
      <c r="J2415" s="57"/>
      <c r="K2415" s="57"/>
      <c r="L2415" s="84"/>
    </row>
    <row r="2416">
      <c r="A2416" s="67">
        <v>1914.0</v>
      </c>
      <c r="B2416" s="32" t="s">
        <v>6308</v>
      </c>
      <c r="C2416" s="33">
        <v>45975.0</v>
      </c>
      <c r="D2416" s="34" t="s">
        <v>22</v>
      </c>
      <c r="E2416" s="32" t="s">
        <v>2930</v>
      </c>
      <c r="F2416" s="34" t="s">
        <v>24</v>
      </c>
      <c r="G2416" s="34" t="s">
        <v>4293</v>
      </c>
      <c r="H2416" s="35" t="s">
        <v>26</v>
      </c>
      <c r="I2416" s="57"/>
      <c r="J2416" s="57"/>
      <c r="K2416" s="57"/>
      <c r="L2416" s="84"/>
    </row>
    <row r="2417">
      <c r="A2417" s="32" t="s">
        <v>6309</v>
      </c>
      <c r="B2417" s="32" t="s">
        <v>6310</v>
      </c>
      <c r="C2417" s="33">
        <v>45975.0</v>
      </c>
      <c r="D2417" s="34" t="s">
        <v>22</v>
      </c>
      <c r="E2417" s="32" t="s">
        <v>416</v>
      </c>
      <c r="F2417" s="34" t="s">
        <v>53</v>
      </c>
      <c r="G2417" s="34" t="s">
        <v>6311</v>
      </c>
      <c r="H2417" s="35" t="s">
        <v>26</v>
      </c>
      <c r="I2417" s="57"/>
      <c r="J2417" s="57"/>
      <c r="K2417" s="57"/>
      <c r="L2417" s="84"/>
    </row>
    <row r="2418">
      <c r="A2418" s="31" t="s">
        <v>6312</v>
      </c>
      <c r="B2418" s="32" t="s">
        <v>6313</v>
      </c>
      <c r="C2418" s="33">
        <v>45975.0</v>
      </c>
      <c r="D2418" s="34" t="s">
        <v>22</v>
      </c>
      <c r="E2418" s="32" t="s">
        <v>945</v>
      </c>
      <c r="F2418" s="34" t="s">
        <v>53</v>
      </c>
      <c r="G2418" s="34" t="s">
        <v>6314</v>
      </c>
      <c r="H2418" s="35" t="s">
        <v>26</v>
      </c>
      <c r="I2418" s="57"/>
      <c r="J2418" s="57"/>
      <c r="K2418" s="57"/>
      <c r="L2418" s="84"/>
    </row>
    <row r="2419">
      <c r="A2419" s="31" t="s">
        <v>6315</v>
      </c>
      <c r="B2419" s="32" t="s">
        <v>6316</v>
      </c>
      <c r="C2419" s="33">
        <v>45975.0</v>
      </c>
      <c r="D2419" s="34" t="s">
        <v>22</v>
      </c>
      <c r="E2419" s="32" t="s">
        <v>2002</v>
      </c>
      <c r="F2419" s="34" t="s">
        <v>24</v>
      </c>
      <c r="G2419" s="34" t="s">
        <v>1213</v>
      </c>
      <c r="H2419" s="35" t="s">
        <v>26</v>
      </c>
      <c r="I2419" s="57"/>
      <c r="J2419" s="57"/>
      <c r="K2419" s="57"/>
      <c r="L2419" s="84"/>
    </row>
    <row r="2420">
      <c r="A2420" s="31" t="s">
        <v>6317</v>
      </c>
      <c r="B2420" s="32" t="s">
        <v>6318</v>
      </c>
      <c r="C2420" s="33">
        <v>45975.0</v>
      </c>
      <c r="D2420" s="34" t="s">
        <v>22</v>
      </c>
      <c r="E2420" s="32" t="s">
        <v>4485</v>
      </c>
      <c r="F2420" s="34" t="s">
        <v>24</v>
      </c>
      <c r="G2420" s="34" t="s">
        <v>62</v>
      </c>
      <c r="H2420" s="35" t="s">
        <v>26</v>
      </c>
      <c r="I2420" s="57"/>
      <c r="J2420" s="57"/>
      <c r="K2420" s="57"/>
      <c r="L2420" s="84"/>
    </row>
    <row r="2421">
      <c r="A2421" s="31" t="s">
        <v>6319</v>
      </c>
      <c r="B2421" s="32" t="s">
        <v>6320</v>
      </c>
      <c r="C2421" s="33">
        <v>45975.0</v>
      </c>
      <c r="D2421" s="34" t="s">
        <v>22</v>
      </c>
      <c r="E2421" s="32" t="s">
        <v>513</v>
      </c>
      <c r="F2421" s="34" t="s">
        <v>156</v>
      </c>
      <c r="G2421" s="34" t="s">
        <v>450</v>
      </c>
      <c r="H2421" s="35" t="s">
        <v>26</v>
      </c>
      <c r="I2421" s="57"/>
      <c r="J2421" s="57"/>
      <c r="K2421" s="57"/>
      <c r="L2421" s="84"/>
    </row>
    <row r="2422">
      <c r="A2422" s="31" t="s">
        <v>6321</v>
      </c>
      <c r="B2422" s="32" t="s">
        <v>6322</v>
      </c>
      <c r="C2422" s="33">
        <v>45975.0</v>
      </c>
      <c r="D2422" s="34" t="s">
        <v>22</v>
      </c>
      <c r="E2422" s="32" t="s">
        <v>355</v>
      </c>
      <c r="F2422" s="34" t="s">
        <v>24</v>
      </c>
      <c r="G2422" s="34" t="s">
        <v>299</v>
      </c>
      <c r="H2422" s="35" t="s">
        <v>26</v>
      </c>
      <c r="I2422" s="57"/>
      <c r="J2422" s="57"/>
      <c r="K2422" s="57"/>
      <c r="L2422" s="84"/>
    </row>
    <row r="2423">
      <c r="A2423" s="32" t="s">
        <v>6323</v>
      </c>
      <c r="B2423" s="32" t="s">
        <v>6324</v>
      </c>
      <c r="C2423" s="33">
        <v>45975.0</v>
      </c>
      <c r="D2423" s="34" t="s">
        <v>22</v>
      </c>
      <c r="E2423" s="32" t="s">
        <v>705</v>
      </c>
      <c r="F2423" s="34" t="s">
        <v>156</v>
      </c>
      <c r="G2423" s="34" t="s">
        <v>257</v>
      </c>
      <c r="H2423" s="35" t="s">
        <v>26</v>
      </c>
      <c r="I2423" s="57"/>
      <c r="J2423" s="57"/>
      <c r="K2423" s="57"/>
      <c r="L2423" s="84"/>
    </row>
    <row r="2424">
      <c r="A2424" s="32" t="s">
        <v>6325</v>
      </c>
      <c r="B2424" s="32" t="s">
        <v>581</v>
      </c>
      <c r="C2424" s="33">
        <v>45975.0</v>
      </c>
      <c r="D2424" s="34" t="s">
        <v>22</v>
      </c>
      <c r="E2424" s="32" t="s">
        <v>598</v>
      </c>
      <c r="F2424" s="34" t="s">
        <v>53</v>
      </c>
      <c r="G2424" s="34" t="s">
        <v>1938</v>
      </c>
      <c r="H2424" s="35" t="s">
        <v>26</v>
      </c>
      <c r="I2424" s="57"/>
      <c r="J2424" s="57"/>
      <c r="K2424" s="57"/>
      <c r="L2424" s="84"/>
    </row>
    <row r="2425">
      <c r="A2425" s="32" t="s">
        <v>6326</v>
      </c>
      <c r="B2425" s="32" t="s">
        <v>6327</v>
      </c>
      <c r="C2425" s="33">
        <v>45975.0</v>
      </c>
      <c r="D2425" s="34" t="s">
        <v>22</v>
      </c>
      <c r="E2425" s="32" t="s">
        <v>1807</v>
      </c>
      <c r="F2425" s="34" t="s">
        <v>24</v>
      </c>
      <c r="G2425" s="34" t="s">
        <v>202</v>
      </c>
      <c r="H2425" s="35" t="s">
        <v>26</v>
      </c>
      <c r="I2425" s="57"/>
      <c r="J2425" s="57"/>
      <c r="K2425" s="57"/>
      <c r="L2425" s="84"/>
    </row>
    <row r="2426">
      <c r="A2426" s="32" t="s">
        <v>6328</v>
      </c>
      <c r="B2426" s="32" t="s">
        <v>6329</v>
      </c>
      <c r="C2426" s="33">
        <v>45975.0</v>
      </c>
      <c r="D2426" s="34" t="s">
        <v>22</v>
      </c>
      <c r="E2426" s="32" t="s">
        <v>5144</v>
      </c>
      <c r="F2426" s="34" t="s">
        <v>24</v>
      </c>
      <c r="G2426" s="34" t="s">
        <v>342</v>
      </c>
      <c r="H2426" s="35" t="s">
        <v>26</v>
      </c>
      <c r="I2426" s="57"/>
      <c r="J2426" s="57"/>
      <c r="K2426" s="57"/>
      <c r="L2426" s="84"/>
    </row>
    <row r="2427">
      <c r="A2427" s="32" t="s">
        <v>6330</v>
      </c>
      <c r="B2427" s="32" t="s">
        <v>6331</v>
      </c>
      <c r="C2427" s="33">
        <v>45975.0</v>
      </c>
      <c r="D2427" s="34" t="s">
        <v>22</v>
      </c>
      <c r="E2427" s="32" t="s">
        <v>4762</v>
      </c>
      <c r="F2427" s="34" t="s">
        <v>24</v>
      </c>
      <c r="G2427" s="34" t="s">
        <v>225</v>
      </c>
      <c r="H2427" s="35" t="s">
        <v>26</v>
      </c>
      <c r="I2427" s="57"/>
      <c r="J2427" s="57"/>
      <c r="K2427" s="57"/>
      <c r="L2427" s="84"/>
    </row>
    <row r="2428">
      <c r="A2428" s="32" t="s">
        <v>6332</v>
      </c>
      <c r="B2428" s="32" t="s">
        <v>6333</v>
      </c>
      <c r="C2428" s="33">
        <v>45975.0</v>
      </c>
      <c r="D2428" s="34" t="s">
        <v>22</v>
      </c>
      <c r="E2428" s="32" t="s">
        <v>6334</v>
      </c>
      <c r="F2428" s="34" t="s">
        <v>24</v>
      </c>
      <c r="G2428" s="34" t="s">
        <v>1772</v>
      </c>
      <c r="H2428" s="35" t="s">
        <v>26</v>
      </c>
      <c r="I2428" s="57"/>
      <c r="J2428" s="57"/>
      <c r="K2428" s="57"/>
      <c r="L2428" s="84"/>
    </row>
    <row r="2429">
      <c r="A2429" s="32" t="s">
        <v>6335</v>
      </c>
      <c r="B2429" s="32" t="s">
        <v>6336</v>
      </c>
      <c r="C2429" s="33">
        <v>45975.0</v>
      </c>
      <c r="D2429" s="34" t="s">
        <v>22</v>
      </c>
      <c r="E2429" s="32" t="s">
        <v>73</v>
      </c>
      <c r="F2429" s="34" t="s">
        <v>24</v>
      </c>
      <c r="G2429" s="34" t="s">
        <v>6337</v>
      </c>
      <c r="H2429" s="35" t="s">
        <v>26</v>
      </c>
      <c r="I2429" s="57"/>
      <c r="J2429" s="57"/>
      <c r="K2429" s="57"/>
      <c r="L2429" s="84"/>
    </row>
    <row r="2430">
      <c r="A2430" s="32" t="s">
        <v>6338</v>
      </c>
      <c r="B2430" s="32" t="s">
        <v>6339</v>
      </c>
      <c r="C2430" s="33">
        <v>45975.0</v>
      </c>
      <c r="D2430" s="34" t="s">
        <v>22</v>
      </c>
      <c r="E2430" s="32" t="s">
        <v>817</v>
      </c>
      <c r="F2430" s="34" t="s">
        <v>53</v>
      </c>
      <c r="G2430" s="34" t="s">
        <v>1261</v>
      </c>
      <c r="H2430" s="35" t="s">
        <v>26</v>
      </c>
      <c r="I2430" s="57"/>
      <c r="J2430" s="57"/>
      <c r="K2430" s="57"/>
      <c r="L2430" s="84"/>
    </row>
    <row r="2431">
      <c r="A2431" s="32" t="s">
        <v>6340</v>
      </c>
      <c r="B2431" s="32" t="s">
        <v>6341</v>
      </c>
      <c r="C2431" s="33">
        <v>45975.0</v>
      </c>
      <c r="D2431" s="34" t="s">
        <v>22</v>
      </c>
      <c r="E2431" s="32" t="s">
        <v>6342</v>
      </c>
      <c r="F2431" s="34" t="s">
        <v>53</v>
      </c>
      <c r="G2431" s="34" t="s">
        <v>2644</v>
      </c>
      <c r="H2431" s="35" t="s">
        <v>26</v>
      </c>
      <c r="I2431" s="57"/>
      <c r="J2431" s="57"/>
      <c r="K2431" s="57"/>
      <c r="L2431" s="84"/>
    </row>
    <row r="2432">
      <c r="A2432" s="32" t="s">
        <v>6343</v>
      </c>
      <c r="B2432" s="32" t="s">
        <v>6344</v>
      </c>
      <c r="C2432" s="33">
        <v>45975.0</v>
      </c>
      <c r="D2432" s="34" t="s">
        <v>22</v>
      </c>
      <c r="E2432" s="32" t="s">
        <v>6345</v>
      </c>
      <c r="F2432" s="34" t="s">
        <v>24</v>
      </c>
      <c r="G2432" s="34" t="s">
        <v>1560</v>
      </c>
      <c r="H2432" s="35" t="s">
        <v>26</v>
      </c>
      <c r="I2432" s="57"/>
      <c r="J2432" s="57"/>
      <c r="K2432" s="57"/>
      <c r="L2432" s="84"/>
    </row>
    <row r="2433">
      <c r="A2433" s="32" t="s">
        <v>6346</v>
      </c>
      <c r="B2433" s="32" t="s">
        <v>6347</v>
      </c>
      <c r="C2433" s="33">
        <v>45975.0</v>
      </c>
      <c r="D2433" s="34" t="s">
        <v>22</v>
      </c>
      <c r="E2433" s="32" t="s">
        <v>1425</v>
      </c>
      <c r="F2433" s="34" t="s">
        <v>156</v>
      </c>
      <c r="G2433" s="34" t="s">
        <v>6348</v>
      </c>
      <c r="H2433" s="35" t="s">
        <v>26</v>
      </c>
      <c r="I2433" s="57"/>
      <c r="J2433" s="57"/>
      <c r="K2433" s="57"/>
      <c r="L2433" s="84"/>
    </row>
    <row r="2434">
      <c r="A2434" s="32" t="s">
        <v>6349</v>
      </c>
      <c r="B2434" s="32" t="s">
        <v>6350</v>
      </c>
      <c r="C2434" s="33">
        <v>45975.0</v>
      </c>
      <c r="D2434" s="47" t="s">
        <v>39</v>
      </c>
      <c r="E2434" s="32" t="s">
        <v>61</v>
      </c>
      <c r="F2434" s="34" t="s">
        <v>24</v>
      </c>
      <c r="G2434" s="34" t="s">
        <v>2676</v>
      </c>
      <c r="H2434" s="35" t="s">
        <v>26</v>
      </c>
      <c r="I2434" s="57"/>
      <c r="J2434" s="57"/>
      <c r="K2434" s="57"/>
      <c r="L2434" s="84"/>
    </row>
    <row r="2435">
      <c r="A2435" s="32" t="s">
        <v>6351</v>
      </c>
      <c r="B2435" s="32" t="s">
        <v>6352</v>
      </c>
      <c r="C2435" s="33">
        <v>45975.0</v>
      </c>
      <c r="D2435" s="34" t="s">
        <v>22</v>
      </c>
      <c r="E2435" s="32" t="s">
        <v>6353</v>
      </c>
      <c r="F2435" s="34" t="s">
        <v>156</v>
      </c>
      <c r="G2435" s="34" t="s">
        <v>528</v>
      </c>
      <c r="H2435" s="35" t="s">
        <v>26</v>
      </c>
      <c r="I2435" s="57"/>
      <c r="J2435" s="57"/>
      <c r="K2435" s="57"/>
      <c r="L2435" s="84"/>
    </row>
    <row r="2436">
      <c r="A2436" s="32" t="s">
        <v>6354</v>
      </c>
      <c r="B2436" s="32" t="s">
        <v>6355</v>
      </c>
      <c r="C2436" s="33">
        <v>45975.0</v>
      </c>
      <c r="D2436" s="34" t="s">
        <v>22</v>
      </c>
      <c r="E2436" s="32" t="s">
        <v>3976</v>
      </c>
      <c r="F2436" s="34" t="s">
        <v>53</v>
      </c>
      <c r="G2436" s="34" t="s">
        <v>199</v>
      </c>
      <c r="H2436" s="66"/>
      <c r="I2436" s="57"/>
      <c r="J2436" s="57"/>
      <c r="K2436" s="57"/>
      <c r="L2436" s="84"/>
    </row>
    <row r="2437">
      <c r="A2437" s="32" t="s">
        <v>6356</v>
      </c>
      <c r="B2437" s="32" t="s">
        <v>6357</v>
      </c>
      <c r="C2437" s="33">
        <v>45975.0</v>
      </c>
      <c r="D2437" s="34" t="s">
        <v>22</v>
      </c>
      <c r="E2437" s="32" t="s">
        <v>6252</v>
      </c>
      <c r="F2437" s="34" t="s">
        <v>24</v>
      </c>
      <c r="G2437" s="34" t="s">
        <v>6358</v>
      </c>
      <c r="H2437" s="35" t="s">
        <v>26</v>
      </c>
      <c r="I2437" s="57"/>
      <c r="J2437" s="57"/>
      <c r="K2437" s="57"/>
      <c r="L2437" s="84"/>
    </row>
    <row r="2438">
      <c r="A2438" s="32" t="s">
        <v>6359</v>
      </c>
      <c r="B2438" s="32" t="s">
        <v>6360</v>
      </c>
      <c r="C2438" s="33">
        <v>45978.0</v>
      </c>
      <c r="D2438" s="47" t="s">
        <v>39</v>
      </c>
      <c r="E2438" s="32" t="s">
        <v>6361</v>
      </c>
      <c r="F2438" s="34" t="s">
        <v>53</v>
      </c>
      <c r="G2438" s="34" t="s">
        <v>32</v>
      </c>
      <c r="H2438" s="35" t="s">
        <v>26</v>
      </c>
      <c r="I2438" s="57"/>
      <c r="J2438" s="57"/>
      <c r="K2438" s="57"/>
      <c r="L2438" s="84"/>
    </row>
    <row r="2439">
      <c r="A2439" s="32" t="s">
        <v>6362</v>
      </c>
      <c r="B2439" s="32" t="s">
        <v>6363</v>
      </c>
      <c r="C2439" s="33">
        <v>45978.0</v>
      </c>
      <c r="D2439" s="34" t="s">
        <v>39</v>
      </c>
      <c r="E2439" s="32" t="s">
        <v>416</v>
      </c>
      <c r="F2439" s="34" t="s">
        <v>53</v>
      </c>
      <c r="G2439" s="34" t="s">
        <v>141</v>
      </c>
      <c r="H2439" s="35" t="s">
        <v>26</v>
      </c>
      <c r="I2439" s="57"/>
      <c r="J2439" s="57"/>
      <c r="K2439" s="57"/>
      <c r="L2439" s="84"/>
    </row>
    <row r="2440">
      <c r="A2440" s="32" t="s">
        <v>6364</v>
      </c>
      <c r="B2440" s="32" t="s">
        <v>6365</v>
      </c>
      <c r="C2440" s="33">
        <v>45979.0</v>
      </c>
      <c r="D2440" s="34" t="s">
        <v>22</v>
      </c>
      <c r="E2440" s="32" t="s">
        <v>73</v>
      </c>
      <c r="F2440" s="34" t="s">
        <v>24</v>
      </c>
      <c r="G2440" s="34" t="s">
        <v>6366</v>
      </c>
      <c r="H2440" s="35" t="s">
        <v>26</v>
      </c>
      <c r="I2440" s="57"/>
      <c r="J2440" s="57"/>
      <c r="K2440" s="57"/>
      <c r="L2440" s="84"/>
    </row>
    <row r="2441">
      <c r="A2441" s="31" t="s">
        <v>6367</v>
      </c>
      <c r="B2441" s="32" t="s">
        <v>6368</v>
      </c>
      <c r="C2441" s="33">
        <v>45981.0</v>
      </c>
      <c r="D2441" s="34" t="s">
        <v>22</v>
      </c>
      <c r="E2441" s="32" t="s">
        <v>3292</v>
      </c>
      <c r="F2441" s="34" t="s">
        <v>24</v>
      </c>
      <c r="G2441" s="34" t="s">
        <v>417</v>
      </c>
      <c r="H2441" s="35" t="s">
        <v>26</v>
      </c>
      <c r="I2441" s="57"/>
      <c r="J2441" s="57"/>
      <c r="K2441" s="57"/>
      <c r="L2441" s="84"/>
    </row>
    <row r="2442">
      <c r="A2442" s="32" t="s">
        <v>6369</v>
      </c>
      <c r="B2442" s="32" t="s">
        <v>6370</v>
      </c>
      <c r="C2442" s="33">
        <v>45981.0</v>
      </c>
      <c r="D2442" s="34" t="s">
        <v>22</v>
      </c>
      <c r="E2442" s="32" t="s">
        <v>2632</v>
      </c>
      <c r="F2442" s="34" t="s">
        <v>156</v>
      </c>
      <c r="G2442" s="34" t="s">
        <v>430</v>
      </c>
      <c r="H2442" s="35" t="s">
        <v>26</v>
      </c>
      <c r="I2442" s="57"/>
      <c r="J2442" s="57"/>
      <c r="K2442" s="57"/>
      <c r="L2442" s="84"/>
    </row>
    <row r="2443">
      <c r="A2443" s="32" t="s">
        <v>5145</v>
      </c>
      <c r="B2443" s="32" t="s">
        <v>6371</v>
      </c>
      <c r="C2443" s="33">
        <v>45981.0</v>
      </c>
      <c r="D2443" s="34" t="s">
        <v>22</v>
      </c>
      <c r="E2443" s="32" t="s">
        <v>3126</v>
      </c>
      <c r="F2443" s="34" t="s">
        <v>53</v>
      </c>
      <c r="G2443" s="34" t="s">
        <v>157</v>
      </c>
      <c r="H2443" s="35" t="s">
        <v>26</v>
      </c>
      <c r="I2443" s="57"/>
      <c r="J2443" s="57"/>
      <c r="K2443" s="57"/>
      <c r="L2443" s="84"/>
    </row>
    <row r="2444">
      <c r="A2444" s="32" t="s">
        <v>2251</v>
      </c>
      <c r="B2444" s="32" t="s">
        <v>6372</v>
      </c>
      <c r="C2444" s="33">
        <v>45982.0</v>
      </c>
      <c r="D2444" s="34" t="s">
        <v>22</v>
      </c>
      <c r="E2444" s="32" t="s">
        <v>6373</v>
      </c>
      <c r="F2444" s="34" t="s">
        <v>53</v>
      </c>
      <c r="G2444" s="34" t="s">
        <v>112</v>
      </c>
      <c r="H2444" s="66"/>
      <c r="I2444" s="57"/>
      <c r="J2444" s="57"/>
      <c r="K2444" s="57"/>
      <c r="L2444" s="84"/>
    </row>
    <row r="2445">
      <c r="A2445" s="32" t="s">
        <v>158</v>
      </c>
      <c r="B2445" s="32" t="s">
        <v>6374</v>
      </c>
      <c r="C2445" s="33">
        <v>45982.0</v>
      </c>
      <c r="D2445" s="34" t="s">
        <v>39</v>
      </c>
      <c r="E2445" s="32" t="s">
        <v>160</v>
      </c>
      <c r="F2445" s="34" t="s">
        <v>24</v>
      </c>
      <c r="G2445" s="34" t="s">
        <v>161</v>
      </c>
      <c r="H2445" s="66"/>
      <c r="I2445" s="57"/>
      <c r="J2445" s="57"/>
      <c r="K2445" s="57"/>
      <c r="L2445" s="84"/>
    </row>
    <row r="2446">
      <c r="A2446" s="32" t="s">
        <v>6375</v>
      </c>
      <c r="B2446" s="32" t="s">
        <v>6376</v>
      </c>
      <c r="C2446" s="33">
        <v>45982.0</v>
      </c>
      <c r="D2446" s="34" t="s">
        <v>39</v>
      </c>
      <c r="E2446" s="32" t="s">
        <v>2048</v>
      </c>
      <c r="F2446" s="34" t="s">
        <v>24</v>
      </c>
      <c r="G2446" s="34" t="s">
        <v>62</v>
      </c>
      <c r="H2446" s="35" t="s">
        <v>26</v>
      </c>
      <c r="I2446" s="57"/>
      <c r="J2446" s="57"/>
      <c r="K2446" s="57"/>
      <c r="L2446" s="84"/>
    </row>
    <row r="2447">
      <c r="A2447" s="32" t="s">
        <v>6377</v>
      </c>
      <c r="B2447" s="32" t="s">
        <v>6378</v>
      </c>
      <c r="C2447" s="33">
        <v>45982.0</v>
      </c>
      <c r="D2447" s="34" t="s">
        <v>22</v>
      </c>
      <c r="E2447" s="32" t="s">
        <v>4071</v>
      </c>
      <c r="F2447" s="34" t="s">
        <v>24</v>
      </c>
      <c r="G2447" s="34" t="s">
        <v>6379</v>
      </c>
      <c r="H2447" s="35" t="s">
        <v>26</v>
      </c>
      <c r="I2447" s="57"/>
      <c r="J2447" s="57"/>
      <c r="K2447" s="57"/>
      <c r="L2447" s="84"/>
    </row>
    <row r="2448">
      <c r="A2448" s="32" t="s">
        <v>6380</v>
      </c>
      <c r="B2448" s="32" t="s">
        <v>6381</v>
      </c>
      <c r="C2448" s="33">
        <v>45982.0</v>
      </c>
      <c r="D2448" s="34" t="s">
        <v>22</v>
      </c>
      <c r="E2448" s="32" t="s">
        <v>1850</v>
      </c>
      <c r="F2448" s="34" t="s">
        <v>24</v>
      </c>
      <c r="G2448" s="34" t="s">
        <v>442</v>
      </c>
      <c r="H2448" s="66"/>
      <c r="I2448" s="57"/>
      <c r="J2448" s="57"/>
      <c r="K2448" s="57"/>
      <c r="L2448" s="84"/>
    </row>
    <row r="2449">
      <c r="A2449" s="32" t="s">
        <v>6382</v>
      </c>
      <c r="B2449" s="32" t="s">
        <v>6383</v>
      </c>
      <c r="C2449" s="33">
        <v>45982.0</v>
      </c>
      <c r="D2449" s="47" t="s">
        <v>22</v>
      </c>
      <c r="E2449" s="32" t="s">
        <v>69</v>
      </c>
      <c r="F2449" s="34" t="s">
        <v>53</v>
      </c>
      <c r="G2449" s="34" t="s">
        <v>41</v>
      </c>
      <c r="H2449" s="66"/>
      <c r="I2449" s="57"/>
      <c r="J2449" s="57"/>
      <c r="K2449" s="57"/>
      <c r="L2449" s="84"/>
    </row>
    <row r="2450">
      <c r="A2450" s="32" t="s">
        <v>6384</v>
      </c>
      <c r="B2450" s="32" t="s">
        <v>6385</v>
      </c>
      <c r="C2450" s="33">
        <v>45982.0</v>
      </c>
      <c r="D2450" s="47" t="s">
        <v>22</v>
      </c>
      <c r="E2450" s="32" t="s">
        <v>122</v>
      </c>
      <c r="F2450" s="34" t="s">
        <v>156</v>
      </c>
      <c r="G2450" s="34" t="s">
        <v>152</v>
      </c>
      <c r="H2450" s="35" t="s">
        <v>26</v>
      </c>
      <c r="I2450" s="57"/>
      <c r="J2450" s="57"/>
      <c r="K2450" s="57"/>
      <c r="L2450" s="84"/>
    </row>
    <row r="2451">
      <c r="A2451" s="32" t="s">
        <v>6386</v>
      </c>
      <c r="B2451" s="32" t="s">
        <v>6387</v>
      </c>
      <c r="C2451" s="33">
        <v>45982.0</v>
      </c>
      <c r="D2451" s="34" t="s">
        <v>22</v>
      </c>
      <c r="E2451" s="32" t="s">
        <v>335</v>
      </c>
      <c r="F2451" s="34" t="s">
        <v>53</v>
      </c>
      <c r="G2451" s="34" t="s">
        <v>6388</v>
      </c>
      <c r="H2451" s="35" t="s">
        <v>26</v>
      </c>
      <c r="I2451" s="57"/>
      <c r="J2451" s="57"/>
      <c r="K2451" s="57"/>
      <c r="L2451" s="84"/>
    </row>
    <row r="2452">
      <c r="A2452" s="32" t="s">
        <v>6389</v>
      </c>
      <c r="B2452" s="32" t="s">
        <v>6390</v>
      </c>
      <c r="C2452" s="33">
        <v>45982.0</v>
      </c>
      <c r="D2452" s="69" t="s">
        <v>22</v>
      </c>
      <c r="E2452" s="32" t="s">
        <v>6391</v>
      </c>
      <c r="F2452" s="34" t="s">
        <v>156</v>
      </c>
      <c r="G2452" s="34" t="s">
        <v>1566</v>
      </c>
      <c r="H2452" s="35" t="s">
        <v>26</v>
      </c>
      <c r="I2452" s="57"/>
      <c r="J2452" s="57"/>
      <c r="K2452" s="57"/>
      <c r="L2452" s="84"/>
    </row>
    <row r="2453">
      <c r="A2453" s="32" t="s">
        <v>6392</v>
      </c>
      <c r="B2453" s="32" t="s">
        <v>6393</v>
      </c>
      <c r="C2453" s="33">
        <v>45982.0</v>
      </c>
      <c r="D2453" s="34" t="s">
        <v>22</v>
      </c>
      <c r="E2453" s="32" t="s">
        <v>335</v>
      </c>
      <c r="F2453" s="34" t="s">
        <v>53</v>
      </c>
      <c r="G2453" s="34" t="s">
        <v>302</v>
      </c>
      <c r="H2453" s="35" t="s">
        <v>26</v>
      </c>
      <c r="I2453" s="57"/>
      <c r="J2453" s="57"/>
      <c r="K2453" s="57"/>
      <c r="L2453" s="84"/>
    </row>
    <row r="2454">
      <c r="A2454" s="31" t="s">
        <v>6394</v>
      </c>
      <c r="B2454" s="32" t="s">
        <v>6395</v>
      </c>
      <c r="C2454" s="33">
        <v>45982.0</v>
      </c>
      <c r="D2454" s="34" t="s">
        <v>39</v>
      </c>
      <c r="E2454" s="32" t="s">
        <v>945</v>
      </c>
      <c r="F2454" s="34" t="s">
        <v>53</v>
      </c>
      <c r="G2454" s="34" t="s">
        <v>430</v>
      </c>
      <c r="H2454" s="66"/>
      <c r="I2454" s="57"/>
      <c r="J2454" s="57"/>
      <c r="K2454" s="57"/>
      <c r="L2454" s="84"/>
    </row>
    <row r="2455">
      <c r="A2455" s="31" t="s">
        <v>6396</v>
      </c>
      <c r="B2455" s="32" t="s">
        <v>6397</v>
      </c>
      <c r="C2455" s="33">
        <v>45982.0</v>
      </c>
      <c r="D2455" s="34" t="s">
        <v>22</v>
      </c>
      <c r="E2455" s="32" t="s">
        <v>463</v>
      </c>
      <c r="F2455" s="34" t="s">
        <v>156</v>
      </c>
      <c r="G2455" s="34" t="s">
        <v>1856</v>
      </c>
      <c r="H2455" s="35" t="s">
        <v>26</v>
      </c>
      <c r="I2455" s="57"/>
      <c r="J2455" s="57"/>
      <c r="K2455" s="57"/>
      <c r="L2455" s="84"/>
    </row>
    <row r="2456">
      <c r="A2456" s="31" t="s">
        <v>6398</v>
      </c>
      <c r="B2456" s="32" t="s">
        <v>6399</v>
      </c>
      <c r="C2456" s="33">
        <v>45982.0</v>
      </c>
      <c r="D2456" s="34" t="s">
        <v>22</v>
      </c>
      <c r="E2456" s="32" t="s">
        <v>1264</v>
      </c>
      <c r="F2456" s="34" t="s">
        <v>156</v>
      </c>
      <c r="G2456" s="34" t="s">
        <v>423</v>
      </c>
      <c r="H2456" s="35" t="s">
        <v>26</v>
      </c>
      <c r="I2456" s="57"/>
      <c r="J2456" s="57"/>
      <c r="K2456" s="57"/>
      <c r="L2456" s="84"/>
    </row>
    <row r="2457">
      <c r="A2457" s="31" t="s">
        <v>6400</v>
      </c>
      <c r="B2457" s="32" t="s">
        <v>6401</v>
      </c>
      <c r="C2457" s="33">
        <v>45982.0</v>
      </c>
      <c r="D2457" s="34" t="s">
        <v>22</v>
      </c>
      <c r="E2457" s="32" t="s">
        <v>331</v>
      </c>
      <c r="F2457" s="34" t="s">
        <v>156</v>
      </c>
      <c r="G2457" s="34" t="s">
        <v>6402</v>
      </c>
      <c r="H2457" s="35" t="s">
        <v>26</v>
      </c>
      <c r="I2457" s="57"/>
      <c r="J2457" s="57"/>
      <c r="K2457" s="57"/>
      <c r="L2457" s="84"/>
    </row>
    <row r="2458">
      <c r="A2458" s="31" t="s">
        <v>6403</v>
      </c>
      <c r="B2458" s="32" t="s">
        <v>6404</v>
      </c>
      <c r="C2458" s="33">
        <v>45982.0</v>
      </c>
      <c r="D2458" s="34" t="s">
        <v>22</v>
      </c>
      <c r="E2458" s="32" t="s">
        <v>1031</v>
      </c>
      <c r="F2458" s="34" t="s">
        <v>156</v>
      </c>
      <c r="G2458" s="34" t="s">
        <v>6405</v>
      </c>
      <c r="H2458" s="35" t="s">
        <v>26</v>
      </c>
      <c r="I2458" s="57"/>
      <c r="J2458" s="57"/>
      <c r="K2458" s="57"/>
      <c r="L2458" s="84"/>
    </row>
    <row r="2459">
      <c r="A2459" s="31" t="s">
        <v>6406</v>
      </c>
      <c r="B2459" s="32" t="s">
        <v>6407</v>
      </c>
      <c r="C2459" s="33">
        <v>45982.0</v>
      </c>
      <c r="D2459" s="34" t="s">
        <v>22</v>
      </c>
      <c r="E2459" s="32" t="s">
        <v>122</v>
      </c>
      <c r="F2459" s="34" t="s">
        <v>156</v>
      </c>
      <c r="G2459" s="34" t="s">
        <v>3501</v>
      </c>
      <c r="H2459" s="35" t="s">
        <v>26</v>
      </c>
      <c r="I2459" s="57"/>
      <c r="J2459" s="57"/>
      <c r="K2459" s="57"/>
      <c r="L2459" s="84"/>
    </row>
    <row r="2460">
      <c r="A2460" s="31" t="s">
        <v>6408</v>
      </c>
      <c r="B2460" s="32" t="s">
        <v>6409</v>
      </c>
      <c r="C2460" s="33">
        <v>45982.0</v>
      </c>
      <c r="D2460" s="34" t="s">
        <v>22</v>
      </c>
      <c r="E2460" s="32" t="s">
        <v>6410</v>
      </c>
      <c r="F2460" s="34" t="s">
        <v>156</v>
      </c>
      <c r="G2460" s="34" t="s">
        <v>6411</v>
      </c>
      <c r="H2460" s="35" t="s">
        <v>26</v>
      </c>
      <c r="I2460" s="57"/>
      <c r="J2460" s="57"/>
      <c r="K2460" s="57"/>
      <c r="L2460" s="84"/>
    </row>
    <row r="2461">
      <c r="A2461" s="31" t="s">
        <v>6412</v>
      </c>
      <c r="B2461" s="32" t="s">
        <v>6413</v>
      </c>
      <c r="C2461" s="33">
        <v>45982.0</v>
      </c>
      <c r="D2461" s="34" t="s">
        <v>22</v>
      </c>
      <c r="E2461" s="32" t="s">
        <v>6414</v>
      </c>
      <c r="F2461" s="34" t="s">
        <v>53</v>
      </c>
      <c r="G2461" s="34" t="s">
        <v>152</v>
      </c>
      <c r="H2461" s="35" t="s">
        <v>26</v>
      </c>
      <c r="I2461" s="57"/>
      <c r="J2461" s="57"/>
      <c r="K2461" s="57"/>
      <c r="L2461" s="84"/>
    </row>
    <row r="2462">
      <c r="A2462" s="31" t="s">
        <v>6415</v>
      </c>
      <c r="B2462" s="32" t="s">
        <v>6416</v>
      </c>
      <c r="C2462" s="33">
        <v>45982.0</v>
      </c>
      <c r="D2462" s="34" t="s">
        <v>22</v>
      </c>
      <c r="E2462" s="32" t="s">
        <v>122</v>
      </c>
      <c r="F2462" s="34" t="s">
        <v>31</v>
      </c>
      <c r="G2462" s="34" t="s">
        <v>792</v>
      </c>
      <c r="H2462" s="35" t="s">
        <v>26</v>
      </c>
      <c r="I2462" s="57"/>
      <c r="J2462" s="57"/>
      <c r="K2462" s="57"/>
      <c r="L2462" s="84"/>
    </row>
    <row r="2463">
      <c r="A2463" s="31" t="s">
        <v>6417</v>
      </c>
      <c r="B2463" s="32" t="s">
        <v>6418</v>
      </c>
      <c r="C2463" s="33">
        <v>45982.0</v>
      </c>
      <c r="D2463" s="34" t="s">
        <v>22</v>
      </c>
      <c r="E2463" s="32" t="s">
        <v>6419</v>
      </c>
      <c r="F2463" s="34" t="s">
        <v>53</v>
      </c>
      <c r="G2463" s="34" t="s">
        <v>1213</v>
      </c>
      <c r="H2463" s="66"/>
      <c r="I2463" s="57"/>
      <c r="J2463" s="57"/>
      <c r="K2463" s="57"/>
      <c r="L2463" s="84"/>
    </row>
    <row r="2464">
      <c r="A2464" s="31" t="s">
        <v>6420</v>
      </c>
      <c r="B2464" s="32" t="s">
        <v>6421</v>
      </c>
      <c r="C2464" s="33">
        <v>45982.0</v>
      </c>
      <c r="D2464" s="34" t="s">
        <v>22</v>
      </c>
      <c r="E2464" s="32" t="s">
        <v>1519</v>
      </c>
      <c r="F2464" s="34" t="s">
        <v>156</v>
      </c>
      <c r="G2464" s="34" t="s">
        <v>890</v>
      </c>
      <c r="H2464" s="35" t="s">
        <v>26</v>
      </c>
      <c r="I2464" s="57"/>
      <c r="J2464" s="57"/>
      <c r="K2464" s="57"/>
      <c r="L2464" s="84"/>
    </row>
    <row r="2465">
      <c r="A2465" s="31" t="s">
        <v>6422</v>
      </c>
      <c r="B2465" s="32" t="s">
        <v>6422</v>
      </c>
      <c r="C2465" s="33">
        <v>45982.0</v>
      </c>
      <c r="D2465" s="34" t="s">
        <v>22</v>
      </c>
      <c r="E2465" s="32" t="s">
        <v>4388</v>
      </c>
      <c r="F2465" s="34" t="s">
        <v>24</v>
      </c>
      <c r="G2465" s="34" t="s">
        <v>2003</v>
      </c>
      <c r="H2465" s="35" t="s">
        <v>26</v>
      </c>
      <c r="I2465" s="57"/>
      <c r="J2465" s="57"/>
      <c r="K2465" s="57"/>
      <c r="L2465" s="84"/>
    </row>
    <row r="2466">
      <c r="A2466" s="31" t="s">
        <v>6423</v>
      </c>
      <c r="B2466" s="32" t="s">
        <v>6424</v>
      </c>
      <c r="C2466" s="33">
        <v>45982.0</v>
      </c>
      <c r="D2466" s="34" t="s">
        <v>22</v>
      </c>
      <c r="E2466" s="32" t="s">
        <v>176</v>
      </c>
      <c r="F2466" s="34" t="s">
        <v>53</v>
      </c>
      <c r="G2466" s="34" t="s">
        <v>6402</v>
      </c>
      <c r="H2466" s="35" t="s">
        <v>26</v>
      </c>
      <c r="I2466" s="57"/>
      <c r="J2466" s="57"/>
      <c r="K2466" s="57"/>
      <c r="L2466" s="84"/>
    </row>
    <row r="2467">
      <c r="A2467" s="31" t="s">
        <v>6425</v>
      </c>
      <c r="B2467" s="32" t="s">
        <v>6426</v>
      </c>
      <c r="C2467" s="33">
        <v>45982.0</v>
      </c>
      <c r="D2467" s="34" t="s">
        <v>22</v>
      </c>
      <c r="E2467" s="32" t="s">
        <v>4762</v>
      </c>
      <c r="F2467" s="34" t="s">
        <v>24</v>
      </c>
      <c r="G2467" s="34" t="s">
        <v>884</v>
      </c>
      <c r="H2467" s="35" t="s">
        <v>26</v>
      </c>
      <c r="I2467" s="57"/>
      <c r="J2467" s="57"/>
      <c r="K2467" s="57"/>
      <c r="L2467" s="84"/>
    </row>
    <row r="2468">
      <c r="A2468" s="31" t="s">
        <v>6427</v>
      </c>
      <c r="B2468" s="32" t="s">
        <v>6428</v>
      </c>
      <c r="C2468" s="33">
        <v>45982.0</v>
      </c>
      <c r="D2468" s="47" t="s">
        <v>39</v>
      </c>
      <c r="E2468" s="32" t="s">
        <v>335</v>
      </c>
      <c r="F2468" s="34" t="s">
        <v>24</v>
      </c>
      <c r="G2468" s="34" t="s">
        <v>417</v>
      </c>
      <c r="H2468" s="35" t="s">
        <v>26</v>
      </c>
      <c r="I2468" s="57"/>
      <c r="J2468" s="57"/>
      <c r="K2468" s="57"/>
      <c r="L2468" s="84"/>
    </row>
    <row r="2469">
      <c r="A2469" s="31" t="s">
        <v>6429</v>
      </c>
      <c r="B2469" s="32" t="s">
        <v>6430</v>
      </c>
      <c r="C2469" s="33">
        <v>45982.0</v>
      </c>
      <c r="D2469" s="34" t="s">
        <v>22</v>
      </c>
      <c r="E2469" s="32" t="s">
        <v>61</v>
      </c>
      <c r="F2469" s="34" t="s">
        <v>24</v>
      </c>
      <c r="G2469" s="34" t="s">
        <v>1856</v>
      </c>
      <c r="H2469" s="35" t="s">
        <v>26</v>
      </c>
      <c r="I2469" s="57"/>
      <c r="J2469" s="57"/>
      <c r="K2469" s="57"/>
      <c r="L2469" s="84"/>
    </row>
    <row r="2470">
      <c r="A2470" s="31" t="s">
        <v>6431</v>
      </c>
      <c r="B2470" s="32" t="s">
        <v>6432</v>
      </c>
      <c r="C2470" s="33">
        <v>45982.0</v>
      </c>
      <c r="D2470" s="34" t="s">
        <v>22</v>
      </c>
      <c r="E2470" s="32" t="s">
        <v>69</v>
      </c>
      <c r="F2470" s="34" t="s">
        <v>24</v>
      </c>
      <c r="G2470" s="34" t="s">
        <v>2012</v>
      </c>
      <c r="H2470" s="35" t="s">
        <v>26</v>
      </c>
      <c r="I2470" s="57"/>
      <c r="J2470" s="57"/>
      <c r="K2470" s="57"/>
      <c r="L2470" s="84"/>
    </row>
    <row r="2471">
      <c r="A2471" s="31" t="s">
        <v>1461</v>
      </c>
      <c r="B2471" s="32" t="s">
        <v>6433</v>
      </c>
      <c r="C2471" s="33">
        <v>45982.0</v>
      </c>
      <c r="D2471" s="34" t="s">
        <v>22</v>
      </c>
      <c r="E2471" s="32" t="s">
        <v>61</v>
      </c>
      <c r="F2471" s="34" t="s">
        <v>24</v>
      </c>
      <c r="G2471" s="34" t="s">
        <v>890</v>
      </c>
      <c r="H2471" s="35" t="s">
        <v>26</v>
      </c>
      <c r="I2471" s="57"/>
      <c r="J2471" s="57"/>
      <c r="K2471" s="57"/>
      <c r="L2471" s="84"/>
    </row>
    <row r="2472">
      <c r="A2472" s="31" t="s">
        <v>6434</v>
      </c>
      <c r="B2472" s="32" t="s">
        <v>6435</v>
      </c>
      <c r="C2472" s="33">
        <v>45982.0</v>
      </c>
      <c r="D2472" s="34" t="s">
        <v>22</v>
      </c>
      <c r="E2472" s="32" t="s">
        <v>6436</v>
      </c>
      <c r="F2472" s="34" t="s">
        <v>24</v>
      </c>
      <c r="G2472" s="34" t="s">
        <v>6437</v>
      </c>
      <c r="H2472" s="35" t="s">
        <v>26</v>
      </c>
      <c r="I2472" s="57"/>
      <c r="J2472" s="57"/>
      <c r="K2472" s="57"/>
      <c r="L2472" s="84"/>
    </row>
    <row r="2473">
      <c r="A2473" s="31" t="s">
        <v>6438</v>
      </c>
      <c r="B2473" s="32" t="s">
        <v>6439</v>
      </c>
      <c r="C2473" s="33">
        <v>45982.0</v>
      </c>
      <c r="D2473" s="34" t="s">
        <v>39</v>
      </c>
      <c r="E2473" s="32" t="s">
        <v>61</v>
      </c>
      <c r="F2473" s="34" t="s">
        <v>24</v>
      </c>
      <c r="G2473" s="34" t="s">
        <v>6440</v>
      </c>
      <c r="H2473" s="35" t="s">
        <v>26</v>
      </c>
      <c r="I2473" s="57"/>
      <c r="J2473" s="57"/>
      <c r="K2473" s="57"/>
      <c r="L2473" s="84"/>
    </row>
    <row r="2474">
      <c r="A2474" s="32" t="s">
        <v>3418</v>
      </c>
      <c r="B2474" s="32" t="s">
        <v>6441</v>
      </c>
      <c r="C2474" s="33">
        <v>45982.0</v>
      </c>
      <c r="D2474" s="34" t="s">
        <v>22</v>
      </c>
      <c r="E2474" s="32" t="s">
        <v>473</v>
      </c>
      <c r="F2474" s="34" t="s">
        <v>31</v>
      </c>
      <c r="G2474" s="34" t="s">
        <v>3420</v>
      </c>
      <c r="H2474" s="35" t="s">
        <v>26</v>
      </c>
      <c r="I2474" s="57"/>
      <c r="J2474" s="57"/>
      <c r="K2474" s="57"/>
      <c r="L2474" s="84"/>
    </row>
    <row r="2475">
      <c r="A2475" s="31" t="s">
        <v>6442</v>
      </c>
      <c r="B2475" s="32" t="s">
        <v>6443</v>
      </c>
      <c r="C2475" s="33">
        <v>45987.0</v>
      </c>
      <c r="D2475" s="34" t="s">
        <v>39</v>
      </c>
      <c r="E2475" s="32" t="s">
        <v>122</v>
      </c>
      <c r="F2475" s="34" t="s">
        <v>53</v>
      </c>
      <c r="G2475" s="34" t="s">
        <v>2345</v>
      </c>
      <c r="H2475" s="35" t="s">
        <v>26</v>
      </c>
      <c r="I2475" s="57"/>
      <c r="J2475" s="57"/>
      <c r="K2475" s="57"/>
      <c r="L2475" s="84"/>
    </row>
    <row r="2476">
      <c r="A2476" s="31" t="s">
        <v>6444</v>
      </c>
      <c r="B2476" s="32" t="s">
        <v>6445</v>
      </c>
      <c r="C2476" s="33">
        <v>45987.0</v>
      </c>
      <c r="D2476" s="34" t="s">
        <v>22</v>
      </c>
      <c r="E2476" s="32" t="s">
        <v>6446</v>
      </c>
      <c r="F2476" s="34" t="s">
        <v>53</v>
      </c>
      <c r="G2476" s="34" t="s">
        <v>386</v>
      </c>
      <c r="H2476" s="35" t="s">
        <v>26</v>
      </c>
      <c r="I2476" s="57"/>
      <c r="J2476" s="57"/>
      <c r="K2476" s="57"/>
      <c r="L2476" s="84"/>
    </row>
    <row r="2477">
      <c r="A2477" s="31" t="s">
        <v>6447</v>
      </c>
      <c r="B2477" s="32" t="s">
        <v>6448</v>
      </c>
      <c r="C2477" s="33">
        <v>45987.0</v>
      </c>
      <c r="D2477" s="34" t="s">
        <v>22</v>
      </c>
      <c r="E2477" s="32" t="s">
        <v>61</v>
      </c>
      <c r="F2477" s="34" t="s">
        <v>24</v>
      </c>
      <c r="G2477" s="34" t="s">
        <v>1265</v>
      </c>
      <c r="H2477" s="35" t="s">
        <v>26</v>
      </c>
      <c r="I2477" s="57"/>
      <c r="J2477" s="57"/>
      <c r="K2477" s="57"/>
      <c r="L2477" s="84"/>
    </row>
    <row r="2478">
      <c r="A2478" s="32" t="s">
        <v>6449</v>
      </c>
      <c r="B2478" s="32" t="s">
        <v>6450</v>
      </c>
      <c r="C2478" s="33">
        <v>45987.0</v>
      </c>
      <c r="D2478" s="47" t="s">
        <v>22</v>
      </c>
      <c r="E2478" s="32" t="s">
        <v>69</v>
      </c>
      <c r="F2478" s="34" t="s">
        <v>24</v>
      </c>
      <c r="G2478" s="34" t="s">
        <v>6155</v>
      </c>
      <c r="H2478" s="35" t="s">
        <v>26</v>
      </c>
      <c r="I2478" s="57"/>
      <c r="J2478" s="57"/>
      <c r="K2478" s="57"/>
      <c r="L2478" s="84"/>
    </row>
    <row r="2479">
      <c r="A2479" s="31" t="s">
        <v>6451</v>
      </c>
      <c r="B2479" s="32" t="s">
        <v>6452</v>
      </c>
      <c r="C2479" s="33">
        <v>45988.0</v>
      </c>
      <c r="D2479" s="34" t="s">
        <v>22</v>
      </c>
      <c r="E2479" s="32" t="s">
        <v>122</v>
      </c>
      <c r="F2479" s="34" t="s">
        <v>53</v>
      </c>
      <c r="G2479" s="34" t="s">
        <v>725</v>
      </c>
      <c r="H2479" s="35" t="s">
        <v>26</v>
      </c>
      <c r="I2479" s="57"/>
      <c r="J2479" s="57"/>
      <c r="K2479" s="57"/>
      <c r="L2479" s="84"/>
    </row>
    <row r="2480">
      <c r="A2480" s="32" t="s">
        <v>6453</v>
      </c>
      <c r="B2480" s="32" t="s">
        <v>6454</v>
      </c>
      <c r="C2480" s="33">
        <v>45988.0</v>
      </c>
      <c r="D2480" s="34" t="s">
        <v>39</v>
      </c>
      <c r="E2480" s="32" t="s">
        <v>160</v>
      </c>
      <c r="F2480" s="34" t="s">
        <v>24</v>
      </c>
      <c r="G2480" s="34" t="s">
        <v>2915</v>
      </c>
      <c r="H2480" s="66"/>
      <c r="I2480" s="57"/>
      <c r="J2480" s="57"/>
      <c r="K2480" s="57"/>
      <c r="L2480" s="84"/>
    </row>
    <row r="2481">
      <c r="A2481" s="32" t="s">
        <v>6455</v>
      </c>
      <c r="B2481" s="32" t="s">
        <v>6456</v>
      </c>
      <c r="C2481" s="33">
        <v>45989.0</v>
      </c>
      <c r="D2481" s="34" t="s">
        <v>22</v>
      </c>
      <c r="E2481" s="32" t="s">
        <v>73</v>
      </c>
      <c r="F2481" s="34" t="s">
        <v>24</v>
      </c>
      <c r="G2481" s="34" t="s">
        <v>526</v>
      </c>
      <c r="H2481" s="35" t="s">
        <v>26</v>
      </c>
      <c r="I2481" s="57"/>
      <c r="J2481" s="57"/>
      <c r="K2481" s="57"/>
      <c r="L2481" s="84"/>
    </row>
    <row r="2482">
      <c r="A2482" s="31" t="s">
        <v>6457</v>
      </c>
      <c r="B2482" s="32" t="s">
        <v>6458</v>
      </c>
      <c r="C2482" s="33">
        <v>45989.0</v>
      </c>
      <c r="D2482" s="34" t="s">
        <v>22</v>
      </c>
      <c r="E2482" s="32" t="s">
        <v>3114</v>
      </c>
      <c r="F2482" s="34" t="s">
        <v>24</v>
      </c>
      <c r="G2482" s="34" t="s">
        <v>54</v>
      </c>
      <c r="H2482" s="35" t="s">
        <v>26</v>
      </c>
      <c r="I2482" s="57"/>
      <c r="J2482" s="57"/>
      <c r="K2482" s="57"/>
      <c r="L2482" s="84"/>
    </row>
    <row r="2483">
      <c r="A2483" s="31" t="s">
        <v>6459</v>
      </c>
      <c r="B2483" s="32" t="s">
        <v>6460</v>
      </c>
      <c r="C2483" s="33">
        <v>45989.0</v>
      </c>
      <c r="D2483" s="34" t="s">
        <v>22</v>
      </c>
      <c r="E2483" s="32" t="s">
        <v>6461</v>
      </c>
      <c r="F2483" s="34" t="s">
        <v>24</v>
      </c>
      <c r="G2483" s="34" t="s">
        <v>1098</v>
      </c>
      <c r="H2483" s="35" t="s">
        <v>26</v>
      </c>
      <c r="I2483" s="57"/>
      <c r="J2483" s="57"/>
      <c r="K2483" s="57"/>
      <c r="L2483" s="84"/>
    </row>
    <row r="2484">
      <c r="A2484" s="31" t="s">
        <v>6462</v>
      </c>
      <c r="B2484" s="32" t="s">
        <v>6463</v>
      </c>
      <c r="C2484" s="33">
        <v>45989.0</v>
      </c>
      <c r="D2484" s="69" t="s">
        <v>39</v>
      </c>
      <c r="E2484" s="32" t="s">
        <v>122</v>
      </c>
      <c r="F2484" s="34" t="s">
        <v>156</v>
      </c>
      <c r="G2484" s="34" t="s">
        <v>292</v>
      </c>
      <c r="H2484" s="35" t="s">
        <v>26</v>
      </c>
      <c r="I2484" s="57"/>
      <c r="J2484" s="57"/>
      <c r="K2484" s="57"/>
      <c r="L2484" s="84"/>
    </row>
    <row r="2485">
      <c r="A2485" s="31" t="s">
        <v>6464</v>
      </c>
      <c r="B2485" s="32" t="s">
        <v>6465</v>
      </c>
      <c r="C2485" s="33">
        <v>45989.0</v>
      </c>
      <c r="D2485" s="34" t="s">
        <v>22</v>
      </c>
      <c r="E2485" s="32" t="s">
        <v>6466</v>
      </c>
      <c r="F2485" s="34" t="s">
        <v>53</v>
      </c>
      <c r="G2485" s="34" t="s">
        <v>892</v>
      </c>
      <c r="H2485" s="35" t="s">
        <v>26</v>
      </c>
      <c r="I2485" s="57"/>
      <c r="J2485" s="57"/>
      <c r="K2485" s="57"/>
      <c r="L2485" s="84"/>
    </row>
    <row r="2486">
      <c r="A2486" s="31" t="s">
        <v>6467</v>
      </c>
      <c r="B2486" s="32" t="s">
        <v>6468</v>
      </c>
      <c r="C2486" s="33">
        <v>45989.0</v>
      </c>
      <c r="D2486" s="34" t="s">
        <v>22</v>
      </c>
      <c r="E2486" s="32" t="s">
        <v>1525</v>
      </c>
      <c r="F2486" s="34" t="s">
        <v>53</v>
      </c>
      <c r="G2486" s="34" t="s">
        <v>539</v>
      </c>
      <c r="H2486" s="35" t="s">
        <v>26</v>
      </c>
      <c r="I2486" s="57"/>
      <c r="J2486" s="57"/>
      <c r="K2486" s="57"/>
      <c r="L2486" s="84"/>
    </row>
    <row r="2487">
      <c r="A2487" s="31" t="s">
        <v>6469</v>
      </c>
      <c r="B2487" s="32" t="s">
        <v>6470</v>
      </c>
      <c r="C2487" s="33">
        <v>45989.0</v>
      </c>
      <c r="D2487" s="69" t="s">
        <v>22</v>
      </c>
      <c r="E2487" s="32" t="s">
        <v>6471</v>
      </c>
      <c r="F2487" s="34" t="s">
        <v>53</v>
      </c>
      <c r="G2487" s="34" t="s">
        <v>6472</v>
      </c>
      <c r="H2487" s="35" t="s">
        <v>26</v>
      </c>
      <c r="I2487" s="57"/>
      <c r="J2487" s="57"/>
      <c r="K2487" s="57"/>
      <c r="L2487" s="84"/>
    </row>
    <row r="2488">
      <c r="A2488" s="31" t="s">
        <v>717</v>
      </c>
      <c r="B2488" s="32" t="s">
        <v>6473</v>
      </c>
      <c r="C2488" s="33">
        <v>45989.0</v>
      </c>
      <c r="D2488" s="69" t="s">
        <v>22</v>
      </c>
      <c r="E2488" s="32" t="s">
        <v>122</v>
      </c>
      <c r="F2488" s="34" t="s">
        <v>156</v>
      </c>
      <c r="G2488" s="34" t="s">
        <v>365</v>
      </c>
      <c r="H2488" s="35" t="s">
        <v>26</v>
      </c>
      <c r="I2488" s="57"/>
      <c r="J2488" s="57"/>
      <c r="K2488" s="57"/>
      <c r="L2488" s="84"/>
    </row>
    <row r="2489">
      <c r="A2489" s="31" t="s">
        <v>6474</v>
      </c>
      <c r="B2489" s="32" t="s">
        <v>6475</v>
      </c>
      <c r="C2489" s="33">
        <v>45989.0</v>
      </c>
      <c r="D2489" s="34" t="s">
        <v>22</v>
      </c>
      <c r="E2489" s="32" t="s">
        <v>6476</v>
      </c>
      <c r="F2489" s="34" t="s">
        <v>53</v>
      </c>
      <c r="G2489" s="34" t="s">
        <v>32</v>
      </c>
      <c r="H2489" s="35" t="s">
        <v>26</v>
      </c>
      <c r="I2489" s="57"/>
      <c r="J2489" s="57"/>
      <c r="K2489" s="57"/>
      <c r="L2489" s="84"/>
    </row>
    <row r="2490">
      <c r="A2490" s="31" t="s">
        <v>6477</v>
      </c>
      <c r="B2490" s="32" t="s">
        <v>6478</v>
      </c>
      <c r="C2490" s="33">
        <v>45989.0</v>
      </c>
      <c r="D2490" s="34" t="s">
        <v>22</v>
      </c>
      <c r="E2490" s="32" t="s">
        <v>3123</v>
      </c>
      <c r="F2490" s="34" t="s">
        <v>53</v>
      </c>
      <c r="G2490" s="34" t="s">
        <v>243</v>
      </c>
      <c r="H2490" s="66"/>
      <c r="I2490" s="57"/>
      <c r="J2490" s="57"/>
      <c r="K2490" s="57"/>
      <c r="L2490" s="84"/>
    </row>
    <row r="2491">
      <c r="A2491" s="31" t="s">
        <v>6479</v>
      </c>
      <c r="B2491" s="32" t="s">
        <v>6480</v>
      </c>
      <c r="C2491" s="33">
        <v>45989.0</v>
      </c>
      <c r="D2491" s="34" t="s">
        <v>22</v>
      </c>
      <c r="E2491" s="32" t="s">
        <v>613</v>
      </c>
      <c r="F2491" s="34" t="s">
        <v>24</v>
      </c>
      <c r="G2491" s="34" t="s">
        <v>2260</v>
      </c>
      <c r="H2491" s="35" t="s">
        <v>26</v>
      </c>
      <c r="I2491" s="57"/>
      <c r="J2491" s="57"/>
      <c r="K2491" s="57"/>
      <c r="L2491" s="84"/>
    </row>
    <row r="2492">
      <c r="A2492" s="31" t="s">
        <v>6481</v>
      </c>
      <c r="B2492" s="32" t="s">
        <v>6482</v>
      </c>
      <c r="C2492" s="33">
        <v>45989.0</v>
      </c>
      <c r="D2492" s="34" t="s">
        <v>22</v>
      </c>
      <c r="E2492" s="32" t="s">
        <v>355</v>
      </c>
      <c r="F2492" s="34" t="s">
        <v>24</v>
      </c>
      <c r="G2492" s="34" t="s">
        <v>315</v>
      </c>
      <c r="H2492" s="35" t="s">
        <v>26</v>
      </c>
      <c r="I2492" s="57"/>
      <c r="J2492" s="57"/>
      <c r="K2492" s="57"/>
      <c r="L2492" s="84"/>
    </row>
    <row r="2493">
      <c r="A2493" s="31" t="s">
        <v>6483</v>
      </c>
      <c r="B2493" s="32" t="s">
        <v>6484</v>
      </c>
      <c r="C2493" s="33">
        <v>45989.0</v>
      </c>
      <c r="D2493" s="34" t="s">
        <v>22</v>
      </c>
      <c r="E2493" s="32" t="s">
        <v>160</v>
      </c>
      <c r="F2493" s="34" t="s">
        <v>24</v>
      </c>
      <c r="G2493" s="34" t="s">
        <v>6485</v>
      </c>
      <c r="H2493" s="35" t="s">
        <v>26</v>
      </c>
      <c r="I2493" s="57"/>
      <c r="J2493" s="57"/>
      <c r="K2493" s="57"/>
      <c r="L2493" s="84"/>
    </row>
    <row r="2494">
      <c r="A2494" s="31" t="s">
        <v>6486</v>
      </c>
      <c r="B2494" s="32" t="s">
        <v>6487</v>
      </c>
      <c r="C2494" s="33">
        <v>45989.0</v>
      </c>
      <c r="D2494" s="34" t="s">
        <v>22</v>
      </c>
      <c r="E2494" s="32" t="s">
        <v>4034</v>
      </c>
      <c r="F2494" s="34" t="s">
        <v>156</v>
      </c>
      <c r="G2494" s="34" t="s">
        <v>6488</v>
      </c>
      <c r="H2494" s="35" t="s">
        <v>26</v>
      </c>
      <c r="I2494" s="57"/>
      <c r="J2494" s="57"/>
      <c r="K2494" s="57"/>
      <c r="L2494" s="84"/>
    </row>
    <row r="2495">
      <c r="A2495" s="31" t="s">
        <v>6489</v>
      </c>
      <c r="B2495" s="32" t="s">
        <v>6490</v>
      </c>
      <c r="C2495" s="33">
        <v>45989.0</v>
      </c>
      <c r="D2495" s="34" t="s">
        <v>22</v>
      </c>
      <c r="E2495" s="32" t="s">
        <v>44</v>
      </c>
      <c r="F2495" s="34" t="s">
        <v>24</v>
      </c>
      <c r="G2495" s="34" t="s">
        <v>36</v>
      </c>
      <c r="H2495" s="35" t="s">
        <v>26</v>
      </c>
      <c r="I2495" s="57"/>
      <c r="J2495" s="57"/>
      <c r="K2495" s="57"/>
      <c r="L2495" s="84"/>
    </row>
    <row r="2496">
      <c r="A2496" s="31" t="s">
        <v>6491</v>
      </c>
      <c r="B2496" s="32" t="s">
        <v>6492</v>
      </c>
      <c r="C2496" s="33">
        <v>45989.0</v>
      </c>
      <c r="D2496" s="34" t="s">
        <v>22</v>
      </c>
      <c r="E2496" s="32" t="s">
        <v>355</v>
      </c>
      <c r="F2496" s="34" t="s">
        <v>24</v>
      </c>
      <c r="G2496" s="34" t="s">
        <v>342</v>
      </c>
      <c r="H2496" s="35" t="s">
        <v>26</v>
      </c>
      <c r="I2496" s="57"/>
      <c r="J2496" s="57"/>
      <c r="K2496" s="57"/>
      <c r="L2496" s="84"/>
    </row>
    <row r="2497">
      <c r="A2497" s="31" t="s">
        <v>6493</v>
      </c>
      <c r="B2497" s="32" t="s">
        <v>6494</v>
      </c>
      <c r="C2497" s="33">
        <v>45989.0</v>
      </c>
      <c r="D2497" s="34" t="s">
        <v>22</v>
      </c>
      <c r="E2497" s="32" t="s">
        <v>3541</v>
      </c>
      <c r="F2497" s="34" t="s">
        <v>24</v>
      </c>
      <c r="G2497" s="34" t="s">
        <v>2064</v>
      </c>
      <c r="H2497" s="35" t="s">
        <v>26</v>
      </c>
      <c r="I2497" s="57"/>
      <c r="J2497" s="57"/>
      <c r="K2497" s="57"/>
      <c r="L2497" s="84"/>
    </row>
    <row r="2498">
      <c r="A2498" s="31" t="s">
        <v>6495</v>
      </c>
      <c r="B2498" s="32" t="s">
        <v>6496</v>
      </c>
      <c r="C2498" s="33">
        <v>45989.0</v>
      </c>
      <c r="D2498" s="34" t="s">
        <v>22</v>
      </c>
      <c r="E2498" s="32" t="s">
        <v>5052</v>
      </c>
      <c r="F2498" s="34" t="s">
        <v>24</v>
      </c>
      <c r="G2498" s="34" t="s">
        <v>1082</v>
      </c>
      <c r="H2498" s="35" t="s">
        <v>26</v>
      </c>
      <c r="I2498" s="57"/>
      <c r="J2498" s="57"/>
      <c r="K2498" s="57"/>
      <c r="L2498" s="84"/>
    </row>
    <row r="2499">
      <c r="A2499" s="31" t="s">
        <v>6497</v>
      </c>
      <c r="B2499" s="32" t="s">
        <v>6498</v>
      </c>
      <c r="C2499" s="33">
        <v>45989.0</v>
      </c>
      <c r="D2499" s="34" t="s">
        <v>22</v>
      </c>
      <c r="E2499" s="32" t="s">
        <v>6499</v>
      </c>
      <c r="F2499" s="34" t="s">
        <v>53</v>
      </c>
      <c r="G2499" s="34" t="s">
        <v>6500</v>
      </c>
      <c r="H2499" s="35" t="s">
        <v>26</v>
      </c>
      <c r="I2499" s="57"/>
      <c r="J2499" s="57"/>
      <c r="K2499" s="57"/>
      <c r="L2499" s="84"/>
    </row>
    <row r="2500">
      <c r="A2500" s="31" t="s">
        <v>6501</v>
      </c>
      <c r="B2500" s="32" t="s">
        <v>6502</v>
      </c>
      <c r="C2500" s="33">
        <v>45989.0</v>
      </c>
      <c r="D2500" s="34" t="s">
        <v>22</v>
      </c>
      <c r="E2500" s="32" t="s">
        <v>61</v>
      </c>
      <c r="F2500" s="34" t="s">
        <v>24</v>
      </c>
      <c r="G2500" s="34" t="s">
        <v>161</v>
      </c>
      <c r="H2500" s="35" t="s">
        <v>26</v>
      </c>
      <c r="I2500" s="57"/>
      <c r="J2500" s="57"/>
      <c r="K2500" s="57"/>
      <c r="L2500" s="84"/>
    </row>
    <row r="2501">
      <c r="A2501" s="86">
        <v>1349.0</v>
      </c>
      <c r="B2501" s="32" t="s">
        <v>6503</v>
      </c>
      <c r="C2501" s="33">
        <v>45989.0</v>
      </c>
      <c r="D2501" s="34" t="s">
        <v>22</v>
      </c>
      <c r="E2501" s="32" t="s">
        <v>73</v>
      </c>
      <c r="F2501" s="34" t="s">
        <v>24</v>
      </c>
      <c r="G2501" s="34" t="s">
        <v>2644</v>
      </c>
      <c r="H2501" s="35" t="s">
        <v>26</v>
      </c>
      <c r="I2501" s="57"/>
      <c r="J2501" s="57"/>
      <c r="K2501" s="57"/>
      <c r="L2501" s="84"/>
    </row>
    <row r="2502">
      <c r="A2502" s="31" t="s">
        <v>6504</v>
      </c>
      <c r="B2502" s="32" t="s">
        <v>6505</v>
      </c>
      <c r="C2502" s="33">
        <v>45989.0</v>
      </c>
      <c r="D2502" s="34" t="s">
        <v>22</v>
      </c>
      <c r="E2502" s="32" t="s">
        <v>1138</v>
      </c>
      <c r="F2502" s="34" t="s">
        <v>24</v>
      </c>
      <c r="G2502" s="34" t="s">
        <v>1205</v>
      </c>
      <c r="H2502" s="35" t="s">
        <v>26</v>
      </c>
      <c r="I2502" s="57"/>
      <c r="J2502" s="57"/>
      <c r="K2502" s="57"/>
      <c r="L2502" s="84"/>
    </row>
    <row r="2503">
      <c r="A2503" s="31" t="s">
        <v>6506</v>
      </c>
      <c r="B2503" s="32" t="s">
        <v>6507</v>
      </c>
      <c r="C2503" s="33">
        <v>45989.0</v>
      </c>
      <c r="D2503" s="34" t="s">
        <v>22</v>
      </c>
      <c r="E2503" s="32" t="s">
        <v>73</v>
      </c>
      <c r="F2503" s="34" t="s">
        <v>24</v>
      </c>
      <c r="G2503" s="34" t="s">
        <v>6508</v>
      </c>
      <c r="H2503" s="35" t="s">
        <v>26</v>
      </c>
      <c r="I2503" s="57"/>
      <c r="J2503" s="57"/>
      <c r="K2503" s="57"/>
      <c r="L2503" s="84"/>
    </row>
    <row r="2504">
      <c r="A2504" s="31" t="s">
        <v>6509</v>
      </c>
      <c r="B2504" s="32" t="s">
        <v>6510</v>
      </c>
      <c r="C2504" s="33">
        <v>45989.0</v>
      </c>
      <c r="D2504" s="34" t="s">
        <v>22</v>
      </c>
      <c r="E2504" s="32" t="s">
        <v>69</v>
      </c>
      <c r="F2504" s="34" t="s">
        <v>24</v>
      </c>
      <c r="G2504" s="34" t="s">
        <v>257</v>
      </c>
      <c r="H2504" s="35" t="s">
        <v>26</v>
      </c>
      <c r="I2504" s="57"/>
      <c r="J2504" s="57"/>
      <c r="K2504" s="57"/>
      <c r="L2504" s="84"/>
    </row>
    <row r="2505">
      <c r="A2505" s="31" t="s">
        <v>6511</v>
      </c>
      <c r="B2505" s="32" t="s">
        <v>6512</v>
      </c>
      <c r="C2505" s="33">
        <v>45989.0</v>
      </c>
      <c r="D2505" s="34" t="s">
        <v>39</v>
      </c>
      <c r="E2505" s="32" t="s">
        <v>6513</v>
      </c>
      <c r="F2505" s="34" t="s">
        <v>24</v>
      </c>
      <c r="G2505" s="34" t="s">
        <v>96</v>
      </c>
      <c r="H2505" s="35" t="s">
        <v>26</v>
      </c>
      <c r="I2505" s="57"/>
      <c r="J2505" s="57"/>
      <c r="K2505" s="57"/>
      <c r="L2505" s="84"/>
    </row>
    <row r="2506">
      <c r="A2506" s="31" t="s">
        <v>6514</v>
      </c>
      <c r="B2506" s="32" t="s">
        <v>6515</v>
      </c>
      <c r="C2506" s="33">
        <v>45989.0</v>
      </c>
      <c r="D2506" s="34" t="s">
        <v>22</v>
      </c>
      <c r="E2506" s="32" t="s">
        <v>5535</v>
      </c>
      <c r="F2506" s="34" t="s">
        <v>24</v>
      </c>
      <c r="G2506" s="34" t="s">
        <v>712</v>
      </c>
      <c r="H2506" s="35" t="s">
        <v>26</v>
      </c>
      <c r="I2506" s="57"/>
      <c r="J2506" s="57"/>
      <c r="K2506" s="57"/>
      <c r="L2506" s="84"/>
    </row>
    <row r="2507">
      <c r="A2507" s="31" t="s">
        <v>6516</v>
      </c>
      <c r="B2507" s="32" t="s">
        <v>6517</v>
      </c>
      <c r="C2507" s="33">
        <v>45989.0</v>
      </c>
      <c r="D2507" s="34" t="s">
        <v>22</v>
      </c>
      <c r="E2507" s="32" t="s">
        <v>5052</v>
      </c>
      <c r="F2507" s="34" t="s">
        <v>53</v>
      </c>
      <c r="G2507" s="34" t="s">
        <v>6518</v>
      </c>
      <c r="H2507" s="35" t="s">
        <v>26</v>
      </c>
      <c r="I2507" s="57"/>
      <c r="J2507" s="57"/>
      <c r="K2507" s="57"/>
      <c r="L2507" s="84"/>
    </row>
    <row r="2508">
      <c r="A2508" s="31" t="s">
        <v>6519</v>
      </c>
      <c r="B2508" s="32" t="s">
        <v>6520</v>
      </c>
      <c r="C2508" s="33">
        <v>45989.0</v>
      </c>
      <c r="D2508" s="34" t="s">
        <v>22</v>
      </c>
      <c r="E2508" s="32" t="s">
        <v>61</v>
      </c>
      <c r="F2508" s="34" t="s">
        <v>24</v>
      </c>
      <c r="G2508" s="34" t="s">
        <v>41</v>
      </c>
      <c r="H2508" s="35" t="s">
        <v>26</v>
      </c>
      <c r="I2508" s="57"/>
      <c r="J2508" s="57"/>
      <c r="K2508" s="57"/>
      <c r="L2508" s="84"/>
    </row>
    <row r="2509">
      <c r="A2509" s="31" t="s">
        <v>6521</v>
      </c>
      <c r="B2509" s="32" t="s">
        <v>6522</v>
      </c>
      <c r="C2509" s="33">
        <v>45989.0</v>
      </c>
      <c r="D2509" s="34" t="s">
        <v>22</v>
      </c>
      <c r="E2509" s="32" t="s">
        <v>5052</v>
      </c>
      <c r="F2509" s="34" t="s">
        <v>53</v>
      </c>
      <c r="G2509" s="34" t="s">
        <v>6523</v>
      </c>
      <c r="H2509" s="35" t="s">
        <v>26</v>
      </c>
      <c r="I2509" s="57"/>
      <c r="J2509" s="57"/>
      <c r="K2509" s="57"/>
      <c r="L2509" s="84"/>
    </row>
    <row r="2510">
      <c r="A2510" s="31" t="s">
        <v>6524</v>
      </c>
      <c r="B2510" s="32" t="s">
        <v>6525</v>
      </c>
      <c r="C2510" s="33">
        <v>45989.0</v>
      </c>
      <c r="D2510" s="34" t="s">
        <v>39</v>
      </c>
      <c r="E2510" s="32" t="s">
        <v>176</v>
      </c>
      <c r="F2510" s="34" t="s">
        <v>156</v>
      </c>
      <c r="G2510" s="34" t="s">
        <v>161</v>
      </c>
      <c r="H2510" s="35" t="s">
        <v>26</v>
      </c>
      <c r="I2510" s="57"/>
      <c r="J2510" s="57"/>
      <c r="K2510" s="57"/>
      <c r="L2510" s="84"/>
    </row>
    <row r="2511">
      <c r="A2511" s="31" t="s">
        <v>6526</v>
      </c>
      <c r="B2511" s="32" t="s">
        <v>6527</v>
      </c>
      <c r="C2511" s="33">
        <v>45989.0</v>
      </c>
      <c r="D2511" s="34" t="s">
        <v>22</v>
      </c>
      <c r="E2511" s="32" t="s">
        <v>3637</v>
      </c>
      <c r="F2511" s="34" t="s">
        <v>24</v>
      </c>
      <c r="G2511" s="34" t="s">
        <v>868</v>
      </c>
      <c r="H2511" s="35" t="s">
        <v>26</v>
      </c>
      <c r="I2511" s="57"/>
      <c r="J2511" s="57"/>
      <c r="K2511" s="57"/>
      <c r="L2511" s="84"/>
    </row>
    <row r="2512">
      <c r="A2512" s="31" t="s">
        <v>6528</v>
      </c>
      <c r="B2512" s="32" t="s">
        <v>6528</v>
      </c>
      <c r="C2512" s="33">
        <v>45989.0</v>
      </c>
      <c r="D2512" s="47" t="s">
        <v>22</v>
      </c>
      <c r="E2512" s="32" t="s">
        <v>284</v>
      </c>
      <c r="F2512" s="34" t="s">
        <v>24</v>
      </c>
      <c r="G2512" s="34" t="s">
        <v>442</v>
      </c>
      <c r="H2512" s="35" t="s">
        <v>26</v>
      </c>
      <c r="I2512" s="57"/>
      <c r="J2512" s="57"/>
      <c r="K2512" s="57"/>
      <c r="L2512" s="84"/>
    </row>
    <row r="2513">
      <c r="A2513" s="31" t="s">
        <v>6529</v>
      </c>
      <c r="B2513" s="32" t="s">
        <v>6530</v>
      </c>
      <c r="C2513" s="33">
        <v>45989.0</v>
      </c>
      <c r="D2513" s="34" t="s">
        <v>22</v>
      </c>
      <c r="E2513" s="32" t="s">
        <v>3637</v>
      </c>
      <c r="F2513" s="34" t="s">
        <v>24</v>
      </c>
      <c r="G2513" s="34" t="s">
        <v>32</v>
      </c>
      <c r="H2513" s="35" t="s">
        <v>26</v>
      </c>
      <c r="I2513" s="57"/>
      <c r="J2513" s="57"/>
      <c r="K2513" s="57"/>
      <c r="L2513" s="84"/>
    </row>
    <row r="2514">
      <c r="A2514" s="31" t="s">
        <v>6531</v>
      </c>
      <c r="B2514" s="32" t="s">
        <v>6532</v>
      </c>
      <c r="C2514" s="33">
        <v>45989.0</v>
      </c>
      <c r="D2514" s="34" t="s">
        <v>22</v>
      </c>
      <c r="E2514" s="32" t="s">
        <v>160</v>
      </c>
      <c r="F2514" s="34" t="s">
        <v>24</v>
      </c>
      <c r="G2514" s="34" t="s">
        <v>2593</v>
      </c>
      <c r="H2514" s="35" t="s">
        <v>26</v>
      </c>
      <c r="I2514" s="57"/>
      <c r="J2514" s="57"/>
      <c r="K2514" s="57"/>
      <c r="L2514" s="84"/>
    </row>
    <row r="2515">
      <c r="A2515" s="31" t="s">
        <v>6533</v>
      </c>
      <c r="B2515" s="32" t="s">
        <v>6534</v>
      </c>
      <c r="C2515" s="33">
        <v>45991.0</v>
      </c>
      <c r="D2515" s="34" t="s">
        <v>22</v>
      </c>
      <c r="E2515" s="32" t="s">
        <v>5505</v>
      </c>
      <c r="F2515" s="34" t="s">
        <v>53</v>
      </c>
      <c r="G2515" s="34" t="s">
        <v>871</v>
      </c>
      <c r="H2515" s="35" t="s">
        <v>26</v>
      </c>
      <c r="I2515" s="57"/>
      <c r="J2515" s="57"/>
      <c r="K2515" s="57"/>
      <c r="L2515" s="84"/>
    </row>
    <row r="2516">
      <c r="A2516" s="31" t="s">
        <v>4692</v>
      </c>
      <c r="B2516" s="32" t="s">
        <v>4693</v>
      </c>
      <c r="C2516" s="33">
        <v>45992.0</v>
      </c>
      <c r="D2516" s="34" t="s">
        <v>22</v>
      </c>
      <c r="E2516" s="32" t="s">
        <v>4694</v>
      </c>
      <c r="F2516" s="34" t="s">
        <v>24</v>
      </c>
      <c r="G2516" s="34" t="s">
        <v>4695</v>
      </c>
      <c r="H2516" s="35" t="s">
        <v>26</v>
      </c>
      <c r="I2516" s="57"/>
      <c r="J2516" s="57"/>
      <c r="K2516" s="57"/>
      <c r="L2516" s="84"/>
    </row>
    <row r="2517">
      <c r="A2517" s="31" t="s">
        <v>6535</v>
      </c>
      <c r="B2517" s="32" t="s">
        <v>6536</v>
      </c>
      <c r="C2517" s="33">
        <v>45992.0</v>
      </c>
      <c r="D2517" s="34" t="s">
        <v>22</v>
      </c>
      <c r="E2517" s="32" t="s">
        <v>328</v>
      </c>
      <c r="F2517" s="34" t="s">
        <v>156</v>
      </c>
      <c r="G2517" s="34" t="s">
        <v>342</v>
      </c>
      <c r="H2517" s="66"/>
      <c r="I2517" s="57"/>
      <c r="J2517" s="57"/>
      <c r="K2517" s="57"/>
      <c r="L2517" s="84"/>
    </row>
    <row r="2518">
      <c r="A2518" s="31" t="s">
        <v>6537</v>
      </c>
      <c r="B2518" s="32" t="s">
        <v>6538</v>
      </c>
      <c r="C2518" s="33">
        <v>45995.0</v>
      </c>
      <c r="D2518" s="34" t="s">
        <v>22</v>
      </c>
      <c r="E2518" s="32" t="s">
        <v>1853</v>
      </c>
      <c r="F2518" s="34" t="s">
        <v>53</v>
      </c>
      <c r="G2518" s="34" t="s">
        <v>1673</v>
      </c>
      <c r="H2518" s="35" t="s">
        <v>26</v>
      </c>
      <c r="I2518" s="57"/>
      <c r="J2518" s="57"/>
      <c r="K2518" s="57"/>
      <c r="L2518" s="84"/>
    </row>
    <row r="2519">
      <c r="A2519" s="31" t="s">
        <v>6539</v>
      </c>
      <c r="B2519" s="32" t="s">
        <v>6540</v>
      </c>
      <c r="C2519" s="33">
        <v>45995.0</v>
      </c>
      <c r="D2519" s="34" t="s">
        <v>22</v>
      </c>
      <c r="E2519" s="32" t="s">
        <v>4193</v>
      </c>
      <c r="F2519" s="34" t="s">
        <v>156</v>
      </c>
      <c r="G2519" s="34" t="s">
        <v>62</v>
      </c>
      <c r="H2519" s="35" t="s">
        <v>26</v>
      </c>
      <c r="I2519" s="57"/>
      <c r="J2519" s="57"/>
      <c r="K2519" s="57"/>
      <c r="L2519" s="84"/>
    </row>
    <row r="2520">
      <c r="A2520" s="31" t="s">
        <v>6541</v>
      </c>
      <c r="B2520" s="32" t="s">
        <v>6542</v>
      </c>
      <c r="C2520" s="33">
        <v>45996.0</v>
      </c>
      <c r="D2520" s="69" t="s">
        <v>22</v>
      </c>
      <c r="E2520" s="32" t="s">
        <v>122</v>
      </c>
      <c r="F2520" s="34" t="s">
        <v>53</v>
      </c>
      <c r="G2520" s="34" t="s">
        <v>6543</v>
      </c>
      <c r="H2520" s="35" t="s">
        <v>26</v>
      </c>
      <c r="I2520" s="57"/>
      <c r="J2520" s="57"/>
      <c r="K2520" s="57"/>
      <c r="L2520" s="84"/>
    </row>
    <row r="2521">
      <c r="A2521" s="31" t="s">
        <v>6544</v>
      </c>
      <c r="B2521" s="32" t="s">
        <v>6545</v>
      </c>
      <c r="C2521" s="33">
        <v>45996.0</v>
      </c>
      <c r="D2521" s="34" t="s">
        <v>39</v>
      </c>
      <c r="E2521" s="32" t="s">
        <v>2072</v>
      </c>
      <c r="F2521" s="34" t="s">
        <v>53</v>
      </c>
      <c r="G2521" s="34" t="s">
        <v>440</v>
      </c>
      <c r="H2521" s="66"/>
      <c r="I2521" s="57"/>
      <c r="J2521" s="57"/>
      <c r="K2521" s="57"/>
      <c r="L2521" s="84"/>
    </row>
    <row r="2522">
      <c r="A2522" s="31" t="s">
        <v>6546</v>
      </c>
      <c r="B2522" s="32" t="s">
        <v>6547</v>
      </c>
      <c r="C2522" s="33">
        <v>45996.0</v>
      </c>
      <c r="D2522" s="34" t="s">
        <v>22</v>
      </c>
      <c r="E2522" s="32" t="s">
        <v>6167</v>
      </c>
      <c r="F2522" s="34" t="s">
        <v>24</v>
      </c>
      <c r="G2522" s="34" t="s">
        <v>119</v>
      </c>
      <c r="H2522" s="35" t="s">
        <v>26</v>
      </c>
      <c r="I2522" s="57"/>
      <c r="J2522" s="57"/>
      <c r="K2522" s="57"/>
      <c r="L2522" s="84"/>
    </row>
    <row r="2523">
      <c r="A2523" s="31" t="s">
        <v>6548</v>
      </c>
      <c r="B2523" s="32" t="s">
        <v>6548</v>
      </c>
      <c r="C2523" s="33">
        <v>45996.0</v>
      </c>
      <c r="D2523" s="47" t="s">
        <v>22</v>
      </c>
      <c r="E2523" s="32" t="s">
        <v>328</v>
      </c>
      <c r="F2523" s="34" t="s">
        <v>156</v>
      </c>
      <c r="G2523" s="34" t="s">
        <v>2862</v>
      </c>
      <c r="H2523" s="35" t="s">
        <v>26</v>
      </c>
      <c r="I2523" s="57"/>
      <c r="J2523" s="57"/>
      <c r="K2523" s="57"/>
      <c r="L2523" s="84"/>
    </row>
    <row r="2524">
      <c r="A2524" s="31" t="s">
        <v>6549</v>
      </c>
      <c r="B2524" s="32" t="s">
        <v>6549</v>
      </c>
      <c r="C2524" s="33">
        <v>45996.0</v>
      </c>
      <c r="D2524" s="47" t="s">
        <v>22</v>
      </c>
      <c r="E2524" s="32" t="s">
        <v>613</v>
      </c>
      <c r="F2524" s="34" t="s">
        <v>24</v>
      </c>
      <c r="G2524" s="34" t="s">
        <v>1213</v>
      </c>
      <c r="H2524" s="35" t="s">
        <v>26</v>
      </c>
      <c r="I2524" s="57"/>
      <c r="J2524" s="57"/>
      <c r="K2524" s="57"/>
      <c r="L2524" s="84"/>
    </row>
    <row r="2525">
      <c r="A2525" s="31" t="s">
        <v>6550</v>
      </c>
      <c r="B2525" s="32" t="s">
        <v>6551</v>
      </c>
      <c r="C2525" s="33">
        <v>45996.0</v>
      </c>
      <c r="D2525" s="47" t="s">
        <v>22</v>
      </c>
      <c r="E2525" s="32" t="s">
        <v>6552</v>
      </c>
      <c r="F2525" s="34" t="s">
        <v>53</v>
      </c>
      <c r="G2525" s="34" t="s">
        <v>526</v>
      </c>
      <c r="H2525" s="66"/>
      <c r="I2525" s="57"/>
      <c r="J2525" s="57"/>
      <c r="K2525" s="57"/>
      <c r="L2525" s="84"/>
    </row>
    <row r="2526">
      <c r="A2526" s="31" t="s">
        <v>6553</v>
      </c>
      <c r="B2526" s="32" t="s">
        <v>6554</v>
      </c>
      <c r="C2526" s="33">
        <v>45996.0</v>
      </c>
      <c r="D2526" s="34" t="s">
        <v>22</v>
      </c>
      <c r="E2526" s="32" t="s">
        <v>61</v>
      </c>
      <c r="F2526" s="34" t="s">
        <v>24</v>
      </c>
      <c r="G2526" s="34" t="s">
        <v>2246</v>
      </c>
      <c r="H2526" s="35" t="s">
        <v>26</v>
      </c>
      <c r="I2526" s="57"/>
      <c r="J2526" s="57"/>
      <c r="K2526" s="57"/>
      <c r="L2526" s="84"/>
    </row>
    <row r="2527">
      <c r="A2527" s="31" t="s">
        <v>6555</v>
      </c>
      <c r="B2527" s="32" t="s">
        <v>6556</v>
      </c>
      <c r="C2527" s="33">
        <v>45996.0</v>
      </c>
      <c r="D2527" s="34" t="s">
        <v>22</v>
      </c>
      <c r="E2527" s="32" t="s">
        <v>61</v>
      </c>
      <c r="F2527" s="34" t="s">
        <v>24</v>
      </c>
      <c r="G2527" s="34" t="s">
        <v>6348</v>
      </c>
      <c r="H2527" s="35" t="s">
        <v>26</v>
      </c>
      <c r="I2527" s="57"/>
      <c r="J2527" s="57"/>
      <c r="K2527" s="57"/>
      <c r="L2527" s="84"/>
    </row>
    <row r="2528">
      <c r="A2528" s="31" t="s">
        <v>6557</v>
      </c>
      <c r="B2528" s="32" t="s">
        <v>6558</v>
      </c>
      <c r="C2528" s="33">
        <v>45996.0</v>
      </c>
      <c r="D2528" s="34" t="s">
        <v>22</v>
      </c>
      <c r="E2528" s="32" t="s">
        <v>6559</v>
      </c>
      <c r="F2528" s="34" t="s">
        <v>156</v>
      </c>
      <c r="G2528" s="34" t="s">
        <v>1566</v>
      </c>
      <c r="H2528" s="35" t="s">
        <v>26</v>
      </c>
      <c r="I2528" s="57"/>
      <c r="J2528" s="57"/>
      <c r="K2528" s="57"/>
      <c r="L2528" s="84"/>
    </row>
    <row r="2529">
      <c r="A2529" s="31" t="s">
        <v>6560</v>
      </c>
      <c r="B2529" s="32" t="s">
        <v>6561</v>
      </c>
      <c r="C2529" s="33">
        <v>45996.0</v>
      </c>
      <c r="D2529" s="34" t="s">
        <v>22</v>
      </c>
      <c r="E2529" s="32" t="s">
        <v>73</v>
      </c>
      <c r="F2529" s="34" t="s">
        <v>24</v>
      </c>
      <c r="G2529" s="34" t="s">
        <v>2795</v>
      </c>
      <c r="H2529" s="66"/>
      <c r="I2529" s="57"/>
      <c r="J2529" s="57"/>
      <c r="K2529" s="57"/>
      <c r="L2529" s="84"/>
    </row>
    <row r="2530">
      <c r="A2530" s="31" t="s">
        <v>6562</v>
      </c>
      <c r="B2530" s="32" t="s">
        <v>6563</v>
      </c>
      <c r="C2530" s="33">
        <v>45996.0</v>
      </c>
      <c r="D2530" s="34" t="s">
        <v>22</v>
      </c>
      <c r="E2530" s="32" t="s">
        <v>737</v>
      </c>
      <c r="F2530" s="34" t="s">
        <v>24</v>
      </c>
      <c r="G2530" s="34" t="s">
        <v>4683</v>
      </c>
      <c r="H2530" s="35" t="s">
        <v>26</v>
      </c>
      <c r="I2530" s="57"/>
      <c r="J2530" s="57"/>
      <c r="K2530" s="57"/>
      <c r="L2530" s="84"/>
    </row>
    <row r="2531">
      <c r="A2531" s="31" t="s">
        <v>6564</v>
      </c>
      <c r="B2531" s="32" t="s">
        <v>6565</v>
      </c>
      <c r="C2531" s="33">
        <v>45996.0</v>
      </c>
      <c r="D2531" s="34" t="s">
        <v>22</v>
      </c>
      <c r="E2531" s="32" t="s">
        <v>6566</v>
      </c>
      <c r="F2531" s="34" t="s">
        <v>24</v>
      </c>
      <c r="G2531" s="34" t="s">
        <v>437</v>
      </c>
      <c r="H2531" s="35" t="s">
        <v>26</v>
      </c>
      <c r="I2531" s="57"/>
      <c r="J2531" s="57"/>
      <c r="K2531" s="57"/>
      <c r="L2531" s="84"/>
    </row>
    <row r="2532">
      <c r="A2532" s="31" t="s">
        <v>6567</v>
      </c>
      <c r="B2532" s="32" t="s">
        <v>6568</v>
      </c>
      <c r="C2532" s="33">
        <v>45996.0</v>
      </c>
      <c r="D2532" s="34" t="s">
        <v>39</v>
      </c>
      <c r="E2532" s="32" t="s">
        <v>192</v>
      </c>
      <c r="F2532" s="34" t="s">
        <v>156</v>
      </c>
      <c r="G2532" s="34" t="s">
        <v>6569</v>
      </c>
      <c r="H2532" s="35" t="s">
        <v>26</v>
      </c>
      <c r="I2532" s="57"/>
      <c r="J2532" s="57"/>
      <c r="K2532" s="57"/>
      <c r="L2532" s="84"/>
    </row>
    <row r="2533">
      <c r="A2533" s="31" t="s">
        <v>6570</v>
      </c>
      <c r="B2533" s="32" t="s">
        <v>6571</v>
      </c>
      <c r="C2533" s="33">
        <v>45996.0</v>
      </c>
      <c r="D2533" s="34" t="s">
        <v>22</v>
      </c>
      <c r="E2533" s="32" t="s">
        <v>416</v>
      </c>
      <c r="F2533" s="34" t="s">
        <v>24</v>
      </c>
      <c r="G2533" s="34" t="s">
        <v>4237</v>
      </c>
      <c r="H2533" s="35" t="s">
        <v>26</v>
      </c>
      <c r="I2533" s="57"/>
      <c r="J2533" s="57"/>
      <c r="K2533" s="57"/>
      <c r="L2533" s="84"/>
    </row>
    <row r="2534">
      <c r="A2534" s="31" t="s">
        <v>6572</v>
      </c>
      <c r="B2534" s="32" t="s">
        <v>6572</v>
      </c>
      <c r="C2534" s="33">
        <v>45996.0</v>
      </c>
      <c r="D2534" s="47" t="s">
        <v>22</v>
      </c>
      <c r="E2534" s="32" t="s">
        <v>6573</v>
      </c>
      <c r="F2534" s="34" t="s">
        <v>24</v>
      </c>
      <c r="G2534" s="34" t="s">
        <v>32</v>
      </c>
      <c r="H2534" s="35" t="s">
        <v>26</v>
      </c>
      <c r="I2534" s="57"/>
      <c r="J2534" s="57"/>
      <c r="K2534" s="57"/>
      <c r="L2534" s="84"/>
    </row>
    <row r="2535">
      <c r="A2535" s="31" t="s">
        <v>6574</v>
      </c>
      <c r="B2535" s="32" t="s">
        <v>6575</v>
      </c>
      <c r="C2535" s="33">
        <v>45996.0</v>
      </c>
      <c r="D2535" s="34" t="s">
        <v>22</v>
      </c>
      <c r="E2535" s="32" t="s">
        <v>6576</v>
      </c>
      <c r="F2535" s="34" t="s">
        <v>24</v>
      </c>
      <c r="G2535" s="34" t="s">
        <v>1560</v>
      </c>
      <c r="H2535" s="35" t="s">
        <v>26</v>
      </c>
      <c r="I2535" s="57"/>
      <c r="J2535" s="57"/>
      <c r="K2535" s="57"/>
      <c r="L2535" s="84"/>
    </row>
    <row r="2536">
      <c r="A2536" s="31" t="s">
        <v>1437</v>
      </c>
      <c r="B2536" s="32" t="s">
        <v>6577</v>
      </c>
      <c r="C2536" s="33">
        <v>45996.0</v>
      </c>
      <c r="D2536" s="34" t="s">
        <v>39</v>
      </c>
      <c r="E2536" s="32" t="s">
        <v>1439</v>
      </c>
      <c r="F2536" s="34" t="s">
        <v>156</v>
      </c>
      <c r="G2536" s="34" t="s">
        <v>342</v>
      </c>
      <c r="H2536" s="35" t="s">
        <v>26</v>
      </c>
      <c r="I2536" s="57"/>
      <c r="J2536" s="57"/>
      <c r="K2536" s="57"/>
      <c r="L2536" s="84"/>
    </row>
    <row r="2537">
      <c r="A2537" s="31" t="s">
        <v>6578</v>
      </c>
      <c r="B2537" s="32" t="s">
        <v>6579</v>
      </c>
      <c r="C2537" s="33">
        <v>45998.0</v>
      </c>
      <c r="D2537" s="34" t="s">
        <v>22</v>
      </c>
      <c r="E2537" s="32" t="s">
        <v>1519</v>
      </c>
      <c r="F2537" s="34" t="s">
        <v>24</v>
      </c>
      <c r="G2537" s="34" t="s">
        <v>89</v>
      </c>
      <c r="H2537" s="35" t="s">
        <v>26</v>
      </c>
      <c r="I2537" s="57"/>
      <c r="J2537" s="57"/>
      <c r="K2537" s="57"/>
      <c r="L2537" s="84"/>
    </row>
    <row r="2538">
      <c r="A2538" s="31" t="s">
        <v>6580</v>
      </c>
      <c r="B2538" s="32" t="s">
        <v>6581</v>
      </c>
      <c r="C2538" s="33">
        <v>46001.0</v>
      </c>
      <c r="D2538" s="34" t="s">
        <v>22</v>
      </c>
      <c r="E2538" s="32" t="s">
        <v>61</v>
      </c>
      <c r="F2538" s="34" t="s">
        <v>24</v>
      </c>
      <c r="G2538" s="34" t="s">
        <v>6582</v>
      </c>
      <c r="H2538" s="35" t="s">
        <v>26</v>
      </c>
      <c r="I2538" s="57"/>
      <c r="J2538" s="57"/>
      <c r="K2538" s="57"/>
      <c r="L2538" s="84"/>
    </row>
    <row r="2539">
      <c r="A2539" s="31" t="s">
        <v>6583</v>
      </c>
      <c r="B2539" s="32" t="s">
        <v>6584</v>
      </c>
      <c r="C2539" s="33">
        <v>46002.0</v>
      </c>
      <c r="D2539" s="34" t="s">
        <v>22</v>
      </c>
      <c r="E2539" s="32" t="s">
        <v>6585</v>
      </c>
      <c r="F2539" s="34" t="s">
        <v>53</v>
      </c>
      <c r="G2539" s="34" t="s">
        <v>225</v>
      </c>
      <c r="H2539" s="35" t="s">
        <v>26</v>
      </c>
      <c r="I2539" s="57"/>
      <c r="J2539" s="57"/>
      <c r="K2539" s="57"/>
      <c r="L2539" s="84"/>
    </row>
    <row r="2540">
      <c r="A2540" s="31" t="s">
        <v>6586</v>
      </c>
      <c r="B2540" s="32" t="s">
        <v>6587</v>
      </c>
      <c r="C2540" s="33">
        <v>46003.0</v>
      </c>
      <c r="D2540" s="34" t="s">
        <v>22</v>
      </c>
      <c r="E2540" s="32" t="s">
        <v>3976</v>
      </c>
      <c r="F2540" s="34" t="s">
        <v>53</v>
      </c>
      <c r="G2540" s="34" t="s">
        <v>225</v>
      </c>
      <c r="H2540" s="35" t="s">
        <v>26</v>
      </c>
      <c r="I2540" s="57"/>
      <c r="J2540" s="57"/>
      <c r="K2540" s="57"/>
      <c r="L2540" s="84"/>
    </row>
    <row r="2541">
      <c r="A2541" s="31" t="s">
        <v>6588</v>
      </c>
      <c r="B2541" s="32" t="s">
        <v>6589</v>
      </c>
      <c r="C2541" s="33">
        <v>46003.0</v>
      </c>
      <c r="D2541" s="34" t="s">
        <v>39</v>
      </c>
      <c r="E2541" s="32" t="s">
        <v>364</v>
      </c>
      <c r="F2541" s="34" t="s">
        <v>24</v>
      </c>
      <c r="G2541" s="34" t="s">
        <v>299</v>
      </c>
      <c r="H2541" s="35" t="s">
        <v>26</v>
      </c>
      <c r="I2541" s="57"/>
      <c r="J2541" s="57"/>
      <c r="K2541" s="57"/>
      <c r="L2541" s="84"/>
    </row>
    <row r="2542">
      <c r="A2542" s="31" t="s">
        <v>6590</v>
      </c>
      <c r="B2542" s="32" t="s">
        <v>6591</v>
      </c>
      <c r="C2542" s="33">
        <v>46003.0</v>
      </c>
      <c r="D2542" s="34" t="s">
        <v>22</v>
      </c>
      <c r="E2542" s="32" t="s">
        <v>6592</v>
      </c>
      <c r="F2542" s="34" t="s">
        <v>53</v>
      </c>
      <c r="G2542" s="34" t="s">
        <v>602</v>
      </c>
      <c r="H2542" s="35" t="s">
        <v>26</v>
      </c>
      <c r="I2542" s="57"/>
      <c r="J2542" s="57"/>
      <c r="K2542" s="57"/>
      <c r="L2542" s="84"/>
    </row>
    <row r="2543">
      <c r="A2543" s="31" t="s">
        <v>6593</v>
      </c>
      <c r="B2543" s="32" t="s">
        <v>6594</v>
      </c>
      <c r="C2543" s="33">
        <v>46003.0</v>
      </c>
      <c r="D2543" s="34" t="s">
        <v>22</v>
      </c>
      <c r="E2543" s="32" t="s">
        <v>4741</v>
      </c>
      <c r="F2543" s="34" t="s">
        <v>24</v>
      </c>
      <c r="G2543" s="34" t="s">
        <v>6595</v>
      </c>
      <c r="H2543" s="35" t="s">
        <v>26</v>
      </c>
      <c r="I2543" s="57"/>
      <c r="J2543" s="57"/>
      <c r="K2543" s="57"/>
      <c r="L2543" s="84"/>
    </row>
    <row r="2544">
      <c r="A2544" s="31" t="s">
        <v>3598</v>
      </c>
      <c r="B2544" s="32" t="s">
        <v>6596</v>
      </c>
      <c r="C2544" s="33">
        <v>46003.0</v>
      </c>
      <c r="D2544" s="34" t="s">
        <v>22</v>
      </c>
      <c r="E2544" s="32" t="s">
        <v>61</v>
      </c>
      <c r="F2544" s="34" t="s">
        <v>24</v>
      </c>
      <c r="G2544" s="34" t="s">
        <v>32</v>
      </c>
      <c r="H2544" s="35" t="s">
        <v>26</v>
      </c>
      <c r="I2544" s="57"/>
      <c r="J2544" s="57"/>
      <c r="K2544" s="57"/>
      <c r="L2544" s="84"/>
    </row>
    <row r="2545">
      <c r="A2545" s="31" t="s">
        <v>4372</v>
      </c>
      <c r="B2545" s="32" t="s">
        <v>6597</v>
      </c>
      <c r="C2545" s="33">
        <v>46003.0</v>
      </c>
      <c r="D2545" s="34" t="s">
        <v>22</v>
      </c>
      <c r="E2545" s="32" t="s">
        <v>6598</v>
      </c>
      <c r="F2545" s="34" t="s">
        <v>53</v>
      </c>
      <c r="G2545" s="34" t="s">
        <v>660</v>
      </c>
      <c r="H2545" s="35" t="s">
        <v>26</v>
      </c>
      <c r="I2545" s="57"/>
      <c r="J2545" s="57"/>
      <c r="K2545" s="57"/>
      <c r="L2545" s="84"/>
    </row>
    <row r="2546">
      <c r="A2546" s="31" t="s">
        <v>6599</v>
      </c>
      <c r="B2546" s="32" t="s">
        <v>6600</v>
      </c>
      <c r="C2546" s="33">
        <v>46003.0</v>
      </c>
      <c r="D2546" s="47" t="s">
        <v>22</v>
      </c>
      <c r="E2546" s="32" t="s">
        <v>73</v>
      </c>
      <c r="F2546" s="34" t="s">
        <v>24</v>
      </c>
      <c r="G2546" s="34" t="s">
        <v>2644</v>
      </c>
      <c r="H2546" s="35" t="s">
        <v>26</v>
      </c>
      <c r="I2546" s="57"/>
      <c r="J2546" s="57"/>
      <c r="K2546" s="57"/>
      <c r="L2546" s="84"/>
    </row>
    <row r="2547">
      <c r="A2547" s="31" t="s">
        <v>6601</v>
      </c>
      <c r="B2547" s="32" t="s">
        <v>6602</v>
      </c>
      <c r="C2547" s="33">
        <v>46003.0</v>
      </c>
      <c r="D2547" s="34" t="s">
        <v>22</v>
      </c>
      <c r="E2547" s="32" t="s">
        <v>374</v>
      </c>
      <c r="F2547" s="34" t="s">
        <v>24</v>
      </c>
      <c r="G2547" s="34" t="s">
        <v>6603</v>
      </c>
      <c r="H2547" s="35" t="s">
        <v>26</v>
      </c>
      <c r="I2547" s="57"/>
      <c r="J2547" s="57"/>
      <c r="K2547" s="57"/>
      <c r="L2547" s="84"/>
    </row>
    <row r="2548">
      <c r="A2548" s="31" t="s">
        <v>6604</v>
      </c>
      <c r="B2548" s="32" t="s">
        <v>6605</v>
      </c>
      <c r="C2548" s="33">
        <v>46003.0</v>
      </c>
      <c r="D2548" s="34" t="s">
        <v>22</v>
      </c>
      <c r="E2548" s="32" t="s">
        <v>6606</v>
      </c>
      <c r="F2548" s="34" t="s">
        <v>24</v>
      </c>
      <c r="G2548" s="34" t="s">
        <v>871</v>
      </c>
      <c r="H2548" s="35" t="s">
        <v>26</v>
      </c>
      <c r="I2548" s="57"/>
      <c r="J2548" s="57"/>
      <c r="K2548" s="57"/>
      <c r="L2548" s="84"/>
    </row>
    <row r="2549">
      <c r="A2549" s="31" t="s">
        <v>6607</v>
      </c>
      <c r="B2549" s="32" t="s">
        <v>6608</v>
      </c>
      <c r="C2549" s="33">
        <v>46003.0</v>
      </c>
      <c r="D2549" s="34" t="s">
        <v>22</v>
      </c>
      <c r="E2549" s="32" t="s">
        <v>4682</v>
      </c>
      <c r="F2549" s="34" t="s">
        <v>24</v>
      </c>
      <c r="G2549" s="34" t="s">
        <v>257</v>
      </c>
      <c r="H2549" s="35" t="s">
        <v>26</v>
      </c>
      <c r="I2549" s="57"/>
      <c r="J2549" s="57"/>
      <c r="K2549" s="57"/>
      <c r="L2549" s="84"/>
    </row>
    <row r="2550">
      <c r="A2550" s="31" t="s">
        <v>6609</v>
      </c>
      <c r="B2550" s="32" t="s">
        <v>6610</v>
      </c>
      <c r="C2550" s="33">
        <v>46003.0</v>
      </c>
      <c r="D2550" s="34" t="s">
        <v>22</v>
      </c>
      <c r="E2550" s="32" t="s">
        <v>61</v>
      </c>
      <c r="F2550" s="34" t="s">
        <v>24</v>
      </c>
      <c r="G2550" s="34" t="s">
        <v>257</v>
      </c>
      <c r="H2550" s="35" t="s">
        <v>26</v>
      </c>
      <c r="I2550" s="57"/>
      <c r="J2550" s="57"/>
      <c r="K2550" s="57"/>
      <c r="L2550" s="84"/>
    </row>
    <row r="2551">
      <c r="A2551" s="31" t="s">
        <v>6611</v>
      </c>
      <c r="B2551" s="32" t="s">
        <v>6612</v>
      </c>
      <c r="C2551" s="33">
        <v>46003.0</v>
      </c>
      <c r="D2551" s="34" t="s">
        <v>22</v>
      </c>
      <c r="E2551" s="32" t="s">
        <v>6613</v>
      </c>
      <c r="F2551" s="34" t="s">
        <v>53</v>
      </c>
      <c r="G2551" s="34" t="s">
        <v>257</v>
      </c>
      <c r="H2551" s="35" t="s">
        <v>26</v>
      </c>
      <c r="I2551" s="57"/>
      <c r="J2551" s="57"/>
      <c r="K2551" s="57"/>
      <c r="L2551" s="84"/>
    </row>
    <row r="2552">
      <c r="A2552" s="31" t="s">
        <v>6614</v>
      </c>
      <c r="B2552" s="32" t="s">
        <v>6615</v>
      </c>
      <c r="C2552" s="33">
        <v>46003.0</v>
      </c>
      <c r="D2552" s="34" t="s">
        <v>39</v>
      </c>
      <c r="E2552" s="32" t="s">
        <v>160</v>
      </c>
      <c r="F2552" s="34" t="s">
        <v>24</v>
      </c>
      <c r="G2552" s="34" t="s">
        <v>339</v>
      </c>
      <c r="H2552" s="35" t="s">
        <v>26</v>
      </c>
      <c r="I2552" s="57"/>
      <c r="J2552" s="57"/>
      <c r="K2552" s="57"/>
      <c r="L2552" s="84"/>
    </row>
    <row r="2553">
      <c r="A2553" s="31" t="s">
        <v>6616</v>
      </c>
      <c r="B2553" s="32" t="s">
        <v>6617</v>
      </c>
      <c r="C2553" s="33">
        <v>46003.0</v>
      </c>
      <c r="D2553" s="34" t="s">
        <v>22</v>
      </c>
      <c r="E2553" s="32" t="s">
        <v>84</v>
      </c>
      <c r="F2553" s="34" t="s">
        <v>24</v>
      </c>
      <c r="G2553" s="34" t="s">
        <v>375</v>
      </c>
      <c r="H2553" s="35" t="s">
        <v>26</v>
      </c>
      <c r="I2553" s="57"/>
      <c r="J2553" s="57"/>
      <c r="K2553" s="57"/>
      <c r="L2553" s="84"/>
    </row>
    <row r="2554">
      <c r="A2554" s="31" t="s">
        <v>6618</v>
      </c>
      <c r="B2554" s="32" t="s">
        <v>6619</v>
      </c>
      <c r="C2554" s="33">
        <v>46003.0</v>
      </c>
      <c r="D2554" s="34" t="s">
        <v>22</v>
      </c>
      <c r="E2554" s="32" t="s">
        <v>69</v>
      </c>
      <c r="F2554" s="34" t="s">
        <v>24</v>
      </c>
      <c r="G2554" s="34" t="s">
        <v>199</v>
      </c>
      <c r="H2554" s="35" t="s">
        <v>26</v>
      </c>
      <c r="I2554" s="57"/>
      <c r="J2554" s="57"/>
      <c r="K2554" s="57"/>
      <c r="L2554" s="84"/>
    </row>
    <row r="2555">
      <c r="A2555" s="31" t="s">
        <v>6620</v>
      </c>
      <c r="B2555" s="32" t="s">
        <v>6621</v>
      </c>
      <c r="C2555" s="33">
        <v>46003.0</v>
      </c>
      <c r="D2555" s="34" t="s">
        <v>22</v>
      </c>
      <c r="E2555" s="32" t="s">
        <v>172</v>
      </c>
      <c r="F2555" s="34" t="s">
        <v>24</v>
      </c>
      <c r="G2555" s="34" t="s">
        <v>2298</v>
      </c>
      <c r="H2555" s="35" t="s">
        <v>26</v>
      </c>
      <c r="I2555" s="57"/>
      <c r="J2555" s="57"/>
      <c r="K2555" s="57"/>
      <c r="L2555" s="84"/>
    </row>
    <row r="2556">
      <c r="A2556" s="31" t="s">
        <v>6622</v>
      </c>
      <c r="B2556" s="32" t="s">
        <v>6623</v>
      </c>
      <c r="C2556" s="33">
        <v>46003.0</v>
      </c>
      <c r="D2556" s="69" t="s">
        <v>22</v>
      </c>
      <c r="E2556" s="32" t="s">
        <v>822</v>
      </c>
      <c r="F2556" s="34" t="s">
        <v>53</v>
      </c>
      <c r="G2556" s="34" t="s">
        <v>1127</v>
      </c>
      <c r="H2556" s="35" t="s">
        <v>26</v>
      </c>
      <c r="I2556" s="57"/>
      <c r="J2556" s="57"/>
      <c r="K2556" s="57"/>
      <c r="L2556" s="84"/>
    </row>
    <row r="2557">
      <c r="A2557" s="31" t="s">
        <v>6624</v>
      </c>
      <c r="B2557" s="32" t="s">
        <v>6625</v>
      </c>
      <c r="C2557" s="33">
        <v>46003.0</v>
      </c>
      <c r="D2557" s="34" t="s">
        <v>22</v>
      </c>
      <c r="E2557" s="32" t="s">
        <v>73</v>
      </c>
      <c r="F2557" s="34" t="s">
        <v>24</v>
      </c>
      <c r="G2557" s="34" t="s">
        <v>792</v>
      </c>
      <c r="H2557" s="35" t="s">
        <v>26</v>
      </c>
      <c r="I2557" s="57"/>
      <c r="J2557" s="57"/>
      <c r="K2557" s="57"/>
      <c r="L2557" s="84"/>
    </row>
    <row r="2558">
      <c r="A2558" s="31" t="s">
        <v>6626</v>
      </c>
      <c r="B2558" s="32" t="s">
        <v>6627</v>
      </c>
      <c r="C2558" s="33">
        <v>46003.0</v>
      </c>
      <c r="D2558" s="34" t="s">
        <v>22</v>
      </c>
      <c r="E2558" s="32" t="s">
        <v>364</v>
      </c>
      <c r="F2558" s="34" t="s">
        <v>24</v>
      </c>
      <c r="G2558" s="34" t="s">
        <v>491</v>
      </c>
      <c r="H2558" s="35" t="s">
        <v>26</v>
      </c>
      <c r="I2558" s="57"/>
      <c r="J2558" s="57"/>
      <c r="K2558" s="57"/>
      <c r="L2558" s="84"/>
    </row>
    <row r="2559">
      <c r="A2559" s="31" t="s">
        <v>6628</v>
      </c>
      <c r="B2559" s="32" t="s">
        <v>6629</v>
      </c>
      <c r="C2559" s="33">
        <v>46010.0</v>
      </c>
      <c r="D2559" s="34" t="s">
        <v>22</v>
      </c>
      <c r="E2559" s="32" t="s">
        <v>160</v>
      </c>
      <c r="F2559" s="34" t="s">
        <v>24</v>
      </c>
      <c r="G2559" s="34" t="s">
        <v>342</v>
      </c>
      <c r="H2559" s="35" t="s">
        <v>26</v>
      </c>
      <c r="I2559" s="57"/>
      <c r="J2559" s="57"/>
      <c r="K2559" s="57"/>
      <c r="L2559" s="84"/>
    </row>
    <row r="2560">
      <c r="A2560" s="31" t="s">
        <v>71</v>
      </c>
      <c r="B2560" s="32" t="s">
        <v>6630</v>
      </c>
      <c r="C2560" s="33">
        <v>46010.0</v>
      </c>
      <c r="D2560" s="69" t="s">
        <v>22</v>
      </c>
      <c r="E2560" s="32" t="s">
        <v>73</v>
      </c>
      <c r="F2560" s="34" t="s">
        <v>53</v>
      </c>
      <c r="G2560" s="34" t="s">
        <v>221</v>
      </c>
      <c r="H2560" s="35" t="s">
        <v>26</v>
      </c>
      <c r="I2560" s="57"/>
      <c r="J2560" s="57"/>
      <c r="K2560" s="57"/>
      <c r="L2560" s="84"/>
    </row>
    <row r="2561">
      <c r="A2561" s="31" t="s">
        <v>6631</v>
      </c>
      <c r="B2561" s="32" t="s">
        <v>6632</v>
      </c>
      <c r="C2561" s="33">
        <v>46010.0</v>
      </c>
      <c r="D2561" s="34" t="s">
        <v>22</v>
      </c>
      <c r="E2561" s="32" t="s">
        <v>1089</v>
      </c>
      <c r="F2561" s="34" t="s">
        <v>24</v>
      </c>
      <c r="G2561" s="34" t="s">
        <v>62</v>
      </c>
      <c r="H2561" s="35" t="s">
        <v>26</v>
      </c>
      <c r="I2561" s="57"/>
      <c r="J2561" s="57"/>
      <c r="K2561" s="57"/>
      <c r="L2561" s="84"/>
    </row>
    <row r="2562">
      <c r="A2562" s="31" t="s">
        <v>1554</v>
      </c>
      <c r="B2562" s="32" t="s">
        <v>6633</v>
      </c>
      <c r="C2562" s="33">
        <v>46010.0</v>
      </c>
      <c r="D2562" s="69" t="s">
        <v>22</v>
      </c>
      <c r="E2562" s="32" t="s">
        <v>928</v>
      </c>
      <c r="F2562" s="34" t="s">
        <v>24</v>
      </c>
      <c r="G2562" s="34" t="s">
        <v>253</v>
      </c>
      <c r="H2562" s="35" t="s">
        <v>26</v>
      </c>
      <c r="I2562" s="57"/>
      <c r="J2562" s="57"/>
      <c r="K2562" s="57"/>
      <c r="L2562" s="84"/>
    </row>
    <row r="2563">
      <c r="A2563" s="107"/>
      <c r="B2563" s="57"/>
      <c r="C2563" s="57"/>
      <c r="D2563" s="57"/>
      <c r="E2563" s="57"/>
      <c r="F2563" s="57"/>
      <c r="G2563" s="57"/>
      <c r="H2563" s="57"/>
      <c r="I2563" s="57"/>
      <c r="J2563" s="57"/>
      <c r="K2563" s="57"/>
      <c r="L2563" s="84"/>
    </row>
    <row r="2564">
      <c r="A2564" s="107"/>
      <c r="B2564" s="57"/>
      <c r="C2564" s="57"/>
      <c r="D2564" s="57"/>
      <c r="E2564" s="57"/>
      <c r="F2564" s="57"/>
      <c r="G2564" s="57"/>
      <c r="H2564" s="57"/>
      <c r="I2564" s="57"/>
      <c r="J2564" s="57"/>
      <c r="K2564" s="57"/>
      <c r="L2564" s="84"/>
    </row>
    <row r="2565">
      <c r="A2565" s="107"/>
      <c r="B2565" s="57"/>
      <c r="C2565" s="57"/>
      <c r="D2565" s="57"/>
      <c r="E2565" s="57"/>
      <c r="F2565" s="57"/>
      <c r="G2565" s="57"/>
      <c r="H2565" s="57"/>
      <c r="I2565" s="57"/>
      <c r="J2565" s="57"/>
      <c r="K2565" s="57"/>
      <c r="L2565" s="84"/>
    </row>
    <row r="2566">
      <c r="A2566" s="107"/>
      <c r="B2566" s="57"/>
      <c r="C2566" s="57"/>
      <c r="D2566" s="57"/>
      <c r="E2566" s="57"/>
      <c r="F2566" s="57"/>
      <c r="G2566" s="57"/>
      <c r="H2566" s="57"/>
      <c r="I2566" s="57"/>
      <c r="J2566" s="57"/>
      <c r="K2566" s="57"/>
      <c r="L2566" s="84"/>
    </row>
    <row r="2567">
      <c r="A2567" s="107"/>
      <c r="B2567" s="57"/>
      <c r="C2567" s="57"/>
      <c r="D2567" s="57"/>
      <c r="E2567" s="57"/>
      <c r="F2567" s="57"/>
      <c r="G2567" s="57"/>
      <c r="H2567" s="57"/>
      <c r="I2567" s="57"/>
      <c r="J2567" s="57"/>
      <c r="K2567" s="57"/>
      <c r="L2567" s="84"/>
    </row>
    <row r="2568">
      <c r="A2568" s="108" t="s">
        <v>6634</v>
      </c>
      <c r="B2568" s="12"/>
      <c r="C2568" s="109"/>
      <c r="D2568" s="11"/>
      <c r="E2568" s="11"/>
      <c r="F2568" s="11"/>
      <c r="G2568" s="11"/>
      <c r="H2568" s="11"/>
      <c r="I2568" s="11"/>
      <c r="J2568" s="11"/>
      <c r="K2568" s="11"/>
      <c r="L2568" s="110"/>
    </row>
    <row r="2569">
      <c r="A2569" s="32" t="s">
        <v>6635</v>
      </c>
      <c r="B2569" s="111"/>
      <c r="C2569" s="34" t="s">
        <v>6636</v>
      </c>
      <c r="D2569" s="34" t="s">
        <v>22</v>
      </c>
      <c r="E2569" s="32" t="s">
        <v>69</v>
      </c>
      <c r="F2569" s="112"/>
      <c r="G2569" s="113"/>
      <c r="H2569" s="114"/>
      <c r="I2569" s="115"/>
      <c r="J2569" s="116"/>
      <c r="K2569" s="27"/>
      <c r="L2569" s="117"/>
    </row>
    <row r="2570">
      <c r="A2570" s="32" t="s">
        <v>6637</v>
      </c>
      <c r="B2570" s="118"/>
      <c r="C2570" s="119" t="s">
        <v>6636</v>
      </c>
      <c r="D2570" s="34" t="s">
        <v>22</v>
      </c>
      <c r="E2570" s="118" t="s">
        <v>335</v>
      </c>
      <c r="F2570" s="120"/>
      <c r="G2570" s="119"/>
      <c r="H2570" s="121"/>
      <c r="I2570" s="122"/>
      <c r="J2570" s="123"/>
      <c r="K2570" s="38"/>
      <c r="L2570" s="124"/>
    </row>
    <row r="2571">
      <c r="A2571" s="32" t="s">
        <v>6638</v>
      </c>
      <c r="B2571" s="118"/>
      <c r="C2571" s="119" t="s">
        <v>6636</v>
      </c>
      <c r="D2571" s="34" t="s">
        <v>22</v>
      </c>
      <c r="E2571" s="118" t="s">
        <v>122</v>
      </c>
      <c r="F2571" s="125"/>
      <c r="G2571" s="126"/>
      <c r="H2571" s="121"/>
      <c r="I2571" s="122"/>
      <c r="J2571" s="123"/>
      <c r="K2571" s="38"/>
      <c r="L2571" s="124"/>
    </row>
    <row r="2572">
      <c r="A2572" s="32" t="s">
        <v>6639</v>
      </c>
      <c r="B2572" s="118"/>
      <c r="C2572" s="119" t="s">
        <v>6636</v>
      </c>
      <c r="D2572" s="34" t="s">
        <v>22</v>
      </c>
      <c r="E2572" s="118" t="s">
        <v>3280</v>
      </c>
      <c r="F2572" s="82"/>
      <c r="G2572" s="119"/>
      <c r="H2572" s="121"/>
      <c r="I2572" s="122"/>
      <c r="J2572" s="123"/>
      <c r="K2572" s="38"/>
      <c r="L2572" s="124"/>
    </row>
    <row r="2573">
      <c r="A2573" s="31" t="s">
        <v>6640</v>
      </c>
      <c r="B2573" s="66"/>
      <c r="C2573" s="34" t="s">
        <v>6636</v>
      </c>
      <c r="D2573" s="34" t="s">
        <v>22</v>
      </c>
      <c r="E2573" s="32" t="s">
        <v>370</v>
      </c>
      <c r="F2573" s="82"/>
      <c r="G2573" s="119"/>
      <c r="H2573" s="121"/>
      <c r="I2573" s="122"/>
      <c r="J2573" s="123"/>
      <c r="K2573" s="38"/>
      <c r="L2573" s="124"/>
    </row>
    <row r="2574">
      <c r="A2574" s="32" t="s">
        <v>6641</v>
      </c>
      <c r="B2574" s="32" t="s">
        <v>6642</v>
      </c>
      <c r="C2574" s="34" t="s">
        <v>6636</v>
      </c>
      <c r="D2574" s="34" t="s">
        <v>22</v>
      </c>
      <c r="E2574" s="32" t="s">
        <v>122</v>
      </c>
      <c r="F2574" s="82"/>
      <c r="G2574" s="119"/>
      <c r="H2574" s="121"/>
      <c r="I2574" s="122"/>
      <c r="J2574" s="123"/>
      <c r="K2574" s="127"/>
      <c r="L2574" s="124"/>
    </row>
    <row r="2575">
      <c r="A2575" s="32" t="s">
        <v>6643</v>
      </c>
      <c r="B2575" s="66"/>
      <c r="C2575" s="34" t="s">
        <v>6636</v>
      </c>
      <c r="D2575" s="34" t="s">
        <v>22</v>
      </c>
      <c r="E2575" s="32" t="s">
        <v>73</v>
      </c>
      <c r="F2575" s="82"/>
      <c r="G2575" s="119"/>
      <c r="H2575" s="121"/>
      <c r="I2575" s="122"/>
      <c r="J2575" s="123"/>
      <c r="K2575" s="127"/>
      <c r="L2575" s="124"/>
    </row>
    <row r="2576">
      <c r="A2576" s="128" t="s">
        <v>6644</v>
      </c>
      <c r="B2576" s="32" t="s">
        <v>6645</v>
      </c>
      <c r="C2576" s="34" t="s">
        <v>6636</v>
      </c>
      <c r="D2576" s="34" t="s">
        <v>22</v>
      </c>
      <c r="E2576" s="32" t="s">
        <v>268</v>
      </c>
      <c r="F2576" s="82"/>
      <c r="G2576" s="119"/>
      <c r="H2576" s="121"/>
      <c r="I2576" s="122"/>
      <c r="J2576" s="123"/>
      <c r="K2576" s="127"/>
      <c r="L2576" s="124"/>
    </row>
    <row r="2577">
      <c r="A2577" s="32" t="s">
        <v>6646</v>
      </c>
      <c r="B2577" s="118"/>
      <c r="C2577" s="119" t="s">
        <v>6636</v>
      </c>
      <c r="D2577" s="119" t="s">
        <v>22</v>
      </c>
      <c r="E2577" s="118" t="s">
        <v>2792</v>
      </c>
      <c r="F2577" s="82"/>
      <c r="G2577" s="119"/>
      <c r="H2577" s="121"/>
      <c r="I2577" s="122"/>
      <c r="J2577" s="123"/>
      <c r="K2577" s="127"/>
      <c r="L2577" s="124"/>
    </row>
    <row r="2578">
      <c r="A2578" s="32" t="s">
        <v>6647</v>
      </c>
      <c r="B2578" s="118"/>
      <c r="C2578" s="119" t="s">
        <v>6636</v>
      </c>
      <c r="D2578" s="119" t="s">
        <v>22</v>
      </c>
      <c r="E2578" s="118" t="s">
        <v>168</v>
      </c>
      <c r="F2578" s="82"/>
      <c r="G2578" s="119"/>
      <c r="H2578" s="121"/>
      <c r="I2578" s="122"/>
      <c r="J2578" s="123"/>
      <c r="K2578" s="127"/>
      <c r="L2578" s="124"/>
    </row>
    <row r="2579">
      <c r="A2579" s="32" t="s">
        <v>6648</v>
      </c>
      <c r="B2579" s="66"/>
      <c r="C2579" s="34" t="s">
        <v>6636</v>
      </c>
      <c r="D2579" s="34" t="s">
        <v>22</v>
      </c>
      <c r="E2579" s="32" t="s">
        <v>370</v>
      </c>
      <c r="F2579" s="82"/>
      <c r="G2579" s="119"/>
      <c r="H2579" s="121"/>
      <c r="I2579" s="122"/>
      <c r="J2579" s="123"/>
      <c r="K2579" s="127"/>
      <c r="L2579" s="124"/>
    </row>
    <row r="2580">
      <c r="A2580" s="32" t="s">
        <v>6649</v>
      </c>
      <c r="B2580" s="66"/>
      <c r="C2580" s="34" t="s">
        <v>6636</v>
      </c>
      <c r="D2580" s="34" t="s">
        <v>22</v>
      </c>
      <c r="E2580" s="32" t="s">
        <v>2692</v>
      </c>
      <c r="F2580" s="82"/>
      <c r="G2580" s="119"/>
      <c r="H2580" s="121"/>
      <c r="I2580" s="122"/>
      <c r="J2580" s="123"/>
      <c r="K2580" s="127"/>
      <c r="L2580" s="124"/>
    </row>
    <row r="2581">
      <c r="A2581" s="128" t="s">
        <v>6650</v>
      </c>
      <c r="B2581" s="118"/>
      <c r="C2581" s="119" t="s">
        <v>6636</v>
      </c>
      <c r="D2581" s="119" t="s">
        <v>22</v>
      </c>
      <c r="E2581" s="118" t="s">
        <v>2762</v>
      </c>
      <c r="F2581" s="82"/>
      <c r="G2581" s="119"/>
      <c r="H2581" s="121"/>
      <c r="I2581" s="122"/>
      <c r="J2581" s="123"/>
      <c r="K2581" s="127"/>
      <c r="L2581" s="124"/>
    </row>
    <row r="2582">
      <c r="A2582" s="32" t="s">
        <v>6651</v>
      </c>
      <c r="B2582" s="118"/>
      <c r="C2582" s="119" t="s">
        <v>6636</v>
      </c>
      <c r="D2582" s="119" t="s">
        <v>22</v>
      </c>
      <c r="E2582" s="118" t="s">
        <v>6278</v>
      </c>
      <c r="F2582" s="82"/>
      <c r="G2582" s="119"/>
      <c r="H2582" s="121"/>
      <c r="I2582" s="122"/>
      <c r="J2582" s="123"/>
      <c r="K2582" s="127"/>
      <c r="L2582" s="124"/>
    </row>
    <row r="2583">
      <c r="A2583" s="32" t="s">
        <v>6652</v>
      </c>
      <c r="B2583" s="32" t="s">
        <v>6653</v>
      </c>
      <c r="C2583" s="34" t="s">
        <v>6636</v>
      </c>
      <c r="D2583" s="34" t="s">
        <v>22</v>
      </c>
      <c r="E2583" s="32" t="s">
        <v>1614</v>
      </c>
      <c r="F2583" s="82"/>
      <c r="G2583" s="119"/>
      <c r="H2583" s="121"/>
      <c r="I2583" s="122"/>
      <c r="J2583" s="123"/>
      <c r="K2583" s="127"/>
      <c r="L2583" s="124"/>
    </row>
    <row r="2584">
      <c r="A2584" s="32" t="s">
        <v>6654</v>
      </c>
      <c r="B2584" s="66"/>
      <c r="C2584" s="34" t="s">
        <v>6636</v>
      </c>
      <c r="D2584" s="34" t="s">
        <v>22</v>
      </c>
      <c r="E2584" s="32" t="s">
        <v>176</v>
      </c>
      <c r="F2584" s="82"/>
      <c r="G2584" s="119"/>
      <c r="H2584" s="121"/>
      <c r="I2584" s="122"/>
      <c r="J2584" s="123"/>
      <c r="K2584" s="127"/>
      <c r="L2584" s="124"/>
    </row>
    <row r="2585">
      <c r="A2585" s="32" t="s">
        <v>6655</v>
      </c>
      <c r="B2585" s="66"/>
      <c r="C2585" s="34" t="s">
        <v>6636</v>
      </c>
      <c r="D2585" s="34" t="s">
        <v>22</v>
      </c>
      <c r="E2585" s="32" t="s">
        <v>6656</v>
      </c>
      <c r="F2585" s="82"/>
      <c r="G2585" s="119"/>
      <c r="H2585" s="121"/>
      <c r="I2585" s="122"/>
      <c r="J2585" s="123"/>
      <c r="K2585" s="127"/>
      <c r="L2585" s="124"/>
    </row>
    <row r="2586">
      <c r="A2586" s="57"/>
      <c r="B2586" s="57"/>
      <c r="C2586" s="57"/>
      <c r="D2586" s="57"/>
      <c r="E2586" s="57"/>
      <c r="F2586" s="82"/>
      <c r="G2586" s="119"/>
      <c r="H2586" s="121"/>
      <c r="I2586" s="122"/>
      <c r="J2586" s="123"/>
      <c r="K2586" s="127"/>
      <c r="L2586" s="124"/>
    </row>
    <row r="2587">
      <c r="A2587" s="57"/>
      <c r="B2587" s="57"/>
      <c r="C2587" s="57"/>
      <c r="D2587" s="57"/>
      <c r="E2587" s="57"/>
      <c r="F2587" s="82"/>
      <c r="G2587" s="119"/>
      <c r="H2587" s="121"/>
      <c r="I2587" s="122"/>
      <c r="J2587" s="123"/>
      <c r="K2587" s="127"/>
      <c r="L2587" s="124"/>
    </row>
    <row r="2588">
      <c r="A2588" s="57"/>
      <c r="B2588" s="57"/>
      <c r="C2588" s="57"/>
      <c r="D2588" s="57"/>
      <c r="E2588" s="57"/>
      <c r="F2588" s="82"/>
      <c r="G2588" s="119"/>
      <c r="H2588" s="121"/>
      <c r="I2588" s="122"/>
      <c r="J2588" s="123"/>
      <c r="K2588" s="127"/>
      <c r="L2588" s="124"/>
    </row>
    <row r="2589">
      <c r="A2589" s="57"/>
      <c r="B2589" s="57"/>
      <c r="C2589" s="57"/>
      <c r="D2589" s="57"/>
      <c r="E2589" s="57"/>
      <c r="F2589" s="82"/>
      <c r="G2589" s="119"/>
      <c r="H2589" s="121"/>
      <c r="I2589" s="122"/>
      <c r="J2589" s="123"/>
      <c r="K2589" s="127"/>
      <c r="L2589" s="124"/>
    </row>
    <row r="2590">
      <c r="A2590" s="57"/>
      <c r="B2590" s="57"/>
      <c r="C2590" s="57"/>
      <c r="D2590" s="57"/>
      <c r="E2590" s="57"/>
      <c r="F2590" s="66"/>
      <c r="G2590" s="119"/>
      <c r="H2590" s="121"/>
      <c r="I2590" s="122"/>
      <c r="J2590" s="123"/>
      <c r="K2590" s="127"/>
      <c r="L2590" s="124"/>
    </row>
    <row r="2591">
      <c r="A2591" s="57"/>
      <c r="B2591" s="57"/>
      <c r="C2591" s="57"/>
      <c r="D2591" s="57"/>
      <c r="E2591" s="57"/>
      <c r="F2591" s="66"/>
      <c r="G2591" s="119"/>
      <c r="H2591" s="121"/>
      <c r="I2591" s="122"/>
      <c r="J2591" s="123"/>
      <c r="K2591" s="127"/>
      <c r="L2591" s="124"/>
    </row>
    <row r="2592">
      <c r="A2592" s="57"/>
      <c r="B2592" s="57"/>
      <c r="C2592" s="57"/>
      <c r="D2592" s="57"/>
      <c r="E2592" s="57"/>
      <c r="F2592" s="82"/>
      <c r="G2592" s="119"/>
      <c r="H2592" s="121"/>
      <c r="I2592" s="122"/>
      <c r="J2592" s="123"/>
      <c r="K2592" s="127"/>
      <c r="L2592" s="124"/>
    </row>
    <row r="2593">
      <c r="A2593" s="57"/>
      <c r="B2593" s="57"/>
      <c r="C2593" s="57"/>
      <c r="D2593" s="57"/>
      <c r="E2593" s="57"/>
      <c r="F2593" s="82"/>
      <c r="G2593" s="119"/>
      <c r="H2593" s="121"/>
      <c r="I2593" s="122"/>
      <c r="J2593" s="123"/>
      <c r="K2593" s="127"/>
      <c r="L2593" s="124"/>
    </row>
    <row r="2594">
      <c r="A2594" s="57"/>
      <c r="B2594" s="57"/>
      <c r="C2594" s="57"/>
      <c r="D2594" s="57"/>
      <c r="E2594" s="57"/>
      <c r="F2594" s="66"/>
      <c r="G2594" s="119"/>
      <c r="H2594" s="121"/>
      <c r="I2594" s="122"/>
      <c r="J2594" s="123"/>
      <c r="K2594" s="127"/>
      <c r="L2594" s="124"/>
    </row>
    <row r="2595">
      <c r="A2595" s="32"/>
      <c r="B2595" s="118"/>
      <c r="C2595" s="129"/>
      <c r="D2595" s="119"/>
      <c r="E2595" s="118"/>
      <c r="F2595" s="119"/>
      <c r="G2595" s="119"/>
      <c r="H2595" s="121"/>
      <c r="I2595" s="122"/>
      <c r="J2595" s="123"/>
      <c r="K2595" s="127"/>
      <c r="L2595" s="124"/>
    </row>
    <row r="2596">
      <c r="A2596" s="32"/>
      <c r="B2596" s="32"/>
      <c r="C2596" s="34"/>
      <c r="D2596" s="34"/>
      <c r="E2596" s="57"/>
      <c r="F2596" s="57"/>
      <c r="G2596" s="57"/>
      <c r="H2596" s="121"/>
      <c r="I2596" s="122"/>
      <c r="J2596" s="123"/>
      <c r="K2596" s="127"/>
      <c r="L2596" s="124"/>
    </row>
    <row r="2597">
      <c r="A2597" s="32"/>
      <c r="B2597" s="32"/>
      <c r="C2597" s="34"/>
      <c r="D2597" s="34"/>
      <c r="E2597" s="32"/>
      <c r="F2597" s="57"/>
      <c r="G2597" s="57"/>
      <c r="H2597" s="121"/>
      <c r="I2597" s="122"/>
      <c r="J2597" s="123"/>
      <c r="K2597" s="127"/>
      <c r="L2597" s="124"/>
    </row>
    <row r="2598">
      <c r="A2598" s="32"/>
      <c r="B2598" s="66"/>
      <c r="C2598" s="34"/>
      <c r="D2598" s="34"/>
      <c r="E2598" s="32"/>
      <c r="F2598" s="57"/>
      <c r="G2598" s="57"/>
      <c r="H2598" s="121"/>
      <c r="I2598" s="122"/>
      <c r="J2598" s="123"/>
      <c r="K2598" s="127"/>
      <c r="L2598" s="124"/>
    </row>
    <row r="2599">
      <c r="A2599" s="57"/>
      <c r="B2599" s="57"/>
      <c r="C2599" s="57"/>
      <c r="D2599" s="57"/>
      <c r="E2599" s="57"/>
      <c r="F2599" s="57"/>
      <c r="G2599" s="57"/>
      <c r="H2599" s="121"/>
      <c r="I2599" s="122"/>
      <c r="J2599" s="123"/>
      <c r="K2599" s="127"/>
      <c r="L2599" s="124"/>
    </row>
    <row r="2600">
      <c r="A2600" s="57"/>
      <c r="B2600" s="57"/>
      <c r="C2600" s="57"/>
      <c r="D2600" s="57"/>
      <c r="E2600" s="57"/>
      <c r="F2600" s="57"/>
      <c r="G2600" s="57"/>
      <c r="H2600" s="121"/>
      <c r="I2600" s="122"/>
      <c r="J2600" s="123"/>
      <c r="K2600" s="127"/>
      <c r="L2600" s="124"/>
    </row>
    <row r="2601">
      <c r="A2601" s="57"/>
      <c r="B2601" s="57"/>
      <c r="C2601" s="57"/>
      <c r="D2601" s="57"/>
      <c r="E2601" s="57"/>
      <c r="F2601" s="57"/>
      <c r="G2601" s="57"/>
      <c r="H2601" s="121"/>
      <c r="I2601" s="122"/>
      <c r="J2601" s="123"/>
      <c r="K2601" s="127"/>
      <c r="L2601" s="124"/>
    </row>
    <row r="2602">
      <c r="A2602" s="57"/>
      <c r="B2602" s="57"/>
      <c r="C2602" s="57"/>
      <c r="D2602" s="57"/>
      <c r="E2602" s="57"/>
      <c r="F2602" s="57"/>
      <c r="G2602" s="57"/>
      <c r="H2602" s="121"/>
      <c r="I2602" s="122"/>
      <c r="J2602" s="123"/>
      <c r="K2602" s="127"/>
      <c r="L2602" s="124"/>
    </row>
    <row r="2603">
      <c r="A2603" s="57"/>
      <c r="B2603" s="57"/>
      <c r="C2603" s="57"/>
      <c r="D2603" s="57"/>
      <c r="E2603" s="57"/>
      <c r="F2603" s="57"/>
      <c r="G2603" s="57"/>
      <c r="H2603" s="121"/>
      <c r="I2603" s="122"/>
      <c r="J2603" s="123"/>
      <c r="K2603" s="127"/>
      <c r="L2603" s="124"/>
    </row>
    <row r="2604">
      <c r="A2604" s="57"/>
      <c r="B2604" s="57"/>
      <c r="C2604" s="57"/>
      <c r="D2604" s="57"/>
      <c r="E2604" s="57"/>
      <c r="F2604" s="57"/>
      <c r="G2604" s="57"/>
      <c r="H2604" s="121"/>
      <c r="I2604" s="122"/>
      <c r="J2604" s="123"/>
      <c r="K2604" s="127"/>
      <c r="L2604" s="124"/>
    </row>
    <row r="2605">
      <c r="A2605" s="57"/>
      <c r="B2605" s="57"/>
      <c r="C2605" s="57"/>
      <c r="D2605" s="57"/>
      <c r="E2605" s="57"/>
      <c r="F2605" s="57"/>
      <c r="G2605" s="57"/>
      <c r="H2605" s="121"/>
      <c r="I2605" s="122"/>
      <c r="J2605" s="123"/>
      <c r="K2605" s="127"/>
      <c r="L2605" s="124"/>
    </row>
    <row r="2606">
      <c r="A2606" s="57"/>
      <c r="B2606" s="57"/>
      <c r="C2606" s="57"/>
      <c r="D2606" s="57"/>
      <c r="E2606" s="57"/>
      <c r="F2606" s="57"/>
      <c r="G2606" s="57"/>
      <c r="H2606" s="130"/>
      <c r="I2606" s="122"/>
      <c r="J2606" s="123"/>
      <c r="K2606" s="127"/>
      <c r="L2606" s="124"/>
    </row>
    <row r="2607">
      <c r="A2607" s="131"/>
      <c r="B2607" s="131"/>
      <c r="C2607" s="132"/>
      <c r="D2607" s="132"/>
      <c r="E2607" s="131"/>
      <c r="F2607" s="133"/>
      <c r="G2607" s="133"/>
      <c r="H2607" s="134"/>
      <c r="I2607" s="135"/>
      <c r="J2607" s="136"/>
      <c r="K2607" s="136"/>
      <c r="L2607" s="137"/>
    </row>
    <row r="2608">
      <c r="A2608" s="97"/>
      <c r="B2608" s="97"/>
      <c r="C2608" s="63"/>
      <c r="D2608" s="63"/>
      <c r="E2608" s="97"/>
      <c r="F2608" s="30"/>
      <c r="G2608" s="30"/>
      <c r="H2608" s="138"/>
      <c r="I2608" s="139"/>
      <c r="J2608" s="140"/>
      <c r="K2608" s="140"/>
      <c r="L2608" s="141"/>
    </row>
    <row r="2609">
      <c r="A2609" s="97"/>
      <c r="B2609" s="97"/>
      <c r="C2609" s="63"/>
      <c r="D2609" s="63"/>
      <c r="E2609" s="97"/>
      <c r="F2609" s="30"/>
      <c r="G2609" s="30"/>
      <c r="H2609" s="138"/>
      <c r="I2609" s="139"/>
      <c r="J2609" s="140"/>
      <c r="K2609" s="140"/>
      <c r="L2609" s="141"/>
    </row>
    <row r="2610">
      <c r="A2610" s="97"/>
      <c r="B2610" s="97"/>
      <c r="C2610" s="63"/>
      <c r="D2610" s="63"/>
      <c r="E2610" s="97"/>
      <c r="F2610" s="30"/>
      <c r="G2610" s="30"/>
      <c r="H2610" s="138"/>
      <c r="I2610" s="139"/>
      <c r="J2610" s="140"/>
      <c r="K2610" s="140"/>
      <c r="L2610" s="141"/>
    </row>
    <row r="2611">
      <c r="A2611" s="97"/>
      <c r="B2611" s="97"/>
      <c r="C2611" s="63"/>
      <c r="D2611" s="63"/>
      <c r="E2611" s="97"/>
      <c r="F2611" s="30"/>
      <c r="G2611" s="30"/>
      <c r="H2611" s="138"/>
      <c r="I2611" s="139"/>
      <c r="J2611" s="140"/>
      <c r="K2611" s="140"/>
      <c r="L2611" s="141"/>
    </row>
    <row r="2612">
      <c r="A2612" s="97"/>
      <c r="B2612" s="97"/>
      <c r="C2612" s="63"/>
      <c r="D2612" s="63"/>
      <c r="E2612" s="97"/>
      <c r="F2612" s="30"/>
      <c r="G2612" s="30"/>
      <c r="H2612" s="138"/>
      <c r="I2612" s="139"/>
      <c r="J2612" s="140"/>
      <c r="K2612" s="140"/>
      <c r="L2612" s="141"/>
    </row>
    <row r="2613">
      <c r="A2613" s="97"/>
      <c r="B2613" s="97"/>
      <c r="C2613" s="63"/>
      <c r="D2613" s="63"/>
      <c r="E2613" s="97"/>
      <c r="F2613" s="30"/>
      <c r="G2613" s="30"/>
      <c r="H2613" s="138"/>
      <c r="I2613" s="139"/>
      <c r="J2613" s="140"/>
      <c r="K2613" s="140"/>
      <c r="L2613" s="141"/>
    </row>
    <row r="2614">
      <c r="A2614" s="97"/>
      <c r="B2614" s="97"/>
      <c r="C2614" s="63"/>
      <c r="D2614" s="63"/>
      <c r="E2614" s="97"/>
      <c r="F2614" s="30"/>
      <c r="G2614" s="30"/>
      <c r="H2614" s="138"/>
      <c r="I2614" s="139"/>
      <c r="J2614" s="140"/>
      <c r="K2614" s="140"/>
      <c r="L2614" s="141"/>
    </row>
    <row r="2615">
      <c r="A2615" s="97"/>
      <c r="B2615" s="97"/>
      <c r="C2615" s="63"/>
      <c r="D2615" s="63"/>
      <c r="E2615" s="97"/>
      <c r="F2615" s="30"/>
      <c r="G2615" s="30"/>
      <c r="H2615" s="138"/>
      <c r="I2615" s="139"/>
      <c r="J2615" s="140"/>
      <c r="K2615" s="140"/>
      <c r="L2615" s="141"/>
    </row>
    <row r="2616">
      <c r="A2616" s="97"/>
      <c r="B2616" s="97"/>
      <c r="C2616" s="63"/>
      <c r="D2616" s="63"/>
      <c r="E2616" s="97"/>
      <c r="F2616" s="30"/>
      <c r="G2616" s="30"/>
      <c r="H2616" s="138"/>
      <c r="I2616" s="139"/>
      <c r="J2616" s="140"/>
      <c r="K2616" s="140"/>
      <c r="L2616" s="141"/>
    </row>
    <row r="2617">
      <c r="A2617" s="97"/>
      <c r="B2617" s="97"/>
      <c r="C2617" s="63"/>
      <c r="D2617" s="63"/>
      <c r="E2617" s="97"/>
      <c r="F2617" s="30"/>
      <c r="G2617" s="30"/>
      <c r="H2617" s="138"/>
      <c r="I2617" s="139"/>
      <c r="J2617" s="140"/>
      <c r="K2617" s="140"/>
      <c r="L2617" s="141"/>
    </row>
    <row r="2618">
      <c r="A2618" s="97"/>
      <c r="B2618" s="97"/>
      <c r="C2618" s="63"/>
      <c r="D2618" s="63"/>
      <c r="E2618" s="97"/>
      <c r="F2618" s="30"/>
      <c r="G2618" s="30"/>
      <c r="H2618" s="138"/>
      <c r="I2618" s="139"/>
      <c r="J2618" s="140"/>
      <c r="K2618" s="140"/>
      <c r="L2618" s="141"/>
    </row>
    <row r="2619">
      <c r="A2619" s="97"/>
      <c r="B2619" s="97"/>
      <c r="C2619" s="63"/>
      <c r="D2619" s="63"/>
      <c r="E2619" s="97"/>
      <c r="F2619" s="30"/>
      <c r="G2619" s="30"/>
      <c r="H2619" s="138"/>
      <c r="I2619" s="139"/>
      <c r="J2619" s="140"/>
      <c r="K2619" s="140"/>
      <c r="L2619" s="141"/>
    </row>
    <row r="2620">
      <c r="A2620" s="97"/>
      <c r="B2620" s="97"/>
      <c r="C2620" s="63"/>
      <c r="D2620" s="63"/>
      <c r="E2620" s="97"/>
      <c r="F2620" s="30"/>
      <c r="G2620" s="30"/>
      <c r="H2620" s="138"/>
      <c r="I2620" s="139"/>
      <c r="J2620" s="140"/>
      <c r="K2620" s="140"/>
      <c r="L2620" s="141"/>
    </row>
    <row r="2621">
      <c r="A2621" s="97"/>
      <c r="B2621" s="97"/>
      <c r="C2621" s="63"/>
      <c r="D2621" s="63"/>
      <c r="E2621" s="97"/>
      <c r="F2621" s="30"/>
      <c r="G2621" s="30"/>
      <c r="H2621" s="138"/>
      <c r="I2621" s="139"/>
      <c r="J2621" s="140"/>
      <c r="K2621" s="140"/>
      <c r="L2621" s="141"/>
    </row>
    <row r="2622">
      <c r="A2622" s="97"/>
      <c r="B2622" s="97"/>
      <c r="C2622" s="63"/>
      <c r="D2622" s="63"/>
      <c r="E2622" s="97"/>
      <c r="F2622" s="30"/>
      <c r="G2622" s="30"/>
      <c r="H2622" s="138"/>
      <c r="I2622" s="139"/>
      <c r="J2622" s="140"/>
      <c r="K2622" s="140"/>
      <c r="L2622" s="141"/>
    </row>
    <row r="2623">
      <c r="A2623" s="97"/>
      <c r="B2623" s="97"/>
      <c r="C2623" s="63"/>
      <c r="D2623" s="63"/>
      <c r="E2623" s="97"/>
      <c r="F2623" s="30"/>
      <c r="G2623" s="30"/>
      <c r="H2623" s="138"/>
      <c r="I2623" s="139"/>
      <c r="J2623" s="140"/>
      <c r="K2623" s="140"/>
      <c r="L2623" s="141"/>
    </row>
    <row r="2624">
      <c r="A2624" s="97"/>
      <c r="B2624" s="97"/>
      <c r="C2624" s="63"/>
      <c r="D2624" s="63"/>
      <c r="E2624" s="97"/>
      <c r="F2624" s="30"/>
      <c r="G2624" s="30"/>
      <c r="H2624" s="138"/>
      <c r="I2624" s="139"/>
      <c r="J2624" s="140"/>
      <c r="K2624" s="140"/>
      <c r="L2624" s="141"/>
    </row>
    <row r="2625">
      <c r="A2625" s="97"/>
      <c r="B2625" s="97"/>
      <c r="C2625" s="63"/>
      <c r="D2625" s="63"/>
      <c r="E2625" s="97"/>
      <c r="F2625" s="30"/>
      <c r="G2625" s="30"/>
      <c r="H2625" s="138"/>
      <c r="I2625" s="139"/>
      <c r="J2625" s="140"/>
      <c r="K2625" s="140"/>
      <c r="L2625" s="141"/>
    </row>
    <row r="2626">
      <c r="A2626" s="97"/>
      <c r="B2626" s="97"/>
      <c r="C2626" s="63"/>
      <c r="D2626" s="63"/>
      <c r="E2626" s="97"/>
      <c r="F2626" s="30"/>
      <c r="G2626" s="30"/>
      <c r="H2626" s="138"/>
      <c r="I2626" s="139"/>
      <c r="J2626" s="140"/>
      <c r="K2626" s="140"/>
      <c r="L2626" s="141"/>
    </row>
    <row r="2627">
      <c r="A2627" s="97"/>
      <c r="B2627" s="97"/>
      <c r="C2627" s="63"/>
      <c r="D2627" s="63"/>
      <c r="E2627" s="97"/>
      <c r="F2627" s="30"/>
      <c r="G2627" s="30"/>
      <c r="H2627" s="138"/>
      <c r="I2627" s="139"/>
      <c r="J2627" s="140"/>
      <c r="K2627" s="140"/>
      <c r="L2627" s="141"/>
    </row>
    <row r="2628">
      <c r="A2628" s="97"/>
      <c r="B2628" s="97"/>
      <c r="C2628" s="63"/>
      <c r="D2628" s="63"/>
      <c r="E2628" s="97"/>
      <c r="F2628" s="30"/>
      <c r="G2628" s="30"/>
      <c r="H2628" s="138"/>
      <c r="I2628" s="139"/>
      <c r="J2628" s="140"/>
      <c r="K2628" s="140"/>
      <c r="L2628" s="141"/>
    </row>
    <row r="2629">
      <c r="A2629" s="97"/>
      <c r="B2629" s="97"/>
      <c r="C2629" s="63"/>
      <c r="D2629" s="63"/>
      <c r="E2629" s="97"/>
      <c r="F2629" s="30"/>
      <c r="G2629" s="30"/>
      <c r="H2629" s="138"/>
      <c r="I2629" s="139"/>
      <c r="J2629" s="140"/>
      <c r="K2629" s="140"/>
      <c r="L2629" s="141"/>
    </row>
    <row r="2630">
      <c r="A2630" s="97"/>
      <c r="B2630" s="97"/>
      <c r="C2630" s="63"/>
      <c r="D2630" s="63"/>
      <c r="E2630" s="97"/>
      <c r="F2630" s="30"/>
      <c r="G2630" s="30"/>
      <c r="H2630" s="138"/>
      <c r="I2630" s="139"/>
      <c r="J2630" s="140"/>
      <c r="K2630" s="140"/>
      <c r="L2630" s="141"/>
    </row>
    <row r="2631">
      <c r="A2631" s="97"/>
      <c r="B2631" s="97"/>
      <c r="C2631" s="63"/>
      <c r="D2631" s="63"/>
      <c r="E2631" s="97"/>
      <c r="F2631" s="30"/>
      <c r="G2631" s="30"/>
      <c r="H2631" s="138"/>
      <c r="I2631" s="139"/>
      <c r="J2631" s="140"/>
      <c r="K2631" s="140"/>
      <c r="L2631" s="141"/>
    </row>
    <row r="2632">
      <c r="A2632" s="97"/>
      <c r="B2632" s="97"/>
      <c r="C2632" s="63"/>
      <c r="D2632" s="63"/>
      <c r="E2632" s="97"/>
      <c r="F2632" s="30"/>
      <c r="G2632" s="30"/>
      <c r="H2632" s="138"/>
      <c r="I2632" s="139"/>
      <c r="J2632" s="140"/>
      <c r="K2632" s="140"/>
      <c r="L2632" s="141"/>
    </row>
    <row r="2633">
      <c r="A2633" s="97"/>
      <c r="B2633" s="97"/>
      <c r="C2633" s="63"/>
      <c r="D2633" s="63"/>
      <c r="E2633" s="97"/>
      <c r="F2633" s="30"/>
      <c r="G2633" s="30"/>
      <c r="H2633" s="138"/>
      <c r="I2633" s="139"/>
      <c r="J2633" s="140"/>
      <c r="K2633" s="140"/>
      <c r="L2633" s="141"/>
    </row>
    <row r="2634">
      <c r="A2634" s="97"/>
      <c r="B2634" s="97"/>
      <c r="C2634" s="63"/>
      <c r="D2634" s="63"/>
      <c r="E2634" s="97"/>
      <c r="F2634" s="30"/>
      <c r="G2634" s="30"/>
      <c r="H2634" s="138"/>
      <c r="I2634" s="139"/>
      <c r="J2634" s="140"/>
      <c r="K2634" s="140"/>
      <c r="L2634" s="141"/>
    </row>
    <row r="2635">
      <c r="A2635" s="97"/>
      <c r="B2635" s="97"/>
      <c r="C2635" s="63"/>
      <c r="D2635" s="63"/>
      <c r="E2635" s="97"/>
      <c r="F2635" s="30"/>
      <c r="G2635" s="30"/>
      <c r="H2635" s="138"/>
      <c r="I2635" s="139"/>
      <c r="J2635" s="140"/>
      <c r="K2635" s="140"/>
      <c r="L2635" s="141"/>
    </row>
    <row r="2636">
      <c r="A2636" s="97"/>
      <c r="B2636" s="97"/>
      <c r="C2636" s="63"/>
      <c r="D2636" s="63"/>
      <c r="E2636" s="97"/>
      <c r="F2636" s="30"/>
      <c r="G2636" s="30"/>
      <c r="H2636" s="138"/>
      <c r="I2636" s="139"/>
      <c r="J2636" s="140"/>
      <c r="K2636" s="140"/>
      <c r="L2636" s="141"/>
    </row>
    <row r="2637">
      <c r="A2637" s="97"/>
      <c r="B2637" s="97"/>
      <c r="C2637" s="63"/>
      <c r="D2637" s="63"/>
      <c r="E2637" s="97"/>
      <c r="F2637" s="30"/>
      <c r="G2637" s="30"/>
      <c r="H2637" s="138"/>
      <c r="I2637" s="139"/>
      <c r="J2637" s="140"/>
      <c r="K2637" s="140"/>
      <c r="L2637" s="141"/>
    </row>
    <row r="2638">
      <c r="A2638" s="97"/>
      <c r="B2638" s="97"/>
      <c r="C2638" s="63"/>
      <c r="D2638" s="63"/>
      <c r="E2638" s="97"/>
      <c r="F2638" s="30"/>
      <c r="G2638" s="30"/>
      <c r="H2638" s="138"/>
      <c r="I2638" s="139"/>
      <c r="J2638" s="140"/>
      <c r="K2638" s="140"/>
      <c r="L2638" s="141"/>
    </row>
    <row r="2639">
      <c r="A2639" s="97"/>
      <c r="B2639" s="97"/>
      <c r="C2639" s="63"/>
      <c r="D2639" s="63"/>
      <c r="E2639" s="97"/>
      <c r="F2639" s="30"/>
      <c r="G2639" s="30"/>
      <c r="H2639" s="138"/>
      <c r="I2639" s="139"/>
      <c r="J2639" s="140"/>
      <c r="K2639" s="140"/>
      <c r="L2639" s="141"/>
    </row>
    <row r="2640">
      <c r="A2640" s="97"/>
      <c r="B2640" s="97"/>
      <c r="C2640" s="63"/>
      <c r="D2640" s="63"/>
      <c r="E2640" s="97"/>
      <c r="F2640" s="30"/>
      <c r="G2640" s="30"/>
      <c r="H2640" s="138"/>
      <c r="I2640" s="139"/>
      <c r="J2640" s="140"/>
      <c r="K2640" s="140"/>
      <c r="L2640" s="141"/>
    </row>
    <row r="2641">
      <c r="A2641" s="97"/>
      <c r="B2641" s="97"/>
      <c r="C2641" s="63"/>
      <c r="D2641" s="63"/>
      <c r="E2641" s="97"/>
      <c r="F2641" s="30"/>
      <c r="G2641" s="30"/>
      <c r="H2641" s="138"/>
      <c r="I2641" s="139"/>
      <c r="J2641" s="140"/>
      <c r="K2641" s="140"/>
      <c r="L2641" s="141"/>
    </row>
    <row r="2642">
      <c r="A2642" s="97"/>
      <c r="B2642" s="97"/>
      <c r="C2642" s="63"/>
      <c r="D2642" s="63"/>
      <c r="E2642" s="97"/>
      <c r="F2642" s="30"/>
      <c r="G2642" s="30"/>
      <c r="H2642" s="138"/>
      <c r="I2642" s="139"/>
      <c r="J2642" s="140"/>
      <c r="K2642" s="140"/>
      <c r="L2642" s="141"/>
    </row>
    <row r="2643">
      <c r="A2643" s="97"/>
      <c r="B2643" s="97"/>
      <c r="C2643" s="63"/>
      <c r="D2643" s="63"/>
      <c r="E2643" s="97"/>
      <c r="F2643" s="30"/>
      <c r="G2643" s="30"/>
      <c r="H2643" s="138"/>
      <c r="I2643" s="139"/>
      <c r="J2643" s="140"/>
      <c r="K2643" s="140"/>
      <c r="L2643" s="141"/>
    </row>
    <row r="2644">
      <c r="A2644" s="97"/>
      <c r="B2644" s="97"/>
      <c r="C2644" s="63"/>
      <c r="D2644" s="63"/>
      <c r="E2644" s="97"/>
      <c r="F2644" s="30"/>
      <c r="G2644" s="30"/>
      <c r="H2644" s="138"/>
      <c r="I2644" s="139"/>
      <c r="J2644" s="140"/>
      <c r="K2644" s="140"/>
      <c r="L2644" s="141"/>
    </row>
    <row r="2645">
      <c r="A2645" s="97"/>
      <c r="B2645" s="97"/>
      <c r="C2645" s="63"/>
      <c r="D2645" s="63"/>
      <c r="E2645" s="97"/>
      <c r="F2645" s="30"/>
      <c r="G2645" s="30"/>
      <c r="H2645" s="138"/>
      <c r="I2645" s="139"/>
      <c r="J2645" s="140"/>
      <c r="K2645" s="140"/>
      <c r="L2645" s="141"/>
    </row>
    <row r="2646">
      <c r="A2646" s="97"/>
      <c r="B2646" s="97"/>
      <c r="C2646" s="63"/>
      <c r="D2646" s="63"/>
      <c r="E2646" s="97"/>
      <c r="F2646" s="30"/>
      <c r="G2646" s="30"/>
      <c r="H2646" s="138"/>
      <c r="I2646" s="139"/>
      <c r="J2646" s="140"/>
      <c r="K2646" s="140"/>
      <c r="L2646" s="141"/>
    </row>
    <row r="2647">
      <c r="A2647" s="97"/>
      <c r="B2647" s="97"/>
      <c r="C2647" s="63"/>
      <c r="D2647" s="63"/>
      <c r="E2647" s="97"/>
      <c r="F2647" s="30"/>
      <c r="G2647" s="30"/>
      <c r="H2647" s="138"/>
      <c r="I2647" s="139"/>
      <c r="J2647" s="140"/>
      <c r="K2647" s="140"/>
      <c r="L2647" s="141"/>
    </row>
    <row r="2648">
      <c r="A2648" s="97"/>
      <c r="B2648" s="97"/>
      <c r="C2648" s="63"/>
      <c r="D2648" s="63"/>
      <c r="E2648" s="97"/>
      <c r="F2648" s="30"/>
      <c r="G2648" s="30"/>
      <c r="H2648" s="138"/>
      <c r="I2648" s="139"/>
      <c r="J2648" s="140"/>
      <c r="K2648" s="140"/>
      <c r="L2648" s="141"/>
    </row>
    <row r="2649">
      <c r="A2649" s="97"/>
      <c r="B2649" s="97"/>
      <c r="C2649" s="63"/>
      <c r="D2649" s="63"/>
      <c r="E2649" s="97"/>
      <c r="F2649" s="30"/>
      <c r="G2649" s="30"/>
      <c r="H2649" s="138"/>
      <c r="I2649" s="139"/>
      <c r="J2649" s="140"/>
      <c r="K2649" s="140"/>
      <c r="L2649" s="141"/>
    </row>
    <row r="2650">
      <c r="A2650" s="97"/>
      <c r="B2650" s="97"/>
      <c r="C2650" s="63"/>
      <c r="D2650" s="63"/>
      <c r="E2650" s="97"/>
      <c r="F2650" s="30"/>
      <c r="G2650" s="30"/>
      <c r="H2650" s="138"/>
      <c r="I2650" s="139"/>
      <c r="J2650" s="140"/>
      <c r="K2650" s="140"/>
      <c r="L2650" s="141"/>
    </row>
    <row r="2651">
      <c r="A2651" s="97"/>
      <c r="B2651" s="97"/>
      <c r="C2651" s="63"/>
      <c r="D2651" s="63"/>
      <c r="E2651" s="97"/>
      <c r="F2651" s="30"/>
      <c r="G2651" s="30"/>
      <c r="H2651" s="138"/>
      <c r="I2651" s="139"/>
      <c r="J2651" s="140"/>
      <c r="K2651" s="140"/>
      <c r="L2651" s="141"/>
    </row>
    <row r="2652">
      <c r="A2652" s="97"/>
      <c r="B2652" s="97"/>
      <c r="C2652" s="63"/>
      <c r="D2652" s="63"/>
      <c r="E2652" s="97"/>
      <c r="F2652" s="30"/>
      <c r="G2652" s="30"/>
      <c r="H2652" s="138"/>
      <c r="I2652" s="139"/>
      <c r="J2652" s="140"/>
      <c r="K2652" s="140"/>
      <c r="L2652" s="141"/>
    </row>
    <row r="2653">
      <c r="A2653" s="97"/>
      <c r="B2653" s="97"/>
      <c r="C2653" s="63"/>
      <c r="D2653" s="63"/>
      <c r="E2653" s="97"/>
      <c r="F2653" s="30"/>
      <c r="G2653" s="30"/>
      <c r="H2653" s="138"/>
      <c r="I2653" s="139"/>
      <c r="J2653" s="140"/>
      <c r="K2653" s="140"/>
      <c r="L2653" s="141"/>
    </row>
    <row r="2654">
      <c r="A2654" s="97"/>
      <c r="B2654" s="97"/>
      <c r="C2654" s="63"/>
      <c r="D2654" s="63"/>
      <c r="E2654" s="97"/>
      <c r="F2654" s="30"/>
      <c r="G2654" s="30"/>
      <c r="H2654" s="138"/>
      <c r="I2654" s="139"/>
      <c r="J2654" s="140"/>
      <c r="K2654" s="140"/>
      <c r="L2654" s="141"/>
    </row>
    <row r="2655">
      <c r="A2655" s="97"/>
      <c r="B2655" s="97"/>
      <c r="C2655" s="63"/>
      <c r="D2655" s="63"/>
      <c r="E2655" s="97"/>
      <c r="F2655" s="30"/>
      <c r="G2655" s="30"/>
      <c r="H2655" s="138"/>
      <c r="I2655" s="139"/>
      <c r="J2655" s="140"/>
      <c r="K2655" s="140"/>
      <c r="L2655" s="141"/>
    </row>
    <row r="2656">
      <c r="A2656" s="97"/>
      <c r="B2656" s="97"/>
      <c r="C2656" s="63"/>
      <c r="D2656" s="63"/>
      <c r="E2656" s="97"/>
      <c r="F2656" s="30"/>
      <c r="G2656" s="30"/>
      <c r="H2656" s="138"/>
      <c r="I2656" s="139"/>
      <c r="J2656" s="140"/>
      <c r="K2656" s="140"/>
      <c r="L2656" s="141"/>
    </row>
    <row r="2657">
      <c r="A2657" s="97"/>
      <c r="B2657" s="97"/>
      <c r="C2657" s="63"/>
      <c r="D2657" s="63"/>
      <c r="E2657" s="97"/>
      <c r="F2657" s="30"/>
      <c r="G2657" s="30"/>
      <c r="H2657" s="138"/>
      <c r="I2657" s="139"/>
      <c r="J2657" s="140"/>
      <c r="K2657" s="140"/>
      <c r="L2657" s="141"/>
    </row>
    <row r="2658">
      <c r="A2658" s="97"/>
      <c r="B2658" s="97"/>
      <c r="C2658" s="63"/>
      <c r="D2658" s="63"/>
      <c r="E2658" s="97"/>
      <c r="F2658" s="30"/>
      <c r="G2658" s="30"/>
      <c r="H2658" s="138"/>
      <c r="I2658" s="139"/>
      <c r="J2658" s="140"/>
      <c r="K2658" s="140"/>
      <c r="L2658" s="141"/>
    </row>
    <row r="2659">
      <c r="A2659" s="97"/>
      <c r="B2659" s="97"/>
      <c r="C2659" s="63"/>
      <c r="D2659" s="63"/>
      <c r="E2659" s="97"/>
      <c r="F2659" s="30"/>
      <c r="G2659" s="30"/>
      <c r="H2659" s="138"/>
      <c r="I2659" s="139"/>
      <c r="J2659" s="140"/>
      <c r="K2659" s="140"/>
      <c r="L2659" s="141"/>
    </row>
    <row r="2660">
      <c r="A2660" s="97"/>
      <c r="B2660" s="97"/>
      <c r="C2660" s="63"/>
      <c r="D2660" s="63"/>
      <c r="E2660" s="97"/>
      <c r="F2660" s="30"/>
      <c r="G2660" s="30"/>
      <c r="H2660" s="138"/>
      <c r="I2660" s="139"/>
      <c r="J2660" s="140"/>
      <c r="K2660" s="140"/>
      <c r="L2660" s="141"/>
    </row>
    <row r="2661">
      <c r="A2661" s="97"/>
      <c r="B2661" s="97"/>
      <c r="C2661" s="63"/>
      <c r="D2661" s="63"/>
      <c r="E2661" s="97"/>
      <c r="F2661" s="30"/>
      <c r="G2661" s="30"/>
      <c r="H2661" s="138"/>
      <c r="I2661" s="139"/>
      <c r="J2661" s="140"/>
      <c r="K2661" s="140"/>
      <c r="L2661" s="141"/>
    </row>
    <row r="2662">
      <c r="A2662" s="97"/>
      <c r="B2662" s="97"/>
      <c r="C2662" s="63"/>
      <c r="D2662" s="63"/>
      <c r="E2662" s="97"/>
      <c r="F2662" s="30"/>
      <c r="G2662" s="30"/>
      <c r="H2662" s="138"/>
      <c r="I2662" s="139"/>
      <c r="J2662" s="140"/>
      <c r="K2662" s="140"/>
      <c r="L2662" s="141"/>
    </row>
    <row r="2663">
      <c r="A2663" s="97"/>
      <c r="B2663" s="97"/>
      <c r="C2663" s="63"/>
      <c r="D2663" s="63"/>
      <c r="E2663" s="97"/>
      <c r="F2663" s="30"/>
      <c r="G2663" s="30"/>
      <c r="H2663" s="138"/>
      <c r="I2663" s="139"/>
      <c r="J2663" s="140"/>
      <c r="K2663" s="140"/>
      <c r="L2663" s="141"/>
    </row>
    <row r="2664">
      <c r="A2664" s="97"/>
      <c r="B2664" s="97"/>
      <c r="C2664" s="63"/>
      <c r="D2664" s="63"/>
      <c r="E2664" s="97"/>
      <c r="F2664" s="30"/>
      <c r="G2664" s="30"/>
      <c r="H2664" s="138"/>
      <c r="I2664" s="139"/>
      <c r="J2664" s="140"/>
      <c r="K2664" s="140"/>
      <c r="L2664" s="141"/>
    </row>
    <row r="2665">
      <c r="A2665" s="97"/>
      <c r="B2665" s="97"/>
      <c r="C2665" s="63"/>
      <c r="D2665" s="63"/>
      <c r="E2665" s="97"/>
      <c r="F2665" s="30"/>
      <c r="G2665" s="30"/>
      <c r="H2665" s="138"/>
      <c r="I2665" s="139"/>
      <c r="J2665" s="140"/>
      <c r="K2665" s="140"/>
      <c r="L2665" s="141"/>
    </row>
    <row r="2666">
      <c r="A2666" s="97"/>
      <c r="B2666" s="97"/>
      <c r="C2666" s="63"/>
      <c r="D2666" s="63"/>
      <c r="E2666" s="97"/>
      <c r="F2666" s="30"/>
      <c r="G2666" s="30"/>
      <c r="H2666" s="138"/>
      <c r="I2666" s="139"/>
      <c r="J2666" s="140"/>
      <c r="K2666" s="140"/>
      <c r="L2666" s="141"/>
    </row>
    <row r="2667">
      <c r="A2667" s="97"/>
      <c r="B2667" s="97"/>
      <c r="C2667" s="63"/>
      <c r="D2667" s="63"/>
      <c r="E2667" s="97"/>
      <c r="F2667" s="30"/>
      <c r="G2667" s="30"/>
      <c r="H2667" s="138"/>
      <c r="I2667" s="139"/>
      <c r="J2667" s="140"/>
      <c r="K2667" s="140"/>
      <c r="L2667" s="141"/>
    </row>
    <row r="2668">
      <c r="A2668" s="97"/>
      <c r="B2668" s="97"/>
      <c r="C2668" s="63"/>
      <c r="D2668" s="63"/>
      <c r="E2668" s="97"/>
      <c r="F2668" s="30"/>
      <c r="G2668" s="30"/>
      <c r="H2668" s="138"/>
      <c r="I2668" s="139"/>
      <c r="J2668" s="140"/>
      <c r="K2668" s="140"/>
      <c r="L2668" s="141"/>
    </row>
    <row r="2669">
      <c r="A2669" s="97"/>
      <c r="B2669" s="97"/>
      <c r="C2669" s="63"/>
      <c r="D2669" s="63"/>
      <c r="E2669" s="97"/>
      <c r="F2669" s="30"/>
      <c r="G2669" s="30"/>
      <c r="H2669" s="138"/>
      <c r="I2669" s="139"/>
      <c r="J2669" s="140"/>
      <c r="K2669" s="140"/>
      <c r="L2669" s="141"/>
    </row>
    <row r="2670">
      <c r="A2670" s="97"/>
      <c r="B2670" s="97"/>
      <c r="C2670" s="63"/>
      <c r="D2670" s="63"/>
      <c r="E2670" s="97"/>
      <c r="F2670" s="30"/>
      <c r="G2670" s="30"/>
      <c r="H2670" s="138"/>
      <c r="I2670" s="139"/>
      <c r="J2670" s="140"/>
      <c r="K2670" s="140"/>
      <c r="L2670" s="141"/>
    </row>
    <row r="2671">
      <c r="A2671" s="97"/>
      <c r="B2671" s="97"/>
      <c r="C2671" s="63"/>
      <c r="D2671" s="63"/>
      <c r="E2671" s="97"/>
      <c r="F2671" s="30"/>
      <c r="G2671" s="30"/>
      <c r="H2671" s="138"/>
      <c r="I2671" s="139"/>
      <c r="J2671" s="140"/>
      <c r="K2671" s="140"/>
      <c r="L2671" s="141"/>
    </row>
    <row r="2672">
      <c r="A2672" s="97"/>
      <c r="B2672" s="97"/>
      <c r="C2672" s="63"/>
      <c r="D2672" s="63"/>
      <c r="E2672" s="97"/>
      <c r="F2672" s="30"/>
      <c r="G2672" s="30"/>
      <c r="H2672" s="138"/>
      <c r="I2672" s="139"/>
      <c r="J2672" s="140"/>
      <c r="K2672" s="140"/>
      <c r="L2672" s="141"/>
    </row>
    <row r="2673">
      <c r="A2673" s="97"/>
      <c r="B2673" s="97"/>
      <c r="C2673" s="63"/>
      <c r="D2673" s="63"/>
      <c r="E2673" s="97"/>
      <c r="F2673" s="30"/>
      <c r="G2673" s="30"/>
      <c r="H2673" s="138"/>
      <c r="I2673" s="139"/>
      <c r="J2673" s="140"/>
      <c r="K2673" s="140"/>
      <c r="L2673" s="141"/>
    </row>
    <row r="2674">
      <c r="A2674" s="97"/>
      <c r="B2674" s="97"/>
      <c r="C2674" s="63"/>
      <c r="D2674" s="63"/>
      <c r="E2674" s="97"/>
      <c r="F2674" s="30"/>
      <c r="G2674" s="30"/>
      <c r="H2674" s="138"/>
      <c r="I2674" s="139"/>
      <c r="J2674" s="140"/>
      <c r="K2674" s="140"/>
      <c r="L2674" s="141"/>
    </row>
    <row r="2675">
      <c r="A2675" s="97"/>
      <c r="B2675" s="97"/>
      <c r="C2675" s="63"/>
      <c r="D2675" s="63"/>
      <c r="E2675" s="97"/>
      <c r="F2675" s="30"/>
      <c r="G2675" s="30"/>
      <c r="H2675" s="138"/>
      <c r="I2675" s="139"/>
      <c r="J2675" s="140"/>
      <c r="K2675" s="140"/>
      <c r="L2675" s="141"/>
    </row>
    <row r="2676">
      <c r="A2676" s="97"/>
      <c r="B2676" s="97"/>
      <c r="C2676" s="63"/>
      <c r="D2676" s="63"/>
      <c r="E2676" s="97"/>
      <c r="F2676" s="30"/>
      <c r="G2676" s="30"/>
      <c r="H2676" s="138"/>
      <c r="I2676" s="139"/>
      <c r="J2676" s="140"/>
      <c r="K2676" s="140"/>
      <c r="L2676" s="141"/>
    </row>
    <row r="2677">
      <c r="A2677" s="97"/>
      <c r="B2677" s="97"/>
      <c r="C2677" s="63"/>
      <c r="D2677" s="63"/>
      <c r="E2677" s="97"/>
      <c r="F2677" s="30"/>
      <c r="G2677" s="30"/>
      <c r="H2677" s="138"/>
      <c r="I2677" s="139"/>
      <c r="J2677" s="140"/>
      <c r="K2677" s="140"/>
      <c r="L2677" s="141"/>
    </row>
    <row r="2678">
      <c r="A2678" s="97"/>
      <c r="B2678" s="97"/>
      <c r="C2678" s="63"/>
      <c r="D2678" s="63"/>
      <c r="E2678" s="97"/>
      <c r="F2678" s="30"/>
      <c r="G2678" s="30"/>
      <c r="H2678" s="138"/>
      <c r="I2678" s="139"/>
      <c r="J2678" s="140"/>
      <c r="K2678" s="140"/>
      <c r="L2678" s="141"/>
    </row>
    <row r="2679">
      <c r="A2679" s="97"/>
      <c r="B2679" s="97"/>
      <c r="C2679" s="63"/>
      <c r="D2679" s="63"/>
      <c r="E2679" s="97"/>
      <c r="F2679" s="30"/>
      <c r="G2679" s="30"/>
      <c r="H2679" s="138"/>
      <c r="I2679" s="139"/>
      <c r="J2679" s="140"/>
      <c r="K2679" s="140"/>
      <c r="L2679" s="141"/>
    </row>
    <row r="2680">
      <c r="A2680" s="97"/>
      <c r="B2680" s="97"/>
      <c r="C2680" s="63"/>
      <c r="D2680" s="63"/>
      <c r="E2680" s="97"/>
      <c r="F2680" s="30"/>
      <c r="G2680" s="30"/>
      <c r="H2680" s="138"/>
      <c r="I2680" s="139"/>
      <c r="J2680" s="140"/>
      <c r="K2680" s="140"/>
      <c r="L2680" s="141"/>
    </row>
    <row r="2681">
      <c r="A2681" s="97"/>
      <c r="B2681" s="97"/>
      <c r="C2681" s="63"/>
      <c r="D2681" s="63"/>
      <c r="E2681" s="97"/>
      <c r="F2681" s="30"/>
      <c r="G2681" s="30"/>
      <c r="H2681" s="138"/>
      <c r="I2681" s="139"/>
      <c r="J2681" s="140"/>
      <c r="K2681" s="140"/>
      <c r="L2681" s="141"/>
    </row>
    <row r="2682">
      <c r="A2682" s="97"/>
      <c r="B2682" s="97"/>
      <c r="C2682" s="63"/>
      <c r="D2682" s="63"/>
      <c r="E2682" s="97"/>
      <c r="F2682" s="30"/>
      <c r="G2682" s="30"/>
      <c r="H2682" s="138"/>
      <c r="I2682" s="139"/>
      <c r="J2682" s="140"/>
      <c r="K2682" s="140"/>
      <c r="L2682" s="141"/>
    </row>
    <row r="2683">
      <c r="A2683" s="97"/>
      <c r="B2683" s="97"/>
      <c r="C2683" s="63"/>
      <c r="D2683" s="63"/>
      <c r="E2683" s="97"/>
      <c r="F2683" s="30"/>
      <c r="G2683" s="30"/>
      <c r="H2683" s="138"/>
      <c r="I2683" s="139"/>
      <c r="J2683" s="140"/>
      <c r="K2683" s="140"/>
      <c r="L2683" s="141"/>
    </row>
    <row r="2684">
      <c r="A2684" s="97"/>
      <c r="B2684" s="97"/>
      <c r="C2684" s="63"/>
      <c r="D2684" s="63"/>
      <c r="E2684" s="97"/>
      <c r="F2684" s="30"/>
      <c r="G2684" s="30"/>
      <c r="H2684" s="138"/>
      <c r="I2684" s="139"/>
      <c r="J2684" s="140"/>
      <c r="K2684" s="140"/>
      <c r="L2684" s="141"/>
    </row>
    <row r="2685">
      <c r="A2685" s="97"/>
      <c r="B2685" s="97"/>
      <c r="C2685" s="63"/>
      <c r="D2685" s="63"/>
      <c r="E2685" s="97"/>
      <c r="F2685" s="30"/>
      <c r="G2685" s="30"/>
      <c r="H2685" s="138"/>
      <c r="I2685" s="139"/>
      <c r="J2685" s="140"/>
      <c r="K2685" s="140"/>
      <c r="L2685" s="141"/>
    </row>
    <row r="2686">
      <c r="A2686" s="97"/>
      <c r="B2686" s="97"/>
      <c r="C2686" s="63"/>
      <c r="D2686" s="63"/>
      <c r="E2686" s="97"/>
      <c r="F2686" s="30"/>
      <c r="G2686" s="30"/>
      <c r="H2686" s="138"/>
      <c r="I2686" s="139"/>
      <c r="J2686" s="140"/>
      <c r="K2686" s="140"/>
      <c r="L2686" s="141"/>
    </row>
    <row r="2687">
      <c r="A2687" s="97"/>
      <c r="B2687" s="97"/>
      <c r="C2687" s="63"/>
      <c r="D2687" s="63"/>
      <c r="E2687" s="97"/>
      <c r="F2687" s="30"/>
      <c r="G2687" s="30"/>
      <c r="H2687" s="138"/>
      <c r="I2687" s="139"/>
      <c r="J2687" s="140"/>
      <c r="K2687" s="140"/>
      <c r="L2687" s="141"/>
    </row>
    <row r="2688">
      <c r="A2688" s="97"/>
      <c r="B2688" s="97"/>
      <c r="C2688" s="63"/>
      <c r="D2688" s="63"/>
      <c r="E2688" s="97"/>
      <c r="F2688" s="30"/>
      <c r="G2688" s="30"/>
      <c r="H2688" s="138"/>
      <c r="I2688" s="139"/>
      <c r="J2688" s="140"/>
      <c r="K2688" s="140"/>
      <c r="L2688" s="141"/>
    </row>
    <row r="2689">
      <c r="A2689" s="97"/>
      <c r="B2689" s="97"/>
      <c r="C2689" s="63"/>
      <c r="D2689" s="63"/>
      <c r="E2689" s="97"/>
      <c r="F2689" s="30"/>
      <c r="G2689" s="30"/>
      <c r="H2689" s="138"/>
      <c r="I2689" s="139"/>
      <c r="J2689" s="140"/>
      <c r="K2689" s="140"/>
      <c r="L2689" s="141"/>
    </row>
    <row r="2690">
      <c r="A2690" s="97"/>
      <c r="B2690" s="97"/>
      <c r="C2690" s="63"/>
      <c r="D2690" s="63"/>
      <c r="E2690" s="97"/>
      <c r="F2690" s="30"/>
      <c r="G2690" s="30"/>
      <c r="H2690" s="138"/>
      <c r="I2690" s="139"/>
      <c r="J2690" s="140"/>
      <c r="K2690" s="140"/>
      <c r="L2690" s="141"/>
    </row>
    <row r="2691">
      <c r="A2691" s="97"/>
      <c r="B2691" s="97"/>
      <c r="C2691" s="63"/>
      <c r="D2691" s="63"/>
      <c r="E2691" s="97"/>
      <c r="F2691" s="30"/>
      <c r="G2691" s="30"/>
      <c r="H2691" s="138"/>
      <c r="I2691" s="139"/>
      <c r="J2691" s="140"/>
      <c r="K2691" s="140"/>
      <c r="L2691" s="141"/>
    </row>
    <row r="2692">
      <c r="A2692" s="97"/>
      <c r="B2692" s="97"/>
      <c r="C2692" s="63"/>
      <c r="D2692" s="63"/>
      <c r="E2692" s="97"/>
      <c r="F2692" s="30"/>
      <c r="G2692" s="30"/>
      <c r="H2692" s="138"/>
      <c r="I2692" s="139"/>
      <c r="J2692" s="140"/>
      <c r="K2692" s="140"/>
      <c r="L2692" s="141"/>
    </row>
    <row r="2693">
      <c r="A2693" s="97"/>
      <c r="B2693" s="97"/>
      <c r="C2693" s="63"/>
      <c r="D2693" s="63"/>
      <c r="E2693" s="97"/>
      <c r="F2693" s="30"/>
      <c r="G2693" s="30"/>
      <c r="H2693" s="138"/>
      <c r="I2693" s="139"/>
      <c r="J2693" s="140"/>
      <c r="K2693" s="140"/>
      <c r="L2693" s="141"/>
    </row>
    <row r="2694">
      <c r="A2694" s="97"/>
      <c r="B2694" s="97"/>
      <c r="C2694" s="63"/>
      <c r="D2694" s="63"/>
      <c r="E2694" s="97"/>
      <c r="F2694" s="30"/>
      <c r="G2694" s="30"/>
      <c r="H2694" s="138"/>
      <c r="I2694" s="139"/>
      <c r="J2694" s="140"/>
      <c r="K2694" s="140"/>
      <c r="L2694" s="141"/>
    </row>
    <row r="2695">
      <c r="A2695" s="97"/>
      <c r="B2695" s="97"/>
      <c r="C2695" s="63"/>
      <c r="D2695" s="63"/>
      <c r="E2695" s="97"/>
      <c r="F2695" s="30"/>
      <c r="G2695" s="30"/>
      <c r="H2695" s="138"/>
      <c r="I2695" s="139"/>
      <c r="J2695" s="140"/>
      <c r="K2695" s="140"/>
      <c r="L2695" s="141"/>
    </row>
    <row r="2696">
      <c r="A2696" s="97"/>
      <c r="B2696" s="97"/>
      <c r="C2696" s="63"/>
      <c r="D2696" s="63"/>
      <c r="E2696" s="97"/>
      <c r="F2696" s="30"/>
      <c r="G2696" s="30"/>
      <c r="H2696" s="138"/>
      <c r="I2696" s="139"/>
      <c r="J2696" s="140"/>
      <c r="K2696" s="140"/>
      <c r="L2696" s="141"/>
    </row>
    <row r="2697">
      <c r="A2697" s="97"/>
      <c r="B2697" s="97"/>
      <c r="C2697" s="63"/>
      <c r="D2697" s="63"/>
      <c r="E2697" s="97"/>
      <c r="F2697" s="30"/>
      <c r="G2697" s="30"/>
      <c r="H2697" s="138"/>
      <c r="I2697" s="139"/>
      <c r="J2697" s="140"/>
      <c r="K2697" s="140"/>
      <c r="L2697" s="141"/>
    </row>
    <row r="2698">
      <c r="A2698" s="97"/>
      <c r="B2698" s="97"/>
      <c r="C2698" s="63"/>
      <c r="D2698" s="63"/>
      <c r="E2698" s="97"/>
      <c r="F2698" s="30"/>
      <c r="G2698" s="30"/>
      <c r="H2698" s="138"/>
      <c r="I2698" s="139"/>
      <c r="J2698" s="140"/>
      <c r="K2698" s="140"/>
      <c r="L2698" s="141"/>
    </row>
    <row r="2699">
      <c r="A2699" s="97"/>
      <c r="B2699" s="97"/>
      <c r="C2699" s="63"/>
      <c r="D2699" s="63"/>
      <c r="E2699" s="97"/>
      <c r="F2699" s="30"/>
      <c r="G2699" s="30"/>
      <c r="H2699" s="138"/>
      <c r="I2699" s="139"/>
      <c r="J2699" s="140"/>
      <c r="K2699" s="140"/>
      <c r="L2699" s="141"/>
    </row>
    <row r="2700">
      <c r="A2700" s="97"/>
      <c r="B2700" s="97"/>
      <c r="C2700" s="63"/>
      <c r="D2700" s="63"/>
      <c r="E2700" s="97"/>
      <c r="F2700" s="30"/>
      <c r="G2700" s="30"/>
      <c r="H2700" s="138"/>
      <c r="I2700" s="139"/>
      <c r="J2700" s="140"/>
      <c r="K2700" s="140"/>
      <c r="L2700" s="141"/>
    </row>
    <row r="2701">
      <c r="A2701" s="97"/>
      <c r="B2701" s="97"/>
      <c r="C2701" s="63"/>
      <c r="D2701" s="63"/>
      <c r="E2701" s="97"/>
      <c r="F2701" s="30"/>
      <c r="G2701" s="30"/>
      <c r="H2701" s="138"/>
      <c r="I2701" s="139"/>
      <c r="J2701" s="140"/>
      <c r="K2701" s="140"/>
      <c r="L2701" s="141"/>
    </row>
    <row r="2702">
      <c r="A2702" s="97"/>
      <c r="B2702" s="97"/>
      <c r="C2702" s="63"/>
      <c r="D2702" s="63"/>
      <c r="E2702" s="97"/>
      <c r="F2702" s="30"/>
      <c r="G2702" s="30"/>
      <c r="H2702" s="138"/>
      <c r="I2702" s="139"/>
      <c r="J2702" s="140"/>
      <c r="K2702" s="140"/>
      <c r="L2702" s="141"/>
    </row>
    <row r="2703">
      <c r="A2703" s="97"/>
      <c r="B2703" s="97"/>
      <c r="C2703" s="63"/>
      <c r="D2703" s="63"/>
      <c r="E2703" s="97"/>
      <c r="F2703" s="30"/>
      <c r="G2703" s="30"/>
      <c r="H2703" s="138"/>
      <c r="I2703" s="139"/>
      <c r="J2703" s="140"/>
      <c r="K2703" s="140"/>
      <c r="L2703" s="141"/>
    </row>
    <row r="2704">
      <c r="A2704" s="97"/>
      <c r="B2704" s="97"/>
      <c r="C2704" s="63"/>
      <c r="D2704" s="63"/>
      <c r="E2704" s="97"/>
      <c r="F2704" s="30"/>
      <c r="G2704" s="30"/>
      <c r="H2704" s="138"/>
      <c r="I2704" s="139"/>
      <c r="J2704" s="140"/>
      <c r="K2704" s="140"/>
      <c r="L2704" s="141"/>
    </row>
    <row r="2705">
      <c r="A2705" s="97"/>
      <c r="B2705" s="97"/>
      <c r="C2705" s="63"/>
      <c r="D2705" s="63"/>
      <c r="E2705" s="97"/>
      <c r="F2705" s="30"/>
      <c r="G2705" s="30"/>
      <c r="H2705" s="138"/>
      <c r="I2705" s="139"/>
      <c r="J2705" s="140"/>
      <c r="K2705" s="140"/>
      <c r="L2705" s="141"/>
    </row>
    <row r="2706">
      <c r="A2706" s="97"/>
      <c r="B2706" s="97"/>
      <c r="C2706" s="63"/>
      <c r="D2706" s="63"/>
      <c r="E2706" s="97"/>
      <c r="F2706" s="30"/>
      <c r="G2706" s="30"/>
      <c r="H2706" s="138"/>
      <c r="I2706" s="139"/>
      <c r="J2706" s="140"/>
      <c r="K2706" s="140"/>
      <c r="L2706" s="141"/>
    </row>
    <row r="2707">
      <c r="A2707" s="97"/>
      <c r="B2707" s="97"/>
      <c r="C2707" s="63"/>
      <c r="D2707" s="63"/>
      <c r="E2707" s="97"/>
      <c r="F2707" s="30"/>
      <c r="G2707" s="30"/>
      <c r="H2707" s="138"/>
      <c r="I2707" s="139"/>
      <c r="J2707" s="140"/>
      <c r="K2707" s="140"/>
      <c r="L2707" s="141"/>
    </row>
    <row r="2708">
      <c r="A2708" s="97"/>
      <c r="B2708" s="97"/>
      <c r="C2708" s="63"/>
      <c r="D2708" s="63"/>
      <c r="E2708" s="97"/>
      <c r="F2708" s="30"/>
      <c r="G2708" s="30"/>
      <c r="H2708" s="138"/>
      <c r="I2708" s="139"/>
      <c r="J2708" s="140"/>
      <c r="K2708" s="140"/>
      <c r="L2708" s="141"/>
    </row>
  </sheetData>
  <mergeCells count="6">
    <mergeCell ref="A1:B5"/>
    <mergeCell ref="E1:E5"/>
    <mergeCell ref="F1:H5"/>
    <mergeCell ref="I1:L5"/>
    <mergeCell ref="A2568:B2568"/>
    <mergeCell ref="C2568:L2568"/>
  </mergeCells>
  <conditionalFormatting sqref="A7:A2491 A2569:A2607">
    <cfRule type="notContainsBlanks" dxfId="0" priority="1">
      <formula>LEN(TRIM(A7))&gt;0</formula>
    </cfRule>
  </conditionalFormatting>
  <conditionalFormatting sqref="C7:C2491">
    <cfRule type="timePeriod" dxfId="1" priority="2" timePeriod="today"/>
  </conditionalFormatting>
  <conditionalFormatting sqref="D7:D2567 E1268 E1392:E1462 E1875:E1944 E1987:E2001 E2126:E2186 E2224:E2361 E2376:E2402 E2457:E2488 D2569:D2708">
    <cfRule type="containsBlanks" dxfId="2" priority="3">
      <formula>LEN(TRIM(D7))=0</formula>
    </cfRule>
  </conditionalFormatting>
  <conditionalFormatting sqref="F7:F2567 F2569:F2708">
    <cfRule type="containsText" dxfId="3" priority="4" operator="containsText" text="Clean">
      <formula>NOT(ISERROR(SEARCH(("Clean"),(F7))))</formula>
    </cfRule>
  </conditionalFormatting>
  <conditionalFormatting sqref="F7:F2567 F2569:F2708">
    <cfRule type="containsText" dxfId="4" priority="5" operator="containsText" text="Harsh">
      <formula>NOT(ISERROR(SEARCH(("Harsh"),(F7))))</formula>
    </cfRule>
  </conditionalFormatting>
  <conditionalFormatting sqref="F7:F2567 F2569:F2708">
    <cfRule type="containsText" dxfId="5" priority="6" operator="containsText" text="Mixed">
      <formula>NOT(ISERROR(SEARCH(("Mixed"),(F7))))</formula>
    </cfRule>
  </conditionalFormatting>
  <conditionalFormatting sqref="F7:F2567 F2569:F2708">
    <cfRule type="cellIs" dxfId="6" priority="7" operator="equal">
      <formula>"Instrumental"</formula>
    </cfRule>
  </conditionalFormatting>
  <conditionalFormatting sqref="F7:F2567 F2569:F2708">
    <cfRule type="containsBlanks" dxfId="7" priority="8">
      <formula>LEN(TRIM(F7))=0</formula>
    </cfRule>
  </conditionalFormatting>
  <hyperlinks>
    <hyperlink r:id="rId2" ref="H7"/>
    <hyperlink r:id="rId3" ref="I7"/>
    <hyperlink r:id="rId4" ref="H8"/>
    <hyperlink r:id="rId5" ref="H9"/>
    <hyperlink r:id="rId6" ref="H10"/>
    <hyperlink r:id="rId7" ref="H11"/>
    <hyperlink r:id="rId8" ref="H12"/>
    <hyperlink r:id="rId9" ref="I12"/>
    <hyperlink r:id="rId10" ref="H13"/>
    <hyperlink r:id="rId11" ref="I13"/>
    <hyperlink r:id="rId12" ref="H14"/>
    <hyperlink r:id="rId13" ref="I14"/>
    <hyperlink r:id="rId14" ref="H15"/>
    <hyperlink r:id="rId15" ref="I15"/>
    <hyperlink r:id="rId16" ref="H16"/>
    <hyperlink r:id="rId17" ref="I16"/>
    <hyperlink r:id="rId18" ref="H17"/>
    <hyperlink r:id="rId19" ref="I17"/>
    <hyperlink r:id="rId20" ref="H18"/>
    <hyperlink r:id="rId21" ref="I18"/>
    <hyperlink r:id="rId22" ref="I19"/>
    <hyperlink r:id="rId23" ref="H20"/>
    <hyperlink r:id="rId24" ref="H21"/>
    <hyperlink r:id="rId25" ref="H22"/>
    <hyperlink r:id="rId26" ref="I22"/>
    <hyperlink r:id="rId27" ref="H23"/>
    <hyperlink r:id="rId28" ref="I23"/>
    <hyperlink r:id="rId29" ref="H24"/>
    <hyperlink r:id="rId30" ref="I24"/>
    <hyperlink r:id="rId31" ref="H25"/>
    <hyperlink r:id="rId32" ref="J25"/>
    <hyperlink r:id="rId33" ref="H26"/>
    <hyperlink r:id="rId34" ref="I26"/>
    <hyperlink r:id="rId35" ref="H27"/>
    <hyperlink r:id="rId36" ref="I27"/>
    <hyperlink r:id="rId37" ref="H28"/>
    <hyperlink r:id="rId38" ref="I28"/>
    <hyperlink r:id="rId39" ref="H29"/>
    <hyperlink r:id="rId40" ref="H30"/>
    <hyperlink r:id="rId41" ref="H31"/>
    <hyperlink r:id="rId42" ref="H32"/>
    <hyperlink r:id="rId43" ref="H33"/>
    <hyperlink r:id="rId44" ref="H34"/>
    <hyperlink r:id="rId45" ref="I34"/>
    <hyperlink r:id="rId46" ref="H35"/>
    <hyperlink r:id="rId47" ref="I35"/>
    <hyperlink r:id="rId48" ref="H36"/>
    <hyperlink r:id="rId49" ref="I36"/>
    <hyperlink r:id="rId50" ref="H37"/>
    <hyperlink r:id="rId51" ref="I37"/>
    <hyperlink r:id="rId52" ref="J37"/>
    <hyperlink r:id="rId53" ref="I38"/>
    <hyperlink r:id="rId54" ref="H39"/>
    <hyperlink r:id="rId55" ref="I39"/>
    <hyperlink r:id="rId56" ref="J39"/>
    <hyperlink r:id="rId57" ref="H40"/>
    <hyperlink r:id="rId58" ref="I40"/>
    <hyperlink r:id="rId59" ref="H41"/>
    <hyperlink r:id="rId60" ref="I41"/>
    <hyperlink r:id="rId61" ref="J41"/>
    <hyperlink r:id="rId62" ref="H42"/>
    <hyperlink r:id="rId63" ref="I42"/>
    <hyperlink r:id="rId64" ref="H43"/>
    <hyperlink r:id="rId65" ref="H44"/>
    <hyperlink r:id="rId66" ref="I44"/>
    <hyperlink r:id="rId67" ref="H45"/>
    <hyperlink r:id="rId68" ref="I45"/>
    <hyperlink r:id="rId69" ref="H46"/>
    <hyperlink r:id="rId70" ref="H47"/>
    <hyperlink r:id="rId71" ref="I47"/>
    <hyperlink r:id="rId72" ref="H48"/>
    <hyperlink r:id="rId73" ref="I48"/>
    <hyperlink r:id="rId74" ref="I49"/>
    <hyperlink r:id="rId75" ref="H50"/>
    <hyperlink r:id="rId76" ref="I50"/>
    <hyperlink r:id="rId77" ref="H51"/>
    <hyperlink r:id="rId78" ref="H52"/>
    <hyperlink r:id="rId79" ref="H53"/>
    <hyperlink r:id="rId80" ref="I53"/>
    <hyperlink r:id="rId81" ref="J53"/>
    <hyperlink r:id="rId82" ref="H54"/>
    <hyperlink r:id="rId83" ref="I54"/>
    <hyperlink r:id="rId84" ref="H55"/>
    <hyperlink r:id="rId85" ref="I55"/>
    <hyperlink r:id="rId86" ref="H56"/>
    <hyperlink r:id="rId87" ref="H57"/>
    <hyperlink r:id="rId88" ref="I57"/>
    <hyperlink r:id="rId89" ref="H58"/>
    <hyperlink r:id="rId90" ref="I58"/>
    <hyperlink r:id="rId91" ref="H59"/>
    <hyperlink r:id="rId92" ref="H60"/>
    <hyperlink r:id="rId93" ref="H61"/>
    <hyperlink r:id="rId94" ref="I61"/>
    <hyperlink r:id="rId95" ref="H62"/>
    <hyperlink r:id="rId96" ref="I62"/>
    <hyperlink r:id="rId97" ref="H63"/>
    <hyperlink r:id="rId98" ref="I63"/>
    <hyperlink r:id="rId99" ref="J63"/>
    <hyperlink r:id="rId100" ref="H64"/>
    <hyperlink r:id="rId101" ref="H65"/>
    <hyperlink r:id="rId102" ref="I65"/>
    <hyperlink r:id="rId103" ref="H66"/>
    <hyperlink r:id="rId104" ref="J66"/>
    <hyperlink r:id="rId105" ref="H67"/>
    <hyperlink r:id="rId106" ref="H68"/>
    <hyperlink r:id="rId107" ref="H69"/>
    <hyperlink r:id="rId108" ref="H70"/>
    <hyperlink r:id="rId109" ref="J70"/>
    <hyperlink r:id="rId110" ref="H72"/>
    <hyperlink r:id="rId111" ref="H73"/>
    <hyperlink r:id="rId112" ref="I73"/>
    <hyperlink r:id="rId113" ref="J73"/>
    <hyperlink r:id="rId114" ref="H75"/>
    <hyperlink r:id="rId115" ref="J75"/>
    <hyperlink r:id="rId116" ref="I76"/>
    <hyperlink r:id="rId117" ref="H77"/>
    <hyperlink r:id="rId118" ref="I77"/>
    <hyperlink r:id="rId119" ref="I78"/>
    <hyperlink r:id="rId120" ref="H79"/>
    <hyperlink r:id="rId121" ref="I79"/>
    <hyperlink r:id="rId122" ref="J80"/>
    <hyperlink r:id="rId123" ref="I81"/>
    <hyperlink r:id="rId124" ref="I82"/>
    <hyperlink r:id="rId125" ref="H83"/>
    <hyperlink r:id="rId126" ref="I83"/>
    <hyperlink r:id="rId127" ref="I84"/>
    <hyperlink r:id="rId128" ref="J84"/>
    <hyperlink r:id="rId129" ref="I85"/>
    <hyperlink r:id="rId130" ref="H86"/>
    <hyperlink r:id="rId131" ref="I86"/>
    <hyperlink r:id="rId132" ref="J86"/>
    <hyperlink r:id="rId133" ref="H87"/>
    <hyperlink r:id="rId134" ref="I87"/>
    <hyperlink r:id="rId135" ref="J87"/>
    <hyperlink r:id="rId136" ref="H88"/>
    <hyperlink r:id="rId137" ref="I88"/>
    <hyperlink r:id="rId138" ref="H89"/>
    <hyperlink r:id="rId139" ref="I89"/>
    <hyperlink r:id="rId140" ref="H90"/>
    <hyperlink r:id="rId141" ref="I90"/>
    <hyperlink r:id="rId142" ref="H91"/>
    <hyperlink r:id="rId143" ref="I91"/>
    <hyperlink r:id="rId144" ref="H92"/>
    <hyperlink r:id="rId145" ref="I92"/>
    <hyperlink r:id="rId146" ref="H93"/>
    <hyperlink r:id="rId147" ref="I93"/>
    <hyperlink r:id="rId148" ref="H94"/>
    <hyperlink r:id="rId149" ref="I94"/>
    <hyperlink r:id="rId150" ref="J94"/>
    <hyperlink r:id="rId151" ref="H95"/>
    <hyperlink r:id="rId152" ref="J95"/>
    <hyperlink r:id="rId153" ref="H96"/>
    <hyperlink r:id="rId154" ref="I96"/>
    <hyperlink r:id="rId155" ref="H97"/>
    <hyperlink r:id="rId156" ref="I97"/>
    <hyperlink r:id="rId157" ref="J97"/>
    <hyperlink r:id="rId158" ref="H98"/>
    <hyperlink r:id="rId159" ref="I98"/>
    <hyperlink r:id="rId160" ref="H99"/>
    <hyperlink r:id="rId161" ref="H100"/>
    <hyperlink r:id="rId162" ref="I100"/>
    <hyperlink r:id="rId163" ref="H101"/>
    <hyperlink r:id="rId164" ref="I101"/>
    <hyperlink r:id="rId165" ref="H102"/>
    <hyperlink r:id="rId166" ref="I102"/>
    <hyperlink r:id="rId167" ref="H103"/>
    <hyperlink r:id="rId168" ref="H104"/>
    <hyperlink r:id="rId169" ref="I104"/>
    <hyperlink r:id="rId170" ref="H105"/>
    <hyperlink r:id="rId171" ref="I105"/>
    <hyperlink r:id="rId172" ref="H106"/>
    <hyperlink r:id="rId173" ref="I106"/>
    <hyperlink r:id="rId174" ref="H107"/>
    <hyperlink r:id="rId175" ref="H108"/>
    <hyperlink r:id="rId176" ref="H109"/>
    <hyperlink r:id="rId177" ref="H110"/>
    <hyperlink r:id="rId178" ref="I110"/>
    <hyperlink r:id="rId179" ref="J110"/>
    <hyperlink r:id="rId180" ref="H111"/>
    <hyperlink r:id="rId181" ref="H112"/>
    <hyperlink r:id="rId182" ref="I112"/>
    <hyperlink r:id="rId183" ref="H113"/>
    <hyperlink r:id="rId184" ref="I113"/>
    <hyperlink r:id="rId185" ref="H114"/>
    <hyperlink r:id="rId186" ref="H115"/>
    <hyperlink r:id="rId187" ref="H116"/>
    <hyperlink r:id="rId188" ref="H117"/>
    <hyperlink r:id="rId189" ref="I117"/>
    <hyperlink r:id="rId190" ref="H118"/>
    <hyperlink r:id="rId191" ref="I118"/>
    <hyperlink r:id="rId192" ref="H119"/>
    <hyperlink r:id="rId193" ref="I119"/>
    <hyperlink r:id="rId194" ref="I120"/>
    <hyperlink r:id="rId195" ref="J120"/>
    <hyperlink r:id="rId196" ref="H121"/>
    <hyperlink r:id="rId197" ref="I121"/>
    <hyperlink r:id="rId198" ref="J121"/>
    <hyperlink r:id="rId199" ref="H122"/>
    <hyperlink r:id="rId200" ref="I122"/>
    <hyperlink r:id="rId201" ref="J122"/>
    <hyperlink r:id="rId202" ref="H123"/>
    <hyperlink r:id="rId203" ref="I123"/>
    <hyperlink r:id="rId204" ref="H124"/>
    <hyperlink r:id="rId205" ref="I124"/>
    <hyperlink r:id="rId206" ref="J124"/>
    <hyperlink r:id="rId207" ref="H125"/>
    <hyperlink r:id="rId208" ref="I125"/>
    <hyperlink r:id="rId209" ref="H126"/>
    <hyperlink r:id="rId210" ref="I126"/>
    <hyperlink r:id="rId211" ref="J126"/>
    <hyperlink r:id="rId212" ref="H127"/>
    <hyperlink r:id="rId213" ref="I127"/>
    <hyperlink r:id="rId214" ref="H128"/>
    <hyperlink r:id="rId215" ref="I128"/>
    <hyperlink r:id="rId216" ref="H129"/>
    <hyperlink r:id="rId217" ref="I129"/>
    <hyperlink r:id="rId218" ref="H130"/>
    <hyperlink r:id="rId219" ref="I130"/>
    <hyperlink r:id="rId220" ref="J130"/>
    <hyperlink r:id="rId221" ref="H131"/>
    <hyperlink r:id="rId222" ref="I131"/>
    <hyperlink r:id="rId223" ref="H132"/>
    <hyperlink r:id="rId224" ref="H133"/>
    <hyperlink r:id="rId225" ref="I133"/>
    <hyperlink r:id="rId226" ref="H134"/>
    <hyperlink r:id="rId227" ref="I134"/>
    <hyperlink r:id="rId228" ref="H135"/>
    <hyperlink r:id="rId229" ref="I135"/>
    <hyperlink r:id="rId230" ref="H136"/>
    <hyperlink r:id="rId231" ref="I136"/>
    <hyperlink r:id="rId232" ref="H137"/>
    <hyperlink r:id="rId233" ref="H138"/>
    <hyperlink r:id="rId234" ref="I138"/>
    <hyperlink r:id="rId235" ref="H139"/>
    <hyperlink r:id="rId236" ref="H140"/>
    <hyperlink r:id="rId237" ref="I140"/>
    <hyperlink r:id="rId238" ref="J140"/>
    <hyperlink r:id="rId239" ref="H141"/>
    <hyperlink r:id="rId240" ref="H142"/>
    <hyperlink r:id="rId241" ref="I142"/>
    <hyperlink r:id="rId242" ref="J142"/>
    <hyperlink r:id="rId243" ref="H143"/>
    <hyperlink r:id="rId244" ref="I143"/>
    <hyperlink r:id="rId245" ref="I144"/>
    <hyperlink r:id="rId246" ref="H145"/>
    <hyperlink r:id="rId247" ref="I145"/>
    <hyperlink r:id="rId248" ref="H146"/>
    <hyperlink r:id="rId249" ref="I146"/>
    <hyperlink r:id="rId250" ref="H147"/>
    <hyperlink r:id="rId251" ref="I147"/>
    <hyperlink r:id="rId252" ref="H148"/>
    <hyperlink r:id="rId253" ref="I148"/>
    <hyperlink r:id="rId254" ref="H149"/>
    <hyperlink r:id="rId255" ref="H150"/>
    <hyperlink r:id="rId256" ref="H151"/>
    <hyperlink r:id="rId257" ref="I151"/>
    <hyperlink r:id="rId258" ref="H152"/>
    <hyperlink r:id="rId259" ref="I152"/>
    <hyperlink r:id="rId260" ref="H153"/>
    <hyperlink r:id="rId261" ref="H154"/>
    <hyperlink r:id="rId262" ref="I154"/>
    <hyperlink r:id="rId263" ref="H155"/>
    <hyperlink r:id="rId264" ref="I155"/>
    <hyperlink r:id="rId265" ref="H156"/>
    <hyperlink r:id="rId266" ref="I156"/>
    <hyperlink r:id="rId267" ref="H157"/>
    <hyperlink r:id="rId268" ref="I157"/>
    <hyperlink r:id="rId269" ref="J157"/>
    <hyperlink r:id="rId270" ref="H158"/>
    <hyperlink r:id="rId271" ref="I158"/>
    <hyperlink r:id="rId272" ref="H159"/>
    <hyperlink r:id="rId273" ref="I159"/>
    <hyperlink r:id="rId274" ref="H160"/>
    <hyperlink r:id="rId275" ref="H161"/>
    <hyperlink r:id="rId276" ref="I161"/>
    <hyperlink r:id="rId277" ref="H162"/>
    <hyperlink r:id="rId278" ref="I162"/>
    <hyperlink r:id="rId279" ref="H163"/>
    <hyperlink r:id="rId280" ref="I163"/>
    <hyperlink r:id="rId281" ref="H164"/>
    <hyperlink r:id="rId282" ref="I164"/>
    <hyperlink r:id="rId283" ref="H165"/>
    <hyperlink r:id="rId284" ref="I165"/>
    <hyperlink r:id="rId285" ref="H166"/>
    <hyperlink r:id="rId286" ref="I166"/>
    <hyperlink r:id="rId287" ref="I167"/>
    <hyperlink r:id="rId288" ref="I168"/>
    <hyperlink r:id="rId289" ref="I169"/>
    <hyperlink r:id="rId290" ref="I170"/>
    <hyperlink r:id="rId291" ref="H171"/>
    <hyperlink r:id="rId292" ref="I171"/>
    <hyperlink r:id="rId293" ref="H172"/>
    <hyperlink r:id="rId294" ref="I172"/>
    <hyperlink r:id="rId295" ref="H173"/>
    <hyperlink r:id="rId296" ref="J173"/>
    <hyperlink r:id="rId297" ref="H174"/>
    <hyperlink r:id="rId298" ref="I174"/>
    <hyperlink r:id="rId299" ref="J174"/>
    <hyperlink r:id="rId300" ref="H175"/>
    <hyperlink r:id="rId301" ref="I175"/>
    <hyperlink r:id="rId302" ref="J175"/>
    <hyperlink r:id="rId303" ref="H176"/>
    <hyperlink r:id="rId304" ref="I176"/>
    <hyperlink r:id="rId305" ref="H177"/>
    <hyperlink r:id="rId306" ref="I177"/>
    <hyperlink r:id="rId307" ref="H178"/>
    <hyperlink r:id="rId308" ref="I178"/>
    <hyperlink r:id="rId309" ref="H179"/>
    <hyperlink r:id="rId310" ref="I179"/>
    <hyperlink r:id="rId311" ref="J179"/>
    <hyperlink r:id="rId312" ref="H180"/>
    <hyperlink r:id="rId313" ref="I180"/>
    <hyperlink r:id="rId314" ref="H181"/>
    <hyperlink r:id="rId315" ref="I181"/>
    <hyperlink r:id="rId316" ref="H182"/>
    <hyperlink r:id="rId317" ref="I182"/>
    <hyperlink r:id="rId318" ref="H183"/>
    <hyperlink r:id="rId319" ref="I183"/>
    <hyperlink r:id="rId320" ref="H184"/>
    <hyperlink r:id="rId321" ref="I184"/>
    <hyperlink r:id="rId322" ref="J184"/>
    <hyperlink r:id="rId323" ref="H185"/>
    <hyperlink r:id="rId324" ref="I185"/>
    <hyperlink r:id="rId325" ref="J185"/>
    <hyperlink r:id="rId326" ref="H186"/>
    <hyperlink r:id="rId327" ref="I186"/>
    <hyperlink r:id="rId328" ref="J186"/>
    <hyperlink r:id="rId329" ref="H187"/>
    <hyperlink r:id="rId330" ref="J187"/>
    <hyperlink r:id="rId331" ref="H188"/>
    <hyperlink r:id="rId332" ref="I188"/>
    <hyperlink r:id="rId333" ref="J188"/>
    <hyperlink r:id="rId334" ref="H189"/>
    <hyperlink r:id="rId335" ref="H190"/>
    <hyperlink r:id="rId336" ref="I190"/>
    <hyperlink r:id="rId337" ref="H191"/>
    <hyperlink r:id="rId338" ref="I191"/>
    <hyperlink r:id="rId339" ref="H192"/>
    <hyperlink r:id="rId340" ref="I192"/>
    <hyperlink r:id="rId341" ref="H193"/>
    <hyperlink r:id="rId342" ref="I193"/>
    <hyperlink r:id="rId343" ref="H194"/>
    <hyperlink r:id="rId344" ref="I194"/>
    <hyperlink r:id="rId345" ref="H195"/>
    <hyperlink r:id="rId346" ref="I195"/>
    <hyperlink r:id="rId347" ref="H196"/>
    <hyperlink r:id="rId348" ref="I196"/>
    <hyperlink r:id="rId349" ref="H197"/>
    <hyperlink r:id="rId350" ref="I197"/>
    <hyperlink r:id="rId351" ref="H198"/>
    <hyperlink r:id="rId352" ref="H199"/>
    <hyperlink r:id="rId353" ref="I199"/>
    <hyperlink r:id="rId354" ref="H200"/>
    <hyperlink r:id="rId355" ref="I200"/>
    <hyperlink r:id="rId356" ref="H201"/>
    <hyperlink r:id="rId357" ref="I201"/>
    <hyperlink r:id="rId358" ref="H202"/>
    <hyperlink r:id="rId359" ref="I202"/>
    <hyperlink r:id="rId360" ref="H203"/>
    <hyperlink r:id="rId361" ref="I203"/>
    <hyperlink r:id="rId362" ref="J203"/>
    <hyperlink r:id="rId363" ref="H204"/>
    <hyperlink r:id="rId364" ref="I204"/>
    <hyperlink r:id="rId365" ref="J204"/>
    <hyperlink r:id="rId366" ref="I205"/>
    <hyperlink r:id="rId367" ref="H206"/>
    <hyperlink r:id="rId368" ref="I206"/>
    <hyperlink r:id="rId369" ref="H207"/>
    <hyperlink r:id="rId370" ref="H208"/>
    <hyperlink r:id="rId371" ref="J208"/>
    <hyperlink r:id="rId372" ref="I209"/>
    <hyperlink r:id="rId373" ref="H210"/>
    <hyperlink r:id="rId374" ref="I210"/>
    <hyperlink r:id="rId375" ref="H211"/>
    <hyperlink r:id="rId376" ref="I211"/>
    <hyperlink r:id="rId377" ref="I212"/>
    <hyperlink r:id="rId378" ref="J212"/>
    <hyperlink r:id="rId379" ref="H213"/>
    <hyperlink r:id="rId380" ref="I213"/>
    <hyperlink r:id="rId381" ref="H214"/>
    <hyperlink r:id="rId382" ref="I214"/>
    <hyperlink r:id="rId383" ref="I215"/>
    <hyperlink r:id="rId384" ref="J215"/>
    <hyperlink r:id="rId385" ref="H216"/>
    <hyperlink r:id="rId386" ref="I216"/>
    <hyperlink r:id="rId387" ref="J216"/>
    <hyperlink r:id="rId388" ref="I217"/>
    <hyperlink r:id="rId389" ref="J217"/>
    <hyperlink r:id="rId390" ref="I218"/>
    <hyperlink r:id="rId391" ref="I219"/>
    <hyperlink r:id="rId392" ref="H220"/>
    <hyperlink r:id="rId393" ref="I220"/>
    <hyperlink r:id="rId394" ref="H221"/>
    <hyperlink r:id="rId395" ref="I221"/>
    <hyperlink r:id="rId396" ref="H222"/>
    <hyperlink r:id="rId397" ref="I222"/>
    <hyperlink r:id="rId398" ref="J222"/>
    <hyperlink r:id="rId399" ref="H223"/>
    <hyperlink r:id="rId400" ref="I223"/>
    <hyperlink r:id="rId401" ref="H224"/>
    <hyperlink r:id="rId402" ref="H225"/>
    <hyperlink r:id="rId403" ref="H226"/>
    <hyperlink r:id="rId404" ref="I226"/>
    <hyperlink r:id="rId405" ref="H227"/>
    <hyperlink r:id="rId406" ref="I227"/>
    <hyperlink r:id="rId407" ref="J227"/>
    <hyperlink r:id="rId408" ref="H228"/>
    <hyperlink r:id="rId409" ref="I228"/>
    <hyperlink r:id="rId410" ref="J228"/>
    <hyperlink r:id="rId411" ref="H229"/>
    <hyperlink r:id="rId412" ref="I229"/>
    <hyperlink r:id="rId413" ref="H230"/>
    <hyperlink r:id="rId414" ref="I230"/>
    <hyperlink r:id="rId415" ref="J230"/>
    <hyperlink r:id="rId416" ref="H231"/>
    <hyperlink r:id="rId417" ref="J231"/>
    <hyperlink r:id="rId418" ref="H232"/>
    <hyperlink r:id="rId419" ref="I232"/>
    <hyperlink r:id="rId420" ref="J232"/>
    <hyperlink r:id="rId421" ref="I233"/>
    <hyperlink r:id="rId422" ref="H234"/>
    <hyperlink r:id="rId423" ref="I234"/>
    <hyperlink r:id="rId424" ref="H235"/>
    <hyperlink r:id="rId425" ref="I235"/>
    <hyperlink r:id="rId426" ref="H236"/>
    <hyperlink r:id="rId427" ref="I236"/>
    <hyperlink r:id="rId428" ref="J236"/>
    <hyperlink r:id="rId429" ref="H237"/>
    <hyperlink r:id="rId430" ref="I237"/>
    <hyperlink r:id="rId431" ref="H238"/>
    <hyperlink r:id="rId432" ref="J238"/>
    <hyperlink r:id="rId433" ref="H239"/>
    <hyperlink r:id="rId434" ref="I239"/>
    <hyperlink r:id="rId435" ref="H240"/>
    <hyperlink r:id="rId436" ref="I240"/>
    <hyperlink r:id="rId437" ref="H241"/>
    <hyperlink r:id="rId438" ref="J241"/>
    <hyperlink r:id="rId439" ref="H242"/>
    <hyperlink r:id="rId440" ref="I242"/>
    <hyperlink r:id="rId441" ref="H243"/>
    <hyperlink r:id="rId442" ref="I243"/>
    <hyperlink r:id="rId443" ref="J243"/>
    <hyperlink r:id="rId444" ref="H244"/>
    <hyperlink r:id="rId445" ref="I244"/>
    <hyperlink r:id="rId446" ref="J244"/>
    <hyperlink r:id="rId447" ref="H245"/>
    <hyperlink r:id="rId448" ref="H246"/>
    <hyperlink r:id="rId449" ref="I246"/>
    <hyperlink r:id="rId450" ref="H247"/>
    <hyperlink r:id="rId451" ref="H248"/>
    <hyperlink r:id="rId452" ref="I248"/>
    <hyperlink r:id="rId453" ref="H249"/>
    <hyperlink r:id="rId454" ref="H250"/>
    <hyperlink r:id="rId455" ref="H251"/>
    <hyperlink r:id="rId456" ref="I251"/>
    <hyperlink r:id="rId457" ref="H252"/>
    <hyperlink r:id="rId458" ref="H253"/>
    <hyperlink r:id="rId459" ref="I253"/>
    <hyperlink r:id="rId460" ref="J253"/>
    <hyperlink r:id="rId461" ref="I254"/>
    <hyperlink r:id="rId462" ref="H255"/>
    <hyperlink r:id="rId463" ref="I255"/>
    <hyperlink r:id="rId464" ref="H256"/>
    <hyperlink r:id="rId465" ref="H257"/>
    <hyperlink r:id="rId466" ref="H258"/>
    <hyperlink r:id="rId467" ref="I258"/>
    <hyperlink r:id="rId468" ref="J258"/>
    <hyperlink r:id="rId469" ref="H259"/>
    <hyperlink r:id="rId470" ref="I259"/>
    <hyperlink r:id="rId471" ref="H260"/>
    <hyperlink r:id="rId472" ref="I260"/>
    <hyperlink r:id="rId473" ref="J260"/>
    <hyperlink r:id="rId474" ref="H261"/>
    <hyperlink r:id="rId475" ref="I261"/>
    <hyperlink r:id="rId476" ref="I262"/>
    <hyperlink r:id="rId477" ref="H263"/>
    <hyperlink r:id="rId478" ref="I263"/>
    <hyperlink r:id="rId479" ref="J263"/>
    <hyperlink r:id="rId480" ref="H264"/>
    <hyperlink r:id="rId481" ref="I264"/>
    <hyperlink r:id="rId482" ref="I265"/>
    <hyperlink r:id="rId483" ref="H266"/>
    <hyperlink r:id="rId484" ref="I266"/>
    <hyperlink r:id="rId485" ref="J266"/>
    <hyperlink r:id="rId486" ref="H267"/>
    <hyperlink r:id="rId487" ref="I267"/>
    <hyperlink r:id="rId488" ref="I268"/>
    <hyperlink r:id="rId489" ref="J268"/>
    <hyperlink r:id="rId490" ref="I269"/>
    <hyperlink r:id="rId491" ref="H270"/>
    <hyperlink r:id="rId492" ref="I270"/>
    <hyperlink r:id="rId493" ref="H271"/>
    <hyperlink r:id="rId494" ref="I271"/>
    <hyperlink r:id="rId495" ref="J271"/>
    <hyperlink r:id="rId496" ref="H272"/>
    <hyperlink r:id="rId497" ref="I272"/>
    <hyperlink r:id="rId498" ref="J272"/>
    <hyperlink r:id="rId499" ref="H273"/>
    <hyperlink r:id="rId500" ref="I273"/>
    <hyperlink r:id="rId501" ref="J273"/>
    <hyperlink r:id="rId502" ref="H274"/>
    <hyperlink r:id="rId503" ref="I274"/>
    <hyperlink r:id="rId504" ref="H275"/>
    <hyperlink r:id="rId505" ref="I275"/>
    <hyperlink r:id="rId506" ref="J275"/>
    <hyperlink r:id="rId507" ref="H276"/>
    <hyperlink r:id="rId508" ref="J276"/>
    <hyperlink r:id="rId509" ref="H277"/>
    <hyperlink r:id="rId510" ref="I277"/>
    <hyperlink r:id="rId511" ref="H278"/>
    <hyperlink r:id="rId512" ref="I278"/>
    <hyperlink r:id="rId513" ref="H279"/>
    <hyperlink r:id="rId514" ref="H280"/>
    <hyperlink r:id="rId515" ref="I280"/>
    <hyperlink r:id="rId516" ref="J280"/>
    <hyperlink r:id="rId517" ref="H281"/>
    <hyperlink r:id="rId518" ref="I281"/>
    <hyperlink r:id="rId519" ref="J281"/>
    <hyperlink r:id="rId520" ref="H282"/>
    <hyperlink r:id="rId521" ref="J282"/>
    <hyperlink r:id="rId522" ref="H283"/>
    <hyperlink r:id="rId523" ref="I283"/>
    <hyperlink r:id="rId524" ref="H284"/>
    <hyperlink r:id="rId525" ref="I284"/>
    <hyperlink r:id="rId526" ref="H285"/>
    <hyperlink r:id="rId527" ref="I285"/>
    <hyperlink r:id="rId528" ref="H286"/>
    <hyperlink r:id="rId529" ref="I286"/>
    <hyperlink r:id="rId530" ref="H287"/>
    <hyperlink r:id="rId531" ref="H288"/>
    <hyperlink r:id="rId532" ref="I288"/>
    <hyperlink r:id="rId533" ref="J288"/>
    <hyperlink r:id="rId534" ref="H289"/>
    <hyperlink r:id="rId535" ref="I289"/>
    <hyperlink r:id="rId536" ref="H290"/>
    <hyperlink r:id="rId537" ref="I290"/>
    <hyperlink r:id="rId538" ref="H291"/>
    <hyperlink r:id="rId539" ref="I291"/>
    <hyperlink r:id="rId540" ref="J291"/>
    <hyperlink r:id="rId541" ref="H292"/>
    <hyperlink r:id="rId542" ref="I292"/>
    <hyperlink r:id="rId543" ref="H293"/>
    <hyperlink r:id="rId544" ref="I293"/>
    <hyperlink r:id="rId545" ref="H294"/>
    <hyperlink r:id="rId546" ref="I294"/>
    <hyperlink r:id="rId547" ref="H295"/>
    <hyperlink r:id="rId548" ref="J295"/>
    <hyperlink r:id="rId549" ref="H296"/>
    <hyperlink r:id="rId550" ref="H297"/>
    <hyperlink r:id="rId551" ref="I297"/>
    <hyperlink r:id="rId552" ref="H298"/>
    <hyperlink r:id="rId553" ref="I298"/>
    <hyperlink r:id="rId554" ref="J298"/>
    <hyperlink r:id="rId555" ref="H299"/>
    <hyperlink r:id="rId556" ref="H300"/>
    <hyperlink r:id="rId557" ref="I300"/>
    <hyperlink r:id="rId558" ref="H301"/>
    <hyperlink r:id="rId559" ref="I301"/>
    <hyperlink r:id="rId560" ref="H302"/>
    <hyperlink r:id="rId561" ref="I302"/>
    <hyperlink r:id="rId562" ref="J302"/>
    <hyperlink r:id="rId563" ref="H303"/>
    <hyperlink r:id="rId564" ref="I304"/>
    <hyperlink r:id="rId565" ref="H305"/>
    <hyperlink r:id="rId566" ref="I305"/>
    <hyperlink r:id="rId567" ref="H306"/>
    <hyperlink r:id="rId568" ref="I306"/>
    <hyperlink r:id="rId569" ref="J306"/>
    <hyperlink r:id="rId570" ref="H307"/>
    <hyperlink r:id="rId571" ref="I307"/>
    <hyperlink r:id="rId572" ref="H308"/>
    <hyperlink r:id="rId573" ref="I308"/>
    <hyperlink r:id="rId574" ref="H309"/>
    <hyperlink r:id="rId575" ref="I309"/>
    <hyperlink r:id="rId576" ref="J309"/>
    <hyperlink r:id="rId577" ref="H310"/>
    <hyperlink r:id="rId578" ref="I310"/>
    <hyperlink r:id="rId579" ref="I311"/>
    <hyperlink r:id="rId580" ref="J311"/>
    <hyperlink r:id="rId581" ref="I312"/>
    <hyperlink r:id="rId582" ref="J312"/>
    <hyperlink r:id="rId583" ref="H313"/>
    <hyperlink r:id="rId584" ref="I313"/>
    <hyperlink r:id="rId585" ref="H314"/>
    <hyperlink r:id="rId586" ref="I314"/>
    <hyperlink r:id="rId587" ref="J314"/>
    <hyperlink r:id="rId588" ref="H315"/>
    <hyperlink r:id="rId589" ref="I315"/>
    <hyperlink r:id="rId590" ref="H316"/>
    <hyperlink r:id="rId591" ref="H317"/>
    <hyperlink r:id="rId592" ref="I317"/>
    <hyperlink r:id="rId593" ref="J317"/>
    <hyperlink r:id="rId594" ref="H318"/>
    <hyperlink r:id="rId595" ref="I318"/>
    <hyperlink r:id="rId596" ref="J318"/>
    <hyperlink r:id="rId597" ref="H319"/>
    <hyperlink r:id="rId598" ref="I319"/>
    <hyperlink r:id="rId599" ref="H320"/>
    <hyperlink r:id="rId600" ref="I320"/>
    <hyperlink r:id="rId601" ref="H321"/>
    <hyperlink r:id="rId602" ref="I321"/>
    <hyperlink r:id="rId603" ref="H322"/>
    <hyperlink r:id="rId604" ref="I322"/>
    <hyperlink r:id="rId605" ref="H323"/>
    <hyperlink r:id="rId606" ref="I323"/>
    <hyperlink r:id="rId607" ref="J323"/>
    <hyperlink r:id="rId608" ref="H324"/>
    <hyperlink r:id="rId609" ref="I324"/>
    <hyperlink r:id="rId610" ref="H325"/>
    <hyperlink r:id="rId611" ref="I325"/>
    <hyperlink r:id="rId612" ref="H326"/>
    <hyperlink r:id="rId613" ref="I326"/>
    <hyperlink r:id="rId614" ref="H327"/>
    <hyperlink r:id="rId615" ref="I327"/>
    <hyperlink r:id="rId616" ref="H328"/>
    <hyperlink r:id="rId617" ref="I328"/>
    <hyperlink r:id="rId618" ref="H329"/>
    <hyperlink r:id="rId619" ref="I329"/>
    <hyperlink r:id="rId620" ref="H330"/>
    <hyperlink r:id="rId621" ref="I330"/>
    <hyperlink r:id="rId622" ref="H331"/>
    <hyperlink r:id="rId623" ref="I331"/>
    <hyperlink r:id="rId624" ref="H332"/>
    <hyperlink r:id="rId625" ref="I332"/>
    <hyperlink r:id="rId626" ref="H333"/>
    <hyperlink r:id="rId627" ref="I333"/>
    <hyperlink r:id="rId628" ref="H334"/>
    <hyperlink r:id="rId629" ref="I334"/>
    <hyperlink r:id="rId630" ref="J334"/>
    <hyperlink r:id="rId631" ref="H335"/>
    <hyperlink r:id="rId632" ref="I335"/>
    <hyperlink r:id="rId633" ref="H336"/>
    <hyperlink r:id="rId634" ref="I336"/>
    <hyperlink r:id="rId635" ref="J336"/>
    <hyperlink r:id="rId636" ref="H337"/>
    <hyperlink r:id="rId637" ref="H338"/>
    <hyperlink r:id="rId638" ref="I338"/>
    <hyperlink r:id="rId639" ref="H339"/>
    <hyperlink r:id="rId640" ref="I339"/>
    <hyperlink r:id="rId641" ref="H340"/>
    <hyperlink r:id="rId642" ref="I340"/>
    <hyperlink r:id="rId643" ref="H341"/>
    <hyperlink r:id="rId644" ref="I341"/>
    <hyperlink r:id="rId645" ref="H342"/>
    <hyperlink r:id="rId646" ref="I342"/>
    <hyperlink r:id="rId647" ref="J342"/>
    <hyperlink r:id="rId648" ref="H343"/>
    <hyperlink r:id="rId649" ref="I343"/>
    <hyperlink r:id="rId650" ref="H344"/>
    <hyperlink r:id="rId651" ref="I344"/>
    <hyperlink r:id="rId652" ref="I345"/>
    <hyperlink r:id="rId653" ref="H346"/>
    <hyperlink r:id="rId654" ref="I346"/>
    <hyperlink r:id="rId655" ref="H347"/>
    <hyperlink r:id="rId656" ref="H348"/>
    <hyperlink r:id="rId657" ref="H349"/>
    <hyperlink r:id="rId658" ref="I349"/>
    <hyperlink r:id="rId659" ref="H350"/>
    <hyperlink r:id="rId660" ref="I350"/>
    <hyperlink r:id="rId661" ref="H351"/>
    <hyperlink r:id="rId662" ref="H353"/>
    <hyperlink r:id="rId663" ref="H354"/>
    <hyperlink r:id="rId664" ref="H355"/>
    <hyperlink r:id="rId665" ref="I355"/>
    <hyperlink r:id="rId666" ref="H356"/>
    <hyperlink r:id="rId667" ref="H357"/>
    <hyperlink r:id="rId668" ref="H358"/>
    <hyperlink r:id="rId669" ref="H359"/>
    <hyperlink r:id="rId670" ref="I359"/>
    <hyperlink r:id="rId671" ref="H360"/>
    <hyperlink r:id="rId672" ref="I360"/>
    <hyperlink r:id="rId673" ref="H361"/>
    <hyperlink r:id="rId674" ref="I361"/>
    <hyperlink r:id="rId675" ref="H362"/>
    <hyperlink r:id="rId676" ref="J362"/>
    <hyperlink r:id="rId677" ref="H363"/>
    <hyperlink r:id="rId678" ref="I363"/>
    <hyperlink r:id="rId679" ref="J363"/>
    <hyperlink r:id="rId680" ref="H364"/>
    <hyperlink r:id="rId681" ref="I364"/>
    <hyperlink r:id="rId682" ref="H365"/>
    <hyperlink r:id="rId683" ref="I365"/>
    <hyperlink r:id="rId684" ref="H366"/>
    <hyperlink r:id="rId685" ref="I366"/>
    <hyperlink r:id="rId686" ref="H367"/>
    <hyperlink r:id="rId687" ref="I367"/>
    <hyperlink r:id="rId688" ref="H368"/>
    <hyperlink r:id="rId689" ref="I368"/>
    <hyperlink r:id="rId690" ref="H369"/>
    <hyperlink r:id="rId691" ref="H370"/>
    <hyperlink r:id="rId692" ref="I370"/>
    <hyperlink r:id="rId693" ref="J370"/>
    <hyperlink r:id="rId694" ref="H371"/>
    <hyperlink r:id="rId695" ref="I371"/>
    <hyperlink r:id="rId696" ref="J371"/>
    <hyperlink r:id="rId697" ref="H372"/>
    <hyperlink r:id="rId698" ref="I372"/>
    <hyperlink r:id="rId699" ref="I373"/>
    <hyperlink r:id="rId700" ref="I374"/>
    <hyperlink r:id="rId701" ref="H375"/>
    <hyperlink r:id="rId702" ref="I375"/>
    <hyperlink r:id="rId703" ref="H376"/>
    <hyperlink r:id="rId704" ref="J376"/>
    <hyperlink r:id="rId705" ref="H377"/>
    <hyperlink r:id="rId706" ref="I377"/>
    <hyperlink r:id="rId707" ref="H378"/>
    <hyperlink r:id="rId708" ref="I378"/>
    <hyperlink r:id="rId709" ref="H379"/>
    <hyperlink r:id="rId710" ref="I379"/>
    <hyperlink r:id="rId711" ref="J379"/>
    <hyperlink r:id="rId712" ref="H380"/>
    <hyperlink r:id="rId713" ref="I380"/>
    <hyperlink r:id="rId714" ref="H381"/>
    <hyperlink r:id="rId715" ref="I381"/>
    <hyperlink r:id="rId716" ref="H382"/>
    <hyperlink r:id="rId717" ref="I382"/>
    <hyperlink r:id="rId718" ref="J382"/>
    <hyperlink r:id="rId719" ref="H383"/>
    <hyperlink r:id="rId720" ref="I383"/>
    <hyperlink r:id="rId721" ref="J383"/>
    <hyperlink r:id="rId722" ref="H384"/>
    <hyperlink r:id="rId723" ref="I384"/>
    <hyperlink r:id="rId724" ref="I385"/>
    <hyperlink r:id="rId725" ref="H386"/>
    <hyperlink r:id="rId726" ref="I386"/>
    <hyperlink r:id="rId727" ref="J386"/>
    <hyperlink r:id="rId728" ref="H387"/>
    <hyperlink r:id="rId729" ref="I387"/>
    <hyperlink r:id="rId730" ref="H388"/>
    <hyperlink r:id="rId731" ref="I388"/>
    <hyperlink r:id="rId732" ref="J388"/>
    <hyperlink r:id="rId733" ref="H389"/>
    <hyperlink r:id="rId734" ref="H390"/>
    <hyperlink r:id="rId735" ref="I390"/>
    <hyperlink r:id="rId736" ref="H391"/>
    <hyperlink r:id="rId737" ref="I391"/>
    <hyperlink r:id="rId738" ref="J391"/>
    <hyperlink r:id="rId739" ref="H392"/>
    <hyperlink r:id="rId740" ref="I392"/>
    <hyperlink r:id="rId741" ref="J392"/>
    <hyperlink r:id="rId742" ref="H393"/>
    <hyperlink r:id="rId743" ref="I393"/>
    <hyperlink r:id="rId744" ref="H394"/>
    <hyperlink r:id="rId745" ref="I394"/>
    <hyperlink r:id="rId746" ref="H395"/>
    <hyperlink r:id="rId747" ref="H396"/>
    <hyperlink r:id="rId748" ref="H397"/>
    <hyperlink r:id="rId749" ref="I397"/>
    <hyperlink r:id="rId750" ref="H398"/>
    <hyperlink r:id="rId751" ref="I398"/>
    <hyperlink r:id="rId752" ref="H399"/>
    <hyperlink r:id="rId753" ref="I399"/>
    <hyperlink r:id="rId754" ref="J399"/>
    <hyperlink r:id="rId755" ref="H400"/>
    <hyperlink r:id="rId756" ref="I400"/>
    <hyperlink r:id="rId757" ref="H401"/>
    <hyperlink r:id="rId758" ref="I401"/>
    <hyperlink r:id="rId759" ref="J401"/>
    <hyperlink r:id="rId760" ref="H402"/>
    <hyperlink r:id="rId761" ref="I402"/>
    <hyperlink r:id="rId762" ref="H403"/>
    <hyperlink r:id="rId763" ref="I403"/>
    <hyperlink r:id="rId764" ref="J403"/>
    <hyperlink r:id="rId765" ref="H404"/>
    <hyperlink r:id="rId766" ref="I404"/>
    <hyperlink r:id="rId767" ref="J404"/>
    <hyperlink r:id="rId768" ref="H405"/>
    <hyperlink r:id="rId769" ref="I405"/>
    <hyperlink r:id="rId770" ref="H406"/>
    <hyperlink r:id="rId771" ref="I406"/>
    <hyperlink r:id="rId772" ref="H407"/>
    <hyperlink r:id="rId773" ref="I407"/>
    <hyperlink r:id="rId774" ref="H408"/>
    <hyperlink r:id="rId775" ref="I408"/>
    <hyperlink r:id="rId776" ref="H409"/>
    <hyperlink r:id="rId777" ref="I409"/>
    <hyperlink r:id="rId778" ref="H410"/>
    <hyperlink r:id="rId779" ref="I410"/>
    <hyperlink r:id="rId780" ref="J410"/>
    <hyperlink r:id="rId781" ref="H411"/>
    <hyperlink r:id="rId782" ref="I411"/>
    <hyperlink r:id="rId783" ref="H412"/>
    <hyperlink r:id="rId784" ref="I413"/>
    <hyperlink r:id="rId785" ref="H414"/>
    <hyperlink r:id="rId786" ref="H415"/>
    <hyperlink r:id="rId787" ref="H416"/>
    <hyperlink r:id="rId788" ref="I416"/>
    <hyperlink r:id="rId789" ref="H417"/>
    <hyperlink r:id="rId790" ref="I417"/>
    <hyperlink r:id="rId791" ref="H418"/>
    <hyperlink r:id="rId792" ref="H419"/>
    <hyperlink r:id="rId793" ref="H420"/>
    <hyperlink r:id="rId794" ref="I420"/>
    <hyperlink r:id="rId795" ref="H421"/>
    <hyperlink r:id="rId796" ref="I421"/>
    <hyperlink r:id="rId797" ref="H422"/>
    <hyperlink r:id="rId798" ref="H423"/>
    <hyperlink r:id="rId799" ref="I423"/>
    <hyperlink r:id="rId800" ref="H424"/>
    <hyperlink r:id="rId801" ref="I424"/>
    <hyperlink r:id="rId802" ref="H425"/>
    <hyperlink r:id="rId803" ref="I425"/>
    <hyperlink r:id="rId804" ref="H426"/>
    <hyperlink r:id="rId805" ref="I426"/>
    <hyperlink r:id="rId806" ref="I427"/>
    <hyperlink r:id="rId807" ref="H428"/>
    <hyperlink r:id="rId808" ref="I428"/>
    <hyperlink r:id="rId809" ref="J428"/>
    <hyperlink r:id="rId810" ref="H429"/>
    <hyperlink r:id="rId811" ref="I429"/>
    <hyperlink r:id="rId812" ref="H430"/>
    <hyperlink r:id="rId813" ref="I430"/>
    <hyperlink r:id="rId814" ref="J430"/>
    <hyperlink r:id="rId815" ref="H431"/>
    <hyperlink r:id="rId816" ref="I431"/>
    <hyperlink r:id="rId817" ref="H432"/>
    <hyperlink r:id="rId818" ref="I432"/>
    <hyperlink r:id="rId819" ref="H433"/>
    <hyperlink r:id="rId820" ref="I433"/>
    <hyperlink r:id="rId821" ref="H434"/>
    <hyperlink r:id="rId822" ref="I434"/>
    <hyperlink r:id="rId823" ref="H435"/>
    <hyperlink r:id="rId824" ref="I435"/>
    <hyperlink r:id="rId825" ref="I436"/>
    <hyperlink r:id="rId826" ref="H437"/>
    <hyperlink r:id="rId827" ref="I437"/>
    <hyperlink r:id="rId828" ref="H438"/>
    <hyperlink r:id="rId829" ref="I438"/>
    <hyperlink r:id="rId830" ref="H439"/>
    <hyperlink r:id="rId831" ref="I439"/>
    <hyperlink r:id="rId832" ref="J439"/>
    <hyperlink r:id="rId833" ref="H440"/>
    <hyperlink r:id="rId834" ref="I440"/>
    <hyperlink r:id="rId835" ref="I441"/>
    <hyperlink r:id="rId836" ref="H442"/>
    <hyperlink r:id="rId837" ref="I442"/>
    <hyperlink r:id="rId838" ref="H443"/>
    <hyperlink r:id="rId839" ref="I443"/>
    <hyperlink r:id="rId840" ref="H444"/>
    <hyperlink r:id="rId841" ref="I444"/>
    <hyperlink r:id="rId842" ref="H445"/>
    <hyperlink r:id="rId843" ref="I445"/>
    <hyperlink r:id="rId844" ref="J445"/>
    <hyperlink r:id="rId845" ref="H446"/>
    <hyperlink r:id="rId846" ref="I446"/>
    <hyperlink r:id="rId847" ref="H447"/>
    <hyperlink r:id="rId848" ref="I447"/>
    <hyperlink r:id="rId849" ref="J447"/>
    <hyperlink r:id="rId850" ref="H448"/>
    <hyperlink r:id="rId851" ref="I448"/>
    <hyperlink r:id="rId852" ref="J448"/>
    <hyperlink r:id="rId853" ref="H449"/>
    <hyperlink r:id="rId854" ref="H450"/>
    <hyperlink r:id="rId855" ref="I450"/>
    <hyperlink r:id="rId856" ref="H451"/>
    <hyperlink r:id="rId857" ref="I451"/>
    <hyperlink r:id="rId858" ref="H452"/>
    <hyperlink r:id="rId859" ref="I452"/>
    <hyperlink r:id="rId860" ref="H453"/>
    <hyperlink r:id="rId861" ref="I453"/>
    <hyperlink r:id="rId862" ref="H454"/>
    <hyperlink r:id="rId863" ref="I454"/>
    <hyperlink r:id="rId864" ref="J454"/>
    <hyperlink r:id="rId865" ref="H455"/>
    <hyperlink r:id="rId866" ref="I455"/>
    <hyperlink r:id="rId867" ref="J455"/>
    <hyperlink r:id="rId868" ref="H456"/>
    <hyperlink r:id="rId869" ref="I456"/>
    <hyperlink r:id="rId870" ref="H457"/>
    <hyperlink r:id="rId871" ref="I457"/>
    <hyperlink r:id="rId872" ref="H458"/>
    <hyperlink r:id="rId873" ref="I458"/>
    <hyperlink r:id="rId874" ref="H459"/>
    <hyperlink r:id="rId875" ref="I459"/>
    <hyperlink r:id="rId876" ref="H460"/>
    <hyperlink r:id="rId877" ref="I460"/>
    <hyperlink r:id="rId878" ref="H461"/>
    <hyperlink r:id="rId879" ref="I461"/>
    <hyperlink r:id="rId880" ref="J461"/>
    <hyperlink r:id="rId881" ref="H462"/>
    <hyperlink r:id="rId882" ref="I462"/>
    <hyperlink r:id="rId883" ref="J462"/>
    <hyperlink r:id="rId884" ref="H463"/>
    <hyperlink r:id="rId885" ref="I463"/>
    <hyperlink r:id="rId886" ref="H464"/>
    <hyperlink r:id="rId887" ref="I464"/>
    <hyperlink r:id="rId888" ref="J464"/>
    <hyperlink r:id="rId889" ref="H465"/>
    <hyperlink r:id="rId890" ref="I465"/>
    <hyperlink r:id="rId891" ref="H466"/>
    <hyperlink r:id="rId892" ref="I466"/>
    <hyperlink r:id="rId893" ref="H467"/>
    <hyperlink r:id="rId894" ref="I467"/>
    <hyperlink r:id="rId895" ref="H468"/>
    <hyperlink r:id="rId896" ref="I468"/>
    <hyperlink r:id="rId897" ref="J468"/>
    <hyperlink r:id="rId898" ref="H469"/>
    <hyperlink r:id="rId899" ref="H470"/>
    <hyperlink r:id="rId900" ref="H471"/>
    <hyperlink r:id="rId901" ref="I471"/>
    <hyperlink r:id="rId902" ref="H472"/>
    <hyperlink r:id="rId903" ref="I472"/>
    <hyperlink r:id="rId904" ref="H473"/>
    <hyperlink r:id="rId905" ref="I473"/>
    <hyperlink r:id="rId906" ref="H474"/>
    <hyperlink r:id="rId907" ref="H475"/>
    <hyperlink r:id="rId908" ref="I475"/>
    <hyperlink r:id="rId909" ref="H476"/>
    <hyperlink r:id="rId910" ref="I476"/>
    <hyperlink r:id="rId911" ref="H477"/>
    <hyperlink r:id="rId912" ref="H478"/>
    <hyperlink r:id="rId913" ref="H479"/>
    <hyperlink r:id="rId914" ref="I479"/>
    <hyperlink r:id="rId915" ref="H480"/>
    <hyperlink r:id="rId916" ref="I480"/>
    <hyperlink r:id="rId917" ref="J480"/>
    <hyperlink r:id="rId918" ref="H481"/>
    <hyperlink r:id="rId919" ref="I481"/>
    <hyperlink r:id="rId920" ref="H482"/>
    <hyperlink r:id="rId921" ref="I482"/>
    <hyperlink r:id="rId922" ref="H483"/>
    <hyperlink r:id="rId923" ref="I483"/>
    <hyperlink r:id="rId924" ref="H484"/>
    <hyperlink r:id="rId925" ref="I484"/>
    <hyperlink r:id="rId926" ref="H485"/>
    <hyperlink r:id="rId927" ref="H486"/>
    <hyperlink r:id="rId928" ref="I486"/>
    <hyperlink r:id="rId929" ref="H487"/>
    <hyperlink r:id="rId930" ref="I487"/>
    <hyperlink r:id="rId931" ref="H488"/>
    <hyperlink r:id="rId932" ref="H489"/>
    <hyperlink r:id="rId933" ref="H490"/>
    <hyperlink r:id="rId934" ref="I490"/>
    <hyperlink r:id="rId935" ref="H491"/>
    <hyperlink r:id="rId936" ref="H492"/>
    <hyperlink r:id="rId937" ref="I492"/>
    <hyperlink r:id="rId938" ref="J492"/>
    <hyperlink r:id="rId939" ref="H493"/>
    <hyperlink r:id="rId940" ref="I493"/>
    <hyperlink r:id="rId941" ref="J493"/>
    <hyperlink r:id="rId942" ref="H494"/>
    <hyperlink r:id="rId943" ref="I494"/>
    <hyperlink r:id="rId944" ref="H495"/>
    <hyperlink r:id="rId945" ref="I495"/>
    <hyperlink r:id="rId946" ref="H496"/>
    <hyperlink r:id="rId947" ref="I496"/>
    <hyperlink r:id="rId948" ref="H497"/>
    <hyperlink r:id="rId949" ref="I497"/>
    <hyperlink r:id="rId950" ref="H498"/>
    <hyperlink r:id="rId951" ref="I498"/>
    <hyperlink r:id="rId952" ref="J498"/>
    <hyperlink r:id="rId953" ref="H499"/>
    <hyperlink r:id="rId954" ref="I499"/>
    <hyperlink r:id="rId955" ref="J499"/>
    <hyperlink r:id="rId956" ref="H500"/>
    <hyperlink r:id="rId957" ref="I500"/>
    <hyperlink r:id="rId958" ref="H501"/>
    <hyperlink r:id="rId959" ref="I501"/>
    <hyperlink r:id="rId960" ref="H502"/>
    <hyperlink r:id="rId961" ref="I502"/>
    <hyperlink r:id="rId962" ref="H503"/>
    <hyperlink r:id="rId963" ref="J503"/>
    <hyperlink r:id="rId964" ref="H504"/>
    <hyperlink r:id="rId965" ref="I504"/>
    <hyperlink r:id="rId966" ref="H505"/>
    <hyperlink r:id="rId967" ref="I505"/>
    <hyperlink r:id="rId968" ref="J505"/>
    <hyperlink r:id="rId969" ref="H506"/>
    <hyperlink r:id="rId970" ref="I506"/>
    <hyperlink r:id="rId971" ref="J506"/>
    <hyperlink r:id="rId972" ref="H507"/>
    <hyperlink r:id="rId973" ref="H508"/>
    <hyperlink r:id="rId974" ref="I508"/>
    <hyperlink r:id="rId975" ref="J508"/>
    <hyperlink r:id="rId976" ref="H509"/>
    <hyperlink r:id="rId977" ref="I509"/>
    <hyperlink r:id="rId978" ref="H510"/>
    <hyperlink r:id="rId979" ref="I510"/>
    <hyperlink r:id="rId980" ref="H511"/>
    <hyperlink r:id="rId981" ref="I511"/>
    <hyperlink r:id="rId982" ref="J511"/>
    <hyperlink r:id="rId983" ref="H512"/>
    <hyperlink r:id="rId984" ref="I512"/>
    <hyperlink r:id="rId985" ref="H513"/>
    <hyperlink r:id="rId986" ref="H514"/>
    <hyperlink r:id="rId987" ref="I514"/>
    <hyperlink r:id="rId988" ref="H515"/>
    <hyperlink r:id="rId989" ref="I515"/>
    <hyperlink r:id="rId990" ref="J515"/>
    <hyperlink r:id="rId991" ref="H516"/>
    <hyperlink r:id="rId992" ref="I516"/>
    <hyperlink r:id="rId993" ref="H517"/>
    <hyperlink r:id="rId994" ref="I517"/>
    <hyperlink r:id="rId995" ref="J517"/>
    <hyperlink r:id="rId996" ref="H518"/>
    <hyperlink r:id="rId997" ref="I518"/>
    <hyperlink r:id="rId998" ref="H519"/>
    <hyperlink r:id="rId999" ref="I519"/>
    <hyperlink r:id="rId1000" ref="H520"/>
    <hyperlink r:id="rId1001" ref="I520"/>
    <hyperlink r:id="rId1002" ref="J520"/>
    <hyperlink r:id="rId1003" ref="H521"/>
    <hyperlink r:id="rId1004" ref="I521"/>
    <hyperlink r:id="rId1005" ref="J521"/>
    <hyperlink r:id="rId1006" ref="H522"/>
    <hyperlink r:id="rId1007" ref="I522"/>
    <hyperlink r:id="rId1008" ref="H523"/>
    <hyperlink r:id="rId1009" ref="H524"/>
    <hyperlink r:id="rId1010" ref="I524"/>
    <hyperlink r:id="rId1011" ref="J524"/>
    <hyperlink r:id="rId1012" ref="H525"/>
    <hyperlink r:id="rId1013" ref="I525"/>
    <hyperlink r:id="rId1014" ref="H526"/>
    <hyperlink r:id="rId1015" ref="I526"/>
    <hyperlink r:id="rId1016" ref="H527"/>
    <hyperlink r:id="rId1017" ref="I527"/>
    <hyperlink r:id="rId1018" ref="J527"/>
    <hyperlink r:id="rId1019" ref="H528"/>
    <hyperlink r:id="rId1020" ref="I528"/>
    <hyperlink r:id="rId1021" ref="H529"/>
    <hyperlink r:id="rId1022" ref="I529"/>
    <hyperlink r:id="rId1023" ref="H530"/>
    <hyperlink r:id="rId1024" ref="I530"/>
    <hyperlink r:id="rId1025" ref="H531"/>
    <hyperlink r:id="rId1026" ref="I531"/>
    <hyperlink r:id="rId1027" ref="J531"/>
    <hyperlink r:id="rId1028" ref="H532"/>
    <hyperlink r:id="rId1029" ref="I532"/>
    <hyperlink r:id="rId1030" ref="H533"/>
    <hyperlink r:id="rId1031" ref="I533"/>
    <hyperlink r:id="rId1032" ref="H534"/>
    <hyperlink r:id="rId1033" ref="I534"/>
    <hyperlink r:id="rId1034" ref="J534"/>
    <hyperlink r:id="rId1035" ref="H535"/>
    <hyperlink r:id="rId1036" ref="I535"/>
    <hyperlink r:id="rId1037" ref="H536"/>
    <hyperlink r:id="rId1038" ref="I536"/>
    <hyperlink r:id="rId1039" ref="H537"/>
    <hyperlink r:id="rId1040" ref="I537"/>
    <hyperlink r:id="rId1041" ref="H538"/>
    <hyperlink r:id="rId1042" ref="H539"/>
    <hyperlink r:id="rId1043" ref="I539"/>
    <hyperlink r:id="rId1044" ref="J539"/>
    <hyperlink r:id="rId1045" ref="H540"/>
    <hyperlink r:id="rId1046" ref="I540"/>
    <hyperlink r:id="rId1047" ref="H541"/>
    <hyperlink r:id="rId1048" ref="J541"/>
    <hyperlink r:id="rId1049" ref="H542"/>
    <hyperlink r:id="rId1050" ref="I542"/>
    <hyperlink r:id="rId1051" ref="H543"/>
    <hyperlink r:id="rId1052" ref="I543"/>
    <hyperlink r:id="rId1053" ref="H544"/>
    <hyperlink r:id="rId1054" ref="H545"/>
    <hyperlink r:id="rId1055" ref="I545"/>
    <hyperlink r:id="rId1056" ref="H546"/>
    <hyperlink r:id="rId1057" ref="I546"/>
    <hyperlink r:id="rId1058" ref="H547"/>
    <hyperlink r:id="rId1059" ref="H548"/>
    <hyperlink r:id="rId1060" ref="H549"/>
    <hyperlink r:id="rId1061" ref="H550"/>
    <hyperlink r:id="rId1062" ref="H551"/>
    <hyperlink r:id="rId1063" ref="J551"/>
    <hyperlink r:id="rId1064" ref="H552"/>
    <hyperlink r:id="rId1065" ref="H553"/>
    <hyperlink r:id="rId1066" ref="J553"/>
    <hyperlink r:id="rId1067" ref="H554"/>
    <hyperlink r:id="rId1068" ref="H555"/>
    <hyperlink r:id="rId1069" ref="I555"/>
    <hyperlink r:id="rId1070" ref="H556"/>
    <hyperlink r:id="rId1071" ref="H557"/>
    <hyperlink r:id="rId1072" ref="I557"/>
    <hyperlink r:id="rId1073" ref="H558"/>
    <hyperlink r:id="rId1074" ref="I558"/>
    <hyperlink r:id="rId1075" ref="I559"/>
    <hyperlink r:id="rId1076" ref="H560"/>
    <hyperlink r:id="rId1077" ref="I560"/>
    <hyperlink r:id="rId1078" ref="H561"/>
    <hyperlink r:id="rId1079" ref="I561"/>
    <hyperlink r:id="rId1080" ref="J561"/>
    <hyperlink r:id="rId1081" ref="I562"/>
    <hyperlink r:id="rId1082" ref="H563"/>
    <hyperlink r:id="rId1083" ref="H564"/>
    <hyperlink r:id="rId1084" ref="J564"/>
    <hyperlink r:id="rId1085" ref="H565"/>
    <hyperlink r:id="rId1086" ref="I565"/>
    <hyperlink r:id="rId1087" ref="H566"/>
    <hyperlink r:id="rId1088" ref="I566"/>
    <hyperlink r:id="rId1089" ref="H567"/>
    <hyperlink r:id="rId1090" ref="I567"/>
    <hyperlink r:id="rId1091" ref="H568"/>
    <hyperlink r:id="rId1092" ref="I568"/>
    <hyperlink r:id="rId1093" ref="H569"/>
    <hyperlink r:id="rId1094" ref="I569"/>
    <hyperlink r:id="rId1095" ref="H570"/>
    <hyperlink r:id="rId1096" ref="I570"/>
    <hyperlink r:id="rId1097" ref="H571"/>
    <hyperlink r:id="rId1098" ref="I571"/>
    <hyperlink r:id="rId1099" ref="J571"/>
    <hyperlink r:id="rId1100" ref="I572"/>
    <hyperlink r:id="rId1101" ref="H573"/>
    <hyperlink r:id="rId1102" ref="I573"/>
    <hyperlink r:id="rId1103" ref="H574"/>
    <hyperlink r:id="rId1104" ref="I574"/>
    <hyperlink r:id="rId1105" ref="J574"/>
    <hyperlink r:id="rId1106" ref="H575"/>
    <hyperlink r:id="rId1107" ref="I575"/>
    <hyperlink r:id="rId1108" ref="H576"/>
    <hyperlink r:id="rId1109" ref="I576"/>
    <hyperlink r:id="rId1110" ref="H577"/>
    <hyperlink r:id="rId1111" ref="I577"/>
    <hyperlink r:id="rId1112" ref="H578"/>
    <hyperlink r:id="rId1113" ref="I578"/>
    <hyperlink r:id="rId1114" ref="J578"/>
    <hyperlink r:id="rId1115" ref="H579"/>
    <hyperlink r:id="rId1116" ref="I579"/>
    <hyperlink r:id="rId1117" ref="I580"/>
    <hyperlink r:id="rId1118" ref="H581"/>
    <hyperlink r:id="rId1119" ref="I581"/>
    <hyperlink r:id="rId1120" ref="J581"/>
    <hyperlink r:id="rId1121" ref="H582"/>
    <hyperlink r:id="rId1122" ref="I582"/>
    <hyperlink r:id="rId1123" ref="H583"/>
    <hyperlink r:id="rId1124" ref="I583"/>
    <hyperlink r:id="rId1125" ref="H584"/>
    <hyperlink r:id="rId1126" ref="I584"/>
    <hyperlink r:id="rId1127" ref="J584"/>
    <hyperlink r:id="rId1128" ref="H585"/>
    <hyperlink r:id="rId1129" ref="I585"/>
    <hyperlink r:id="rId1130" ref="H586"/>
    <hyperlink r:id="rId1131" ref="I586"/>
    <hyperlink r:id="rId1132" ref="H587"/>
    <hyperlink r:id="rId1133" ref="I587"/>
    <hyperlink r:id="rId1134" ref="J587"/>
    <hyperlink r:id="rId1135" ref="H588"/>
    <hyperlink r:id="rId1136" ref="I588"/>
    <hyperlink r:id="rId1137" ref="H589"/>
    <hyperlink r:id="rId1138" ref="I589"/>
    <hyperlink r:id="rId1139" ref="J589"/>
    <hyperlink r:id="rId1140" ref="H590"/>
    <hyperlink r:id="rId1141" ref="I590"/>
    <hyperlink r:id="rId1142" ref="H591"/>
    <hyperlink r:id="rId1143" ref="I591"/>
    <hyperlink r:id="rId1144" ref="H592"/>
    <hyperlink r:id="rId1145" ref="I592"/>
    <hyperlink r:id="rId1146" ref="H593"/>
    <hyperlink r:id="rId1147" ref="I593"/>
    <hyperlink r:id="rId1148" ref="H594"/>
    <hyperlink r:id="rId1149" ref="I594"/>
    <hyperlink r:id="rId1150" ref="H595"/>
    <hyperlink r:id="rId1151" ref="I595"/>
    <hyperlink r:id="rId1152" ref="H596"/>
    <hyperlink r:id="rId1153" ref="I596"/>
    <hyperlink r:id="rId1154" ref="J596"/>
    <hyperlink r:id="rId1155" ref="H597"/>
    <hyperlink r:id="rId1156" ref="I597"/>
    <hyperlink r:id="rId1157" ref="H598"/>
    <hyperlink r:id="rId1158" ref="I598"/>
    <hyperlink r:id="rId1159" ref="H599"/>
    <hyperlink r:id="rId1160" ref="I599"/>
    <hyperlink r:id="rId1161" ref="H600"/>
    <hyperlink r:id="rId1162" ref="I600"/>
    <hyperlink r:id="rId1163" ref="H601"/>
    <hyperlink r:id="rId1164" ref="I601"/>
    <hyperlink r:id="rId1165" ref="H602"/>
    <hyperlink r:id="rId1166" ref="I602"/>
    <hyperlink r:id="rId1167" ref="H603"/>
    <hyperlink r:id="rId1168" ref="I603"/>
    <hyperlink r:id="rId1169" ref="J603"/>
    <hyperlink r:id="rId1170" ref="H604"/>
    <hyperlink r:id="rId1171" ref="I604"/>
    <hyperlink r:id="rId1172" ref="H605"/>
    <hyperlink r:id="rId1173" ref="I605"/>
    <hyperlink r:id="rId1174" ref="H606"/>
    <hyperlink r:id="rId1175" ref="I606"/>
    <hyperlink r:id="rId1176" ref="H607"/>
    <hyperlink r:id="rId1177" ref="H608"/>
    <hyperlink r:id="rId1178" ref="I608"/>
    <hyperlink r:id="rId1179" ref="H609"/>
    <hyperlink r:id="rId1180" ref="I609"/>
    <hyperlink r:id="rId1181" ref="H610"/>
    <hyperlink r:id="rId1182" ref="H611"/>
    <hyperlink r:id="rId1183" ref="I611"/>
    <hyperlink r:id="rId1184" ref="H612"/>
    <hyperlink r:id="rId1185" ref="I612"/>
    <hyperlink r:id="rId1186" ref="H613"/>
    <hyperlink r:id="rId1187" ref="I613"/>
    <hyperlink r:id="rId1188" ref="H614"/>
    <hyperlink r:id="rId1189" ref="I614"/>
    <hyperlink r:id="rId1190" ref="J614"/>
    <hyperlink r:id="rId1191" ref="H615"/>
    <hyperlink r:id="rId1192" ref="H616"/>
    <hyperlink r:id="rId1193" ref="I616"/>
    <hyperlink r:id="rId1194" ref="I617"/>
    <hyperlink r:id="rId1195" ref="H618"/>
    <hyperlink r:id="rId1196" ref="H619"/>
    <hyperlink r:id="rId1197" ref="I619"/>
    <hyperlink r:id="rId1198" ref="I620"/>
    <hyperlink r:id="rId1199" ref="J620"/>
    <hyperlink r:id="rId1200" ref="H621"/>
    <hyperlink r:id="rId1201" ref="H622"/>
    <hyperlink r:id="rId1202" ref="I622"/>
    <hyperlink r:id="rId1203" ref="H623"/>
    <hyperlink r:id="rId1204" ref="H624"/>
    <hyperlink r:id="rId1205" ref="I624"/>
    <hyperlink r:id="rId1206" ref="H625"/>
    <hyperlink r:id="rId1207" ref="H626"/>
    <hyperlink r:id="rId1208" ref="H627"/>
    <hyperlink r:id="rId1209" ref="I627"/>
    <hyperlink r:id="rId1210" ref="H628"/>
    <hyperlink r:id="rId1211" ref="I628"/>
    <hyperlink r:id="rId1212" ref="H629"/>
    <hyperlink r:id="rId1213" ref="I629"/>
    <hyperlink r:id="rId1214" ref="H630"/>
    <hyperlink r:id="rId1215" ref="H631"/>
    <hyperlink r:id="rId1216" ref="H632"/>
    <hyperlink r:id="rId1217" ref="H633"/>
    <hyperlink r:id="rId1218" ref="H634"/>
    <hyperlink r:id="rId1219" ref="H635"/>
    <hyperlink r:id="rId1220" ref="H636"/>
    <hyperlink r:id="rId1221" ref="I636"/>
    <hyperlink r:id="rId1222" ref="J636"/>
    <hyperlink r:id="rId1223" ref="I637"/>
    <hyperlink r:id="rId1224" ref="I638"/>
    <hyperlink r:id="rId1225" ref="H639"/>
    <hyperlink r:id="rId1226" ref="I639"/>
    <hyperlink r:id="rId1227" ref="H640"/>
    <hyperlink r:id="rId1228" ref="I640"/>
    <hyperlink r:id="rId1229" ref="H641"/>
    <hyperlink r:id="rId1230" ref="J641"/>
    <hyperlink r:id="rId1231" ref="H642"/>
    <hyperlink r:id="rId1232" ref="I642"/>
    <hyperlink r:id="rId1233" ref="H643"/>
    <hyperlink r:id="rId1234" ref="I643"/>
    <hyperlink r:id="rId1235" ref="H644"/>
    <hyperlink r:id="rId1236" ref="J644"/>
    <hyperlink r:id="rId1237" ref="H645"/>
    <hyperlink r:id="rId1238" ref="I645"/>
    <hyperlink r:id="rId1239" ref="J645"/>
    <hyperlink r:id="rId1240" ref="H646"/>
    <hyperlink r:id="rId1241" ref="I646"/>
    <hyperlink r:id="rId1242" ref="H647"/>
    <hyperlink r:id="rId1243" ref="H648"/>
    <hyperlink r:id="rId1244" ref="I648"/>
    <hyperlink r:id="rId1245" ref="H649"/>
    <hyperlink r:id="rId1246" ref="I649"/>
    <hyperlink r:id="rId1247" ref="H650"/>
    <hyperlink r:id="rId1248" ref="I650"/>
    <hyperlink r:id="rId1249" ref="H651"/>
    <hyperlink r:id="rId1250" ref="I651"/>
    <hyperlink r:id="rId1251" ref="H652"/>
    <hyperlink r:id="rId1252" ref="I652"/>
    <hyperlink r:id="rId1253" ref="J652"/>
    <hyperlink r:id="rId1254" ref="H653"/>
    <hyperlink r:id="rId1255" ref="I653"/>
    <hyperlink r:id="rId1256" ref="H654"/>
    <hyperlink r:id="rId1257" ref="I654"/>
    <hyperlink r:id="rId1258" ref="H655"/>
    <hyperlink r:id="rId1259" ref="I655"/>
    <hyperlink r:id="rId1260" ref="I656"/>
    <hyperlink r:id="rId1261" ref="I657"/>
    <hyperlink r:id="rId1262" ref="H658"/>
    <hyperlink r:id="rId1263" ref="I658"/>
    <hyperlink r:id="rId1264" ref="H659"/>
    <hyperlink r:id="rId1265" ref="I659"/>
    <hyperlink r:id="rId1266" ref="H660"/>
    <hyperlink r:id="rId1267" ref="I660"/>
    <hyperlink r:id="rId1268" ref="J660"/>
    <hyperlink r:id="rId1269" ref="H661"/>
    <hyperlink r:id="rId1270" ref="I661"/>
    <hyperlink r:id="rId1271" ref="H662"/>
    <hyperlink r:id="rId1272" ref="I662"/>
    <hyperlink r:id="rId1273" ref="H663"/>
    <hyperlink r:id="rId1274" ref="I663"/>
    <hyperlink r:id="rId1275" ref="J663"/>
    <hyperlink r:id="rId1276" ref="H664"/>
    <hyperlink r:id="rId1277" ref="I664"/>
    <hyperlink r:id="rId1278" ref="I665"/>
    <hyperlink r:id="rId1279" ref="H666"/>
    <hyperlink r:id="rId1280" ref="I666"/>
    <hyperlink r:id="rId1281" ref="H667"/>
    <hyperlink r:id="rId1282" ref="I667"/>
    <hyperlink r:id="rId1283" ref="H668"/>
    <hyperlink r:id="rId1284" ref="I668"/>
    <hyperlink r:id="rId1285" ref="H669"/>
    <hyperlink r:id="rId1286" ref="I669"/>
    <hyperlink r:id="rId1287" ref="H670"/>
    <hyperlink r:id="rId1288" ref="I670"/>
    <hyperlink r:id="rId1289" ref="H671"/>
    <hyperlink r:id="rId1290" ref="I671"/>
    <hyperlink r:id="rId1291" ref="H672"/>
    <hyperlink r:id="rId1292" ref="I672"/>
    <hyperlink r:id="rId1293" ref="H673"/>
    <hyperlink r:id="rId1294" ref="I673"/>
    <hyperlink r:id="rId1295" ref="H674"/>
    <hyperlink r:id="rId1296" ref="I674"/>
    <hyperlink r:id="rId1297" ref="J674"/>
    <hyperlink r:id="rId1298" ref="H675"/>
    <hyperlink r:id="rId1299" ref="I675"/>
    <hyperlink r:id="rId1300" ref="H676"/>
    <hyperlink r:id="rId1301" ref="I676"/>
    <hyperlink r:id="rId1302" ref="H677"/>
    <hyperlink r:id="rId1303" ref="I677"/>
    <hyperlink r:id="rId1304" ref="H678"/>
    <hyperlink r:id="rId1305" ref="I678"/>
    <hyperlink r:id="rId1306" ref="H679"/>
    <hyperlink r:id="rId1307" ref="I679"/>
    <hyperlink r:id="rId1308" ref="H680"/>
    <hyperlink r:id="rId1309" ref="I680"/>
    <hyperlink r:id="rId1310" ref="J680"/>
    <hyperlink r:id="rId1311" ref="H681"/>
    <hyperlink r:id="rId1312" ref="I681"/>
    <hyperlink r:id="rId1313" ref="J681"/>
    <hyperlink r:id="rId1314" ref="H682"/>
    <hyperlink r:id="rId1315" ref="I682"/>
    <hyperlink r:id="rId1316" ref="H683"/>
    <hyperlink r:id="rId1317" ref="H684"/>
    <hyperlink r:id="rId1318" ref="I684"/>
    <hyperlink r:id="rId1319" ref="J684"/>
    <hyperlink r:id="rId1320" ref="H685"/>
    <hyperlink r:id="rId1321" ref="I685"/>
    <hyperlink r:id="rId1322" ref="J685"/>
    <hyperlink r:id="rId1323" ref="H686"/>
    <hyperlink r:id="rId1324" ref="I686"/>
    <hyperlink r:id="rId1325" ref="J686"/>
    <hyperlink r:id="rId1326" ref="H687"/>
    <hyperlink r:id="rId1327" ref="I687"/>
    <hyperlink r:id="rId1328" ref="H688"/>
    <hyperlink r:id="rId1329" ref="I688"/>
    <hyperlink r:id="rId1330" ref="H689"/>
    <hyperlink r:id="rId1331" ref="I689"/>
    <hyperlink r:id="rId1332" ref="J689"/>
    <hyperlink r:id="rId1333" ref="H690"/>
    <hyperlink r:id="rId1334" ref="H691"/>
    <hyperlink r:id="rId1335" ref="I691"/>
    <hyperlink r:id="rId1336" ref="H692"/>
    <hyperlink r:id="rId1337" ref="I692"/>
    <hyperlink r:id="rId1338" ref="H693"/>
    <hyperlink r:id="rId1339" ref="H694"/>
    <hyperlink r:id="rId1340" ref="I694"/>
    <hyperlink r:id="rId1341" ref="J694"/>
    <hyperlink r:id="rId1342" ref="H695"/>
    <hyperlink r:id="rId1343" ref="I695"/>
    <hyperlink r:id="rId1344" ref="H696"/>
    <hyperlink r:id="rId1345" ref="H697"/>
    <hyperlink r:id="rId1346" ref="H698"/>
    <hyperlink r:id="rId1347" ref="I698"/>
    <hyperlink r:id="rId1348" ref="H699"/>
    <hyperlink r:id="rId1349" ref="I699"/>
    <hyperlink r:id="rId1350" ref="H700"/>
    <hyperlink r:id="rId1351" ref="I700"/>
    <hyperlink r:id="rId1352" ref="H701"/>
    <hyperlink r:id="rId1353" ref="H702"/>
    <hyperlink r:id="rId1354" ref="I702"/>
    <hyperlink r:id="rId1355" ref="H703"/>
    <hyperlink r:id="rId1356" ref="H704"/>
    <hyperlink r:id="rId1357" ref="H705"/>
    <hyperlink r:id="rId1358" ref="H706"/>
    <hyperlink r:id="rId1359" ref="I706"/>
    <hyperlink r:id="rId1360" ref="J706"/>
    <hyperlink r:id="rId1361" ref="H707"/>
    <hyperlink r:id="rId1362" ref="H708"/>
    <hyperlink r:id="rId1363" ref="I708"/>
    <hyperlink r:id="rId1364" ref="H709"/>
    <hyperlink r:id="rId1365" ref="I709"/>
    <hyperlink r:id="rId1366" ref="H710"/>
    <hyperlink r:id="rId1367" ref="I710"/>
    <hyperlink r:id="rId1368" ref="H711"/>
    <hyperlink r:id="rId1369" ref="H712"/>
    <hyperlink r:id="rId1370" ref="I712"/>
    <hyperlink r:id="rId1371" ref="H713"/>
    <hyperlink r:id="rId1372" ref="I713"/>
    <hyperlink r:id="rId1373" ref="H714"/>
    <hyperlink r:id="rId1374" ref="H715"/>
    <hyperlink r:id="rId1375" ref="I715"/>
    <hyperlink r:id="rId1376" ref="H716"/>
    <hyperlink r:id="rId1377" ref="I716"/>
    <hyperlink r:id="rId1378" ref="J716"/>
    <hyperlink r:id="rId1379" ref="H717"/>
    <hyperlink r:id="rId1380" ref="I717"/>
    <hyperlink r:id="rId1381" ref="H718"/>
    <hyperlink r:id="rId1382" ref="I718"/>
    <hyperlink r:id="rId1383" ref="H719"/>
    <hyperlink r:id="rId1384" ref="I719"/>
    <hyperlink r:id="rId1385" ref="J719"/>
    <hyperlink r:id="rId1386" ref="H720"/>
    <hyperlink r:id="rId1387" ref="I720"/>
    <hyperlink r:id="rId1388" ref="H721"/>
    <hyperlink r:id="rId1389" ref="I721"/>
    <hyperlink r:id="rId1390" ref="H722"/>
    <hyperlink r:id="rId1391" ref="I722"/>
    <hyperlink r:id="rId1392" ref="H723"/>
    <hyperlink r:id="rId1393" ref="I723"/>
    <hyperlink r:id="rId1394" ref="J723"/>
    <hyperlink r:id="rId1395" ref="H724"/>
    <hyperlink r:id="rId1396" ref="I724"/>
    <hyperlink r:id="rId1397" ref="J724"/>
    <hyperlink r:id="rId1398" ref="H725"/>
    <hyperlink r:id="rId1399" ref="I725"/>
    <hyperlink r:id="rId1400" ref="H726"/>
    <hyperlink r:id="rId1401" ref="I726"/>
    <hyperlink r:id="rId1402" ref="H727"/>
    <hyperlink r:id="rId1403" ref="I727"/>
    <hyperlink r:id="rId1404" ref="J727"/>
    <hyperlink r:id="rId1405" ref="H728"/>
    <hyperlink r:id="rId1406" ref="I728"/>
    <hyperlink r:id="rId1407" ref="H729"/>
    <hyperlink r:id="rId1408" ref="I729"/>
    <hyperlink r:id="rId1409" ref="I730"/>
    <hyperlink r:id="rId1410" ref="H731"/>
    <hyperlink r:id="rId1411" ref="I731"/>
    <hyperlink r:id="rId1412" ref="H732"/>
    <hyperlink r:id="rId1413" ref="I732"/>
    <hyperlink r:id="rId1414" ref="H733"/>
    <hyperlink r:id="rId1415" ref="I733"/>
    <hyperlink r:id="rId1416" ref="J733"/>
    <hyperlink r:id="rId1417" ref="H734"/>
    <hyperlink r:id="rId1418" ref="I734"/>
    <hyperlink r:id="rId1419" ref="H735"/>
    <hyperlink r:id="rId1420" ref="I735"/>
    <hyperlink r:id="rId1421" ref="H736"/>
    <hyperlink r:id="rId1422" ref="I736"/>
    <hyperlink r:id="rId1423" ref="J736"/>
    <hyperlink r:id="rId1424" ref="H737"/>
    <hyperlink r:id="rId1425" ref="I737"/>
    <hyperlink r:id="rId1426" ref="I738"/>
    <hyperlink r:id="rId1427" ref="H739"/>
    <hyperlink r:id="rId1428" ref="I739"/>
    <hyperlink r:id="rId1429" ref="J739"/>
    <hyperlink r:id="rId1430" ref="H740"/>
    <hyperlink r:id="rId1431" ref="I740"/>
    <hyperlink r:id="rId1432" ref="J740"/>
    <hyperlink r:id="rId1433" ref="H741"/>
    <hyperlink r:id="rId1434" ref="H742"/>
    <hyperlink r:id="rId1435" ref="I742"/>
    <hyperlink r:id="rId1436" ref="H743"/>
    <hyperlink r:id="rId1437" ref="I743"/>
    <hyperlink r:id="rId1438" ref="H744"/>
    <hyperlink r:id="rId1439" ref="I744"/>
    <hyperlink r:id="rId1440" ref="H745"/>
    <hyperlink r:id="rId1441" ref="I745"/>
    <hyperlink r:id="rId1442" ref="J745"/>
    <hyperlink r:id="rId1443" ref="H746"/>
    <hyperlink r:id="rId1444" ref="I746"/>
    <hyperlink r:id="rId1445" ref="H747"/>
    <hyperlink r:id="rId1446" ref="I747"/>
    <hyperlink r:id="rId1447" ref="J747"/>
    <hyperlink r:id="rId1448" ref="H748"/>
    <hyperlink r:id="rId1449" ref="I748"/>
    <hyperlink r:id="rId1450" ref="H749"/>
    <hyperlink r:id="rId1451" ref="I749"/>
    <hyperlink r:id="rId1452" ref="H750"/>
    <hyperlink r:id="rId1453" ref="J750"/>
    <hyperlink r:id="rId1454" ref="H751"/>
    <hyperlink r:id="rId1455" ref="I751"/>
    <hyperlink r:id="rId1456" ref="H752"/>
    <hyperlink r:id="rId1457" ref="I752"/>
    <hyperlink r:id="rId1458" ref="H753"/>
    <hyperlink r:id="rId1459" ref="I753"/>
    <hyperlink r:id="rId1460" ref="H754"/>
    <hyperlink r:id="rId1461" ref="H755"/>
    <hyperlink r:id="rId1462" ref="H756"/>
    <hyperlink r:id="rId1463" ref="I756"/>
    <hyperlink r:id="rId1464" ref="H757"/>
    <hyperlink r:id="rId1465" ref="I757"/>
    <hyperlink r:id="rId1466" ref="H758"/>
    <hyperlink r:id="rId1467" ref="I758"/>
    <hyperlink r:id="rId1468" ref="I759"/>
    <hyperlink r:id="rId1469" ref="H760"/>
    <hyperlink r:id="rId1470" ref="H761"/>
    <hyperlink r:id="rId1471" ref="I761"/>
    <hyperlink r:id="rId1472" ref="H762"/>
    <hyperlink r:id="rId1473" ref="I762"/>
    <hyperlink r:id="rId1474" ref="H763"/>
    <hyperlink r:id="rId1475" ref="H764"/>
    <hyperlink r:id="rId1476" ref="H765"/>
    <hyperlink r:id="rId1477" ref="H766"/>
    <hyperlink r:id="rId1478" ref="H767"/>
    <hyperlink r:id="rId1479" ref="I767"/>
    <hyperlink r:id="rId1480" ref="H768"/>
    <hyperlink r:id="rId1481" ref="I768"/>
    <hyperlink r:id="rId1482" ref="H769"/>
    <hyperlink r:id="rId1483" ref="I769"/>
    <hyperlink r:id="rId1484" ref="H770"/>
    <hyperlink r:id="rId1485" ref="I770"/>
    <hyperlink r:id="rId1486" ref="H771"/>
    <hyperlink r:id="rId1487" ref="I771"/>
    <hyperlink r:id="rId1488" ref="H772"/>
    <hyperlink r:id="rId1489" ref="I772"/>
    <hyperlink r:id="rId1490" ref="H773"/>
    <hyperlink r:id="rId1491" ref="I773"/>
    <hyperlink r:id="rId1492" ref="H774"/>
    <hyperlink r:id="rId1493" ref="I774"/>
    <hyperlink r:id="rId1494" ref="H775"/>
    <hyperlink r:id="rId1495" ref="I775"/>
    <hyperlink r:id="rId1496" ref="H776"/>
    <hyperlink r:id="rId1497" ref="I776"/>
    <hyperlink r:id="rId1498" ref="J776"/>
    <hyperlink r:id="rId1499" ref="H777"/>
    <hyperlink r:id="rId1500" ref="I777"/>
    <hyperlink r:id="rId1501" ref="H778"/>
    <hyperlink r:id="rId1502" ref="I778"/>
    <hyperlink r:id="rId1503" ref="H779"/>
    <hyperlink r:id="rId1504" ref="I779"/>
    <hyperlink r:id="rId1505" ref="J779"/>
    <hyperlink r:id="rId1506" ref="H780"/>
    <hyperlink r:id="rId1507" ref="I780"/>
    <hyperlink r:id="rId1508" ref="H781"/>
    <hyperlink r:id="rId1509" ref="I781"/>
    <hyperlink r:id="rId1510" ref="J781"/>
    <hyperlink r:id="rId1511" ref="I782"/>
    <hyperlink r:id="rId1512" ref="H783"/>
    <hyperlink r:id="rId1513" ref="I783"/>
    <hyperlink r:id="rId1514" ref="J783"/>
    <hyperlink r:id="rId1515" ref="I784"/>
    <hyperlink r:id="rId1516" ref="H785"/>
    <hyperlink r:id="rId1517" ref="I785"/>
    <hyperlink r:id="rId1518" ref="H786"/>
    <hyperlink r:id="rId1519" ref="I786"/>
    <hyperlink r:id="rId1520" ref="J786"/>
    <hyperlink r:id="rId1521" ref="I787"/>
    <hyperlink r:id="rId1522" ref="H788"/>
    <hyperlink r:id="rId1523" ref="I788"/>
    <hyperlink r:id="rId1524" ref="J788"/>
    <hyperlink r:id="rId1525" ref="H789"/>
    <hyperlink r:id="rId1526" ref="I789"/>
    <hyperlink r:id="rId1527" ref="H790"/>
    <hyperlink r:id="rId1528" ref="I790"/>
    <hyperlink r:id="rId1529" ref="J790"/>
    <hyperlink r:id="rId1530" ref="H791"/>
    <hyperlink r:id="rId1531" ref="I791"/>
    <hyperlink r:id="rId1532" ref="H792"/>
    <hyperlink r:id="rId1533" ref="I792"/>
    <hyperlink r:id="rId1534" ref="J792"/>
    <hyperlink r:id="rId1535" ref="H793"/>
    <hyperlink r:id="rId1536" ref="I793"/>
    <hyperlink r:id="rId1537" ref="H794"/>
    <hyperlink r:id="rId1538" ref="I794"/>
    <hyperlink r:id="rId1539" ref="J794"/>
    <hyperlink r:id="rId1540" ref="H795"/>
    <hyperlink r:id="rId1541" ref="I795"/>
    <hyperlink r:id="rId1542" ref="H796"/>
    <hyperlink r:id="rId1543" ref="I796"/>
    <hyperlink r:id="rId1544" ref="H797"/>
    <hyperlink r:id="rId1545" ref="I797"/>
    <hyperlink r:id="rId1546" ref="J797"/>
    <hyperlink r:id="rId1547" ref="H798"/>
    <hyperlink r:id="rId1548" ref="I798"/>
    <hyperlink r:id="rId1549" ref="H799"/>
    <hyperlink r:id="rId1550" ref="I799"/>
    <hyperlink r:id="rId1551" ref="H800"/>
    <hyperlink r:id="rId1552" ref="J800"/>
    <hyperlink r:id="rId1553" ref="H801"/>
    <hyperlink r:id="rId1554" ref="I801"/>
    <hyperlink r:id="rId1555" ref="H802"/>
    <hyperlink r:id="rId1556" ref="I802"/>
    <hyperlink r:id="rId1557" ref="H803"/>
    <hyperlink r:id="rId1558" ref="I803"/>
    <hyperlink r:id="rId1559" ref="H804"/>
    <hyperlink r:id="rId1560" ref="J804"/>
    <hyperlink r:id="rId1561" ref="H805"/>
    <hyperlink r:id="rId1562" ref="I805"/>
    <hyperlink r:id="rId1563" ref="H806"/>
    <hyperlink r:id="rId1564" ref="I806"/>
    <hyperlink r:id="rId1565" ref="H807"/>
    <hyperlink r:id="rId1566" ref="I807"/>
    <hyperlink r:id="rId1567" ref="H808"/>
    <hyperlink r:id="rId1568" ref="I808"/>
    <hyperlink r:id="rId1569" ref="H809"/>
    <hyperlink r:id="rId1570" ref="I809"/>
    <hyperlink r:id="rId1571" ref="H810"/>
    <hyperlink r:id="rId1572" ref="I810"/>
    <hyperlink r:id="rId1573" ref="H811"/>
    <hyperlink r:id="rId1574" ref="I811"/>
    <hyperlink r:id="rId1575" ref="H812"/>
    <hyperlink r:id="rId1576" ref="H813"/>
    <hyperlink r:id="rId1577" ref="H814"/>
    <hyperlink r:id="rId1578" ref="H815"/>
    <hyperlink r:id="rId1579" ref="H816"/>
    <hyperlink r:id="rId1580" ref="I816"/>
    <hyperlink r:id="rId1581" ref="H817"/>
    <hyperlink r:id="rId1582" ref="I817"/>
    <hyperlink r:id="rId1583" ref="H818"/>
    <hyperlink r:id="rId1584" ref="H819"/>
    <hyperlink r:id="rId1585" ref="H820"/>
    <hyperlink r:id="rId1586" ref="I820"/>
    <hyperlink r:id="rId1587" ref="H821"/>
    <hyperlink r:id="rId1588" ref="I821"/>
    <hyperlink r:id="rId1589" ref="H822"/>
    <hyperlink r:id="rId1590" ref="H823"/>
    <hyperlink r:id="rId1591" ref="I823"/>
    <hyperlink r:id="rId1592" ref="H824"/>
    <hyperlink r:id="rId1593" ref="I824"/>
    <hyperlink r:id="rId1594" ref="H825"/>
    <hyperlink r:id="rId1595" ref="H826"/>
    <hyperlink r:id="rId1596" ref="H827"/>
    <hyperlink r:id="rId1597" ref="H828"/>
    <hyperlink r:id="rId1598" ref="I828"/>
    <hyperlink r:id="rId1599" ref="H829"/>
    <hyperlink r:id="rId1600" ref="I829"/>
    <hyperlink r:id="rId1601" ref="H830"/>
    <hyperlink r:id="rId1602" ref="I830"/>
    <hyperlink r:id="rId1603" ref="J830"/>
    <hyperlink r:id="rId1604" ref="H831"/>
    <hyperlink r:id="rId1605" ref="I831"/>
    <hyperlink r:id="rId1606" ref="H832"/>
    <hyperlink r:id="rId1607" ref="I832"/>
    <hyperlink r:id="rId1608" ref="H833"/>
    <hyperlink r:id="rId1609" ref="I833"/>
    <hyperlink r:id="rId1610" ref="J833"/>
    <hyperlink r:id="rId1611" ref="H834"/>
    <hyperlink r:id="rId1612" ref="I834"/>
    <hyperlink r:id="rId1613" ref="J834"/>
    <hyperlink r:id="rId1614" ref="H835"/>
    <hyperlink r:id="rId1615" ref="I835"/>
    <hyperlink r:id="rId1616" ref="H836"/>
    <hyperlink r:id="rId1617" ref="I836"/>
    <hyperlink r:id="rId1618" ref="J836"/>
    <hyperlink r:id="rId1619" ref="H837"/>
    <hyperlink r:id="rId1620" ref="I837"/>
    <hyperlink r:id="rId1621" ref="J837"/>
    <hyperlink r:id="rId1622" ref="H838"/>
    <hyperlink r:id="rId1623" ref="H839"/>
    <hyperlink r:id="rId1624" ref="I839"/>
    <hyperlink r:id="rId1625" ref="H840"/>
    <hyperlink r:id="rId1626" ref="I840"/>
    <hyperlink r:id="rId1627" ref="J840"/>
    <hyperlink r:id="rId1628" ref="H841"/>
    <hyperlink r:id="rId1629" ref="I841"/>
    <hyperlink r:id="rId1630" ref="H842"/>
    <hyperlink r:id="rId1631" ref="I842"/>
    <hyperlink r:id="rId1632" ref="J842"/>
    <hyperlink r:id="rId1633" ref="H843"/>
    <hyperlink r:id="rId1634" ref="I843"/>
    <hyperlink r:id="rId1635" ref="J843"/>
    <hyperlink r:id="rId1636" ref="H844"/>
    <hyperlink r:id="rId1637" ref="I844"/>
    <hyperlink r:id="rId1638" ref="H845"/>
    <hyperlink r:id="rId1639" ref="I845"/>
    <hyperlink r:id="rId1640" ref="H846"/>
    <hyperlink r:id="rId1641" ref="I846"/>
    <hyperlink r:id="rId1642" ref="H847"/>
    <hyperlink r:id="rId1643" ref="I847"/>
    <hyperlink r:id="rId1644" ref="H848"/>
    <hyperlink r:id="rId1645" ref="I848"/>
    <hyperlink r:id="rId1646" ref="J848"/>
    <hyperlink r:id="rId1647" ref="H849"/>
    <hyperlink r:id="rId1648" ref="H850"/>
    <hyperlink r:id="rId1649" ref="I850"/>
    <hyperlink r:id="rId1650" ref="J850"/>
    <hyperlink r:id="rId1651" ref="H851"/>
    <hyperlink r:id="rId1652" ref="I851"/>
    <hyperlink r:id="rId1653" ref="H852"/>
    <hyperlink r:id="rId1654" ref="I852"/>
    <hyperlink r:id="rId1655" ref="J852"/>
    <hyperlink r:id="rId1656" ref="H853"/>
    <hyperlink r:id="rId1657" ref="H854"/>
    <hyperlink r:id="rId1658" ref="H855"/>
    <hyperlink r:id="rId1659" ref="J855"/>
    <hyperlink r:id="rId1660" ref="H856"/>
    <hyperlink r:id="rId1661" ref="I856"/>
    <hyperlink r:id="rId1662" ref="J856"/>
    <hyperlink r:id="rId1663" ref="H857"/>
    <hyperlink r:id="rId1664" ref="I857"/>
    <hyperlink r:id="rId1665" ref="H858"/>
    <hyperlink r:id="rId1666" ref="I858"/>
    <hyperlink r:id="rId1667" ref="J858"/>
    <hyperlink r:id="rId1668" ref="H859"/>
    <hyperlink r:id="rId1669" ref="I859"/>
    <hyperlink r:id="rId1670" ref="H860"/>
    <hyperlink r:id="rId1671" ref="H861"/>
    <hyperlink r:id="rId1672" ref="I861"/>
    <hyperlink r:id="rId1673" ref="H862"/>
    <hyperlink r:id="rId1674" ref="H863"/>
    <hyperlink r:id="rId1675" ref="I863"/>
    <hyperlink r:id="rId1676" ref="H864"/>
    <hyperlink r:id="rId1677" ref="I864"/>
    <hyperlink r:id="rId1678" ref="H865"/>
    <hyperlink r:id="rId1679" ref="H866"/>
    <hyperlink r:id="rId1680" ref="I866"/>
    <hyperlink r:id="rId1681" ref="H867"/>
    <hyperlink r:id="rId1682" ref="H868"/>
    <hyperlink r:id="rId1683" ref="I868"/>
    <hyperlink r:id="rId1684" ref="H869"/>
    <hyperlink r:id="rId1685" ref="I869"/>
    <hyperlink r:id="rId1686" ref="H870"/>
    <hyperlink r:id="rId1687" ref="I870"/>
    <hyperlink r:id="rId1688" ref="H871"/>
    <hyperlink r:id="rId1689" ref="H872"/>
    <hyperlink r:id="rId1690" ref="H873"/>
    <hyperlink r:id="rId1691" ref="I873"/>
    <hyperlink r:id="rId1692" ref="H874"/>
    <hyperlink r:id="rId1693" ref="H875"/>
    <hyperlink r:id="rId1694" ref="I875"/>
    <hyperlink r:id="rId1695" ref="H876"/>
    <hyperlink r:id="rId1696" ref="H877"/>
    <hyperlink r:id="rId1697" ref="H878"/>
    <hyperlink r:id="rId1698" ref="I878"/>
    <hyperlink r:id="rId1699" ref="H879"/>
    <hyperlink r:id="rId1700" ref="I879"/>
    <hyperlink r:id="rId1701" ref="H880"/>
    <hyperlink r:id="rId1702" ref="I880"/>
    <hyperlink r:id="rId1703" ref="H881"/>
    <hyperlink r:id="rId1704" ref="I882"/>
    <hyperlink r:id="rId1705" ref="H883"/>
    <hyperlink r:id="rId1706" ref="I883"/>
    <hyperlink r:id="rId1707" ref="J883"/>
    <hyperlink r:id="rId1708" ref="H884"/>
    <hyperlink r:id="rId1709" ref="I884"/>
    <hyperlink r:id="rId1710" ref="H885"/>
    <hyperlink r:id="rId1711" ref="I885"/>
    <hyperlink r:id="rId1712" ref="H886"/>
    <hyperlink r:id="rId1713" ref="H887"/>
    <hyperlink r:id="rId1714" ref="I887"/>
    <hyperlink r:id="rId1715" ref="H888"/>
    <hyperlink r:id="rId1716" ref="I888"/>
    <hyperlink r:id="rId1717" ref="J888"/>
    <hyperlink r:id="rId1718" ref="H889"/>
    <hyperlink r:id="rId1719" ref="I889"/>
    <hyperlink r:id="rId1720" ref="H890"/>
    <hyperlink r:id="rId1721" ref="I890"/>
    <hyperlink r:id="rId1722" ref="H891"/>
    <hyperlink r:id="rId1723" ref="I891"/>
    <hyperlink r:id="rId1724" ref="J891"/>
    <hyperlink r:id="rId1725" ref="H892"/>
    <hyperlink r:id="rId1726" ref="I892"/>
    <hyperlink r:id="rId1727" ref="H893"/>
    <hyperlink r:id="rId1728" ref="I893"/>
    <hyperlink r:id="rId1729" ref="H894"/>
    <hyperlink r:id="rId1730" ref="I894"/>
    <hyperlink r:id="rId1731" ref="J894"/>
    <hyperlink r:id="rId1732" ref="I895"/>
    <hyperlink r:id="rId1733" ref="H896"/>
    <hyperlink r:id="rId1734" ref="I896"/>
    <hyperlink r:id="rId1735" ref="H897"/>
    <hyperlink r:id="rId1736" ref="I897"/>
    <hyperlink r:id="rId1737" ref="H898"/>
    <hyperlink r:id="rId1738" ref="I898"/>
    <hyperlink r:id="rId1739" ref="J898"/>
    <hyperlink r:id="rId1740" ref="H899"/>
    <hyperlink r:id="rId1741" ref="I899"/>
    <hyperlink r:id="rId1742" ref="J899"/>
    <hyperlink r:id="rId1743" ref="I900"/>
    <hyperlink r:id="rId1744" ref="H901"/>
    <hyperlink r:id="rId1745" ref="I901"/>
    <hyperlink r:id="rId1746" ref="J901"/>
    <hyperlink r:id="rId1747" ref="H902"/>
    <hyperlink r:id="rId1748" ref="I902"/>
    <hyperlink r:id="rId1749" ref="H903"/>
    <hyperlink r:id="rId1750" ref="I903"/>
    <hyperlink r:id="rId1751" ref="J903"/>
    <hyperlink r:id="rId1752" ref="H904"/>
    <hyperlink r:id="rId1753" ref="I904"/>
    <hyperlink r:id="rId1754" ref="H905"/>
    <hyperlink r:id="rId1755" ref="I905"/>
    <hyperlink r:id="rId1756" ref="J905"/>
    <hyperlink r:id="rId1757" ref="H906"/>
    <hyperlink r:id="rId1758" ref="I906"/>
    <hyperlink r:id="rId1759" ref="J906"/>
    <hyperlink r:id="rId1760" ref="H907"/>
    <hyperlink r:id="rId1761" ref="I907"/>
    <hyperlink r:id="rId1762" ref="J907"/>
    <hyperlink r:id="rId1763" ref="I908"/>
    <hyperlink r:id="rId1764" ref="J908"/>
    <hyperlink r:id="rId1765" ref="H909"/>
    <hyperlink r:id="rId1766" ref="I909"/>
    <hyperlink r:id="rId1767" ref="H910"/>
    <hyperlink r:id="rId1768" ref="I910"/>
    <hyperlink r:id="rId1769" ref="H911"/>
    <hyperlink r:id="rId1770" ref="I911"/>
    <hyperlink r:id="rId1771" ref="J911"/>
    <hyperlink r:id="rId1772" ref="H912"/>
    <hyperlink r:id="rId1773" ref="I912"/>
    <hyperlink r:id="rId1774" ref="J912"/>
    <hyperlink r:id="rId1775" ref="H913"/>
    <hyperlink r:id="rId1776" ref="I913"/>
    <hyperlink r:id="rId1777" ref="H914"/>
    <hyperlink r:id="rId1778" ref="I914"/>
    <hyperlink r:id="rId1779" ref="H915"/>
    <hyperlink r:id="rId1780" ref="I915"/>
    <hyperlink r:id="rId1781" ref="I916"/>
    <hyperlink r:id="rId1782" ref="H917"/>
    <hyperlink r:id="rId1783" ref="H918"/>
    <hyperlink r:id="rId1784" ref="I918"/>
    <hyperlink r:id="rId1785" ref="H919"/>
    <hyperlink r:id="rId1786" ref="I919"/>
    <hyperlink r:id="rId1787" ref="H920"/>
    <hyperlink r:id="rId1788" ref="I920"/>
    <hyperlink r:id="rId1789" ref="H921"/>
    <hyperlink r:id="rId1790" ref="I921"/>
    <hyperlink r:id="rId1791" ref="H922"/>
    <hyperlink r:id="rId1792" ref="I922"/>
    <hyperlink r:id="rId1793" ref="H923"/>
    <hyperlink r:id="rId1794" ref="I923"/>
    <hyperlink r:id="rId1795" ref="J923"/>
    <hyperlink r:id="rId1796" ref="H924"/>
    <hyperlink r:id="rId1797" ref="I924"/>
    <hyperlink r:id="rId1798" ref="J924"/>
    <hyperlink r:id="rId1799" ref="H925"/>
    <hyperlink r:id="rId1800" ref="I925"/>
    <hyperlink r:id="rId1801" ref="H926"/>
    <hyperlink r:id="rId1802" ref="I926"/>
    <hyperlink r:id="rId1803" ref="J926"/>
    <hyperlink r:id="rId1804" ref="H927"/>
    <hyperlink r:id="rId1805" ref="I927"/>
    <hyperlink r:id="rId1806" ref="J927"/>
    <hyperlink r:id="rId1807" ref="H928"/>
    <hyperlink r:id="rId1808" ref="I928"/>
    <hyperlink r:id="rId1809" ref="J928"/>
    <hyperlink r:id="rId1810" ref="H929"/>
    <hyperlink r:id="rId1811" ref="I929"/>
    <hyperlink r:id="rId1812" ref="H930"/>
    <hyperlink r:id="rId1813" ref="I930"/>
    <hyperlink r:id="rId1814" ref="J930"/>
    <hyperlink r:id="rId1815" ref="H931"/>
    <hyperlink r:id="rId1816" ref="I931"/>
    <hyperlink r:id="rId1817" ref="H932"/>
    <hyperlink r:id="rId1818" ref="I932"/>
    <hyperlink r:id="rId1819" ref="H933"/>
    <hyperlink r:id="rId1820" ref="I933"/>
    <hyperlink r:id="rId1821" ref="J933"/>
    <hyperlink r:id="rId1822" ref="H934"/>
    <hyperlink r:id="rId1823" ref="I934"/>
    <hyperlink r:id="rId1824" ref="H935"/>
    <hyperlink r:id="rId1825" ref="I935"/>
    <hyperlink r:id="rId1826" ref="H936"/>
    <hyperlink r:id="rId1827" ref="I936"/>
    <hyperlink r:id="rId1828" ref="J936"/>
    <hyperlink r:id="rId1829" ref="H937"/>
    <hyperlink r:id="rId1830" ref="I937"/>
    <hyperlink r:id="rId1831" ref="H938"/>
    <hyperlink r:id="rId1832" ref="I938"/>
    <hyperlink r:id="rId1833" ref="J938"/>
    <hyperlink r:id="rId1834" ref="H939"/>
    <hyperlink r:id="rId1835" ref="I939"/>
    <hyperlink r:id="rId1836" ref="J939"/>
    <hyperlink r:id="rId1837" ref="H940"/>
    <hyperlink r:id="rId1838" ref="I940"/>
    <hyperlink r:id="rId1839" ref="J940"/>
    <hyperlink r:id="rId1840" ref="H941"/>
    <hyperlink r:id="rId1841" ref="I941"/>
    <hyperlink r:id="rId1842" ref="J941"/>
    <hyperlink r:id="rId1843" ref="H942"/>
    <hyperlink r:id="rId1844" ref="I942"/>
    <hyperlink r:id="rId1845" ref="H943"/>
    <hyperlink r:id="rId1846" ref="H944"/>
    <hyperlink r:id="rId1847" ref="I944"/>
    <hyperlink r:id="rId1848" ref="H945"/>
    <hyperlink r:id="rId1849" ref="H946"/>
    <hyperlink r:id="rId1850" ref="I946"/>
    <hyperlink r:id="rId1851" ref="H947"/>
    <hyperlink r:id="rId1852" ref="I947"/>
    <hyperlink r:id="rId1853" ref="H948"/>
    <hyperlink r:id="rId1854" ref="I948"/>
    <hyperlink r:id="rId1855" ref="H949"/>
    <hyperlink r:id="rId1856" ref="I949"/>
    <hyperlink r:id="rId1857" ref="H950"/>
    <hyperlink r:id="rId1858" ref="H951"/>
    <hyperlink r:id="rId1859" ref="H952"/>
    <hyperlink r:id="rId1860" ref="I952"/>
    <hyperlink r:id="rId1861" ref="H953"/>
    <hyperlink r:id="rId1862" ref="H954"/>
    <hyperlink r:id="rId1863" ref="H955"/>
    <hyperlink r:id="rId1864" ref="H956"/>
    <hyperlink r:id="rId1865" ref="H957"/>
    <hyperlink r:id="rId1866" ref="I957"/>
    <hyperlink r:id="rId1867" ref="H958"/>
    <hyperlink r:id="rId1868" ref="I958"/>
    <hyperlink r:id="rId1869" ref="H959"/>
    <hyperlink r:id="rId1870" ref="H960"/>
    <hyperlink r:id="rId1871" ref="H961"/>
    <hyperlink r:id="rId1872" ref="H962"/>
    <hyperlink r:id="rId1873" ref="H963"/>
    <hyperlink r:id="rId1874" ref="I963"/>
    <hyperlink r:id="rId1875" ref="H964"/>
    <hyperlink r:id="rId1876" ref="I964"/>
    <hyperlink r:id="rId1877" ref="H965"/>
    <hyperlink r:id="rId1878" ref="I965"/>
    <hyperlink r:id="rId1879" ref="H966"/>
    <hyperlink r:id="rId1880" ref="I966"/>
    <hyperlink r:id="rId1881" ref="J966"/>
    <hyperlink r:id="rId1882" ref="H967"/>
    <hyperlink r:id="rId1883" ref="I967"/>
    <hyperlink r:id="rId1884" ref="H968"/>
    <hyperlink r:id="rId1885" ref="I968"/>
    <hyperlink r:id="rId1886" ref="J968"/>
    <hyperlink r:id="rId1887" ref="H969"/>
    <hyperlink r:id="rId1888" ref="I969"/>
    <hyperlink r:id="rId1889" ref="H970"/>
    <hyperlink r:id="rId1890" ref="I970"/>
    <hyperlink r:id="rId1891" ref="I971"/>
    <hyperlink r:id="rId1892" ref="H972"/>
    <hyperlink r:id="rId1893" ref="I972"/>
    <hyperlink r:id="rId1894" ref="H973"/>
    <hyperlink r:id="rId1895" ref="I973"/>
    <hyperlink r:id="rId1896" ref="H974"/>
    <hyperlink r:id="rId1897" ref="I974"/>
    <hyperlink r:id="rId1898" ref="J974"/>
    <hyperlink r:id="rId1899" ref="H975"/>
    <hyperlink r:id="rId1900" ref="I975"/>
    <hyperlink r:id="rId1901" ref="I976"/>
    <hyperlink r:id="rId1902" ref="H977"/>
    <hyperlink r:id="rId1903" ref="I977"/>
    <hyperlink r:id="rId1904" ref="J977"/>
    <hyperlink r:id="rId1905" ref="H978"/>
    <hyperlink r:id="rId1906" ref="I978"/>
    <hyperlink r:id="rId1907" ref="H979"/>
    <hyperlink r:id="rId1908" ref="I979"/>
    <hyperlink r:id="rId1909" ref="H980"/>
    <hyperlink r:id="rId1910" ref="I980"/>
    <hyperlink r:id="rId1911" ref="J980"/>
    <hyperlink r:id="rId1912" ref="H981"/>
    <hyperlink r:id="rId1913" ref="I981"/>
    <hyperlink r:id="rId1914" ref="H982"/>
    <hyperlink r:id="rId1915" ref="H983"/>
    <hyperlink r:id="rId1916" ref="I983"/>
    <hyperlink r:id="rId1917" ref="H984"/>
    <hyperlink r:id="rId1918" ref="I984"/>
    <hyperlink r:id="rId1919" ref="H985"/>
    <hyperlink r:id="rId1920" ref="I985"/>
    <hyperlink r:id="rId1921" ref="H986"/>
    <hyperlink r:id="rId1922" ref="I986"/>
    <hyperlink r:id="rId1923" ref="H987"/>
    <hyperlink r:id="rId1924" ref="I987"/>
    <hyperlink r:id="rId1925" ref="H988"/>
    <hyperlink r:id="rId1926" ref="I988"/>
    <hyperlink r:id="rId1927" ref="H989"/>
    <hyperlink r:id="rId1928" ref="I989"/>
    <hyperlink r:id="rId1929" ref="H990"/>
    <hyperlink r:id="rId1930" ref="H991"/>
    <hyperlink r:id="rId1931" ref="I991"/>
    <hyperlink r:id="rId1932" ref="J991"/>
    <hyperlink r:id="rId1933" ref="H992"/>
    <hyperlink r:id="rId1934" ref="I992"/>
    <hyperlink r:id="rId1935" ref="H993"/>
    <hyperlink r:id="rId1936" ref="I993"/>
    <hyperlink r:id="rId1937" ref="H994"/>
    <hyperlink r:id="rId1938" ref="I994"/>
    <hyperlink r:id="rId1939" ref="J994"/>
    <hyperlink r:id="rId1940" ref="H995"/>
    <hyperlink r:id="rId1941" ref="I995"/>
    <hyperlink r:id="rId1942" ref="J995"/>
    <hyperlink r:id="rId1943" ref="H996"/>
    <hyperlink r:id="rId1944" ref="J996"/>
    <hyperlink r:id="rId1945" ref="H997"/>
    <hyperlink r:id="rId1946" ref="I997"/>
    <hyperlink r:id="rId1947" ref="H998"/>
    <hyperlink r:id="rId1948" ref="H999"/>
    <hyperlink r:id="rId1949" ref="I999"/>
    <hyperlink r:id="rId1950" ref="H1000"/>
    <hyperlink r:id="rId1951" ref="H1001"/>
    <hyperlink r:id="rId1952" ref="H1002"/>
    <hyperlink r:id="rId1953" ref="I1002"/>
    <hyperlink r:id="rId1954" ref="H1003"/>
    <hyperlink r:id="rId1955" ref="I1003"/>
    <hyperlink r:id="rId1956" ref="H1004"/>
    <hyperlink r:id="rId1957" ref="H1005"/>
    <hyperlink r:id="rId1958" ref="H1006"/>
    <hyperlink r:id="rId1959" ref="I1006"/>
    <hyperlink r:id="rId1960" ref="H1007"/>
    <hyperlink r:id="rId1961" ref="I1007"/>
    <hyperlink r:id="rId1962" ref="H1008"/>
    <hyperlink r:id="rId1963" ref="H1009"/>
    <hyperlink r:id="rId1964" ref="I1009"/>
    <hyperlink r:id="rId1965" ref="J1009"/>
    <hyperlink r:id="rId1966" ref="H1010"/>
    <hyperlink r:id="rId1967" ref="I1010"/>
    <hyperlink r:id="rId1968" ref="H1011"/>
    <hyperlink r:id="rId1969" ref="I1011"/>
    <hyperlink r:id="rId1970" ref="J1011"/>
    <hyperlink r:id="rId1971" ref="H1012"/>
    <hyperlink r:id="rId1972" ref="I1012"/>
    <hyperlink r:id="rId1973" ref="H1013"/>
    <hyperlink r:id="rId1974" ref="I1013"/>
    <hyperlink r:id="rId1975" ref="H1014"/>
    <hyperlink r:id="rId1976" ref="I1014"/>
    <hyperlink r:id="rId1977" ref="J1014"/>
    <hyperlink r:id="rId1978" ref="H1015"/>
    <hyperlink r:id="rId1979" ref="I1015"/>
    <hyperlink r:id="rId1980" ref="H1016"/>
    <hyperlink r:id="rId1981" ref="I1016"/>
    <hyperlink r:id="rId1982" ref="J1016"/>
    <hyperlink r:id="rId1983" ref="H1017"/>
    <hyperlink r:id="rId1984" ref="I1017"/>
    <hyperlink r:id="rId1985" ref="H1018"/>
    <hyperlink r:id="rId1986" ref="I1018"/>
    <hyperlink r:id="rId1987" ref="H1019"/>
    <hyperlink r:id="rId1988" ref="I1019"/>
    <hyperlink r:id="rId1989" ref="H1020"/>
    <hyperlink r:id="rId1990" ref="I1020"/>
    <hyperlink r:id="rId1991" ref="H1021"/>
    <hyperlink r:id="rId1992" ref="I1021"/>
    <hyperlink r:id="rId1993" ref="H1022"/>
    <hyperlink r:id="rId1994" ref="I1022"/>
    <hyperlink r:id="rId1995" ref="J1022"/>
    <hyperlink r:id="rId1996" ref="H1023"/>
    <hyperlink r:id="rId1997" ref="I1023"/>
    <hyperlink r:id="rId1998" ref="J1023"/>
    <hyperlink r:id="rId1999" ref="H1024"/>
    <hyperlink r:id="rId2000" ref="I1024"/>
    <hyperlink r:id="rId2001" ref="J1024"/>
    <hyperlink r:id="rId2002" ref="H1025"/>
    <hyperlink r:id="rId2003" ref="I1025"/>
    <hyperlink r:id="rId2004" ref="H1026"/>
    <hyperlink r:id="rId2005" ref="I1026"/>
    <hyperlink r:id="rId2006" ref="J1026"/>
    <hyperlink r:id="rId2007" ref="H1027"/>
    <hyperlink r:id="rId2008" ref="I1027"/>
    <hyperlink r:id="rId2009" ref="H1028"/>
    <hyperlink r:id="rId2010" ref="H1029"/>
    <hyperlink r:id="rId2011" ref="I1029"/>
    <hyperlink r:id="rId2012" ref="J1029"/>
    <hyperlink r:id="rId2013" ref="H1030"/>
    <hyperlink r:id="rId2014" ref="I1030"/>
    <hyperlink r:id="rId2015" ref="H1031"/>
    <hyperlink r:id="rId2016" ref="I1031"/>
    <hyperlink r:id="rId2017" ref="J1031"/>
    <hyperlink r:id="rId2018" ref="H1032"/>
    <hyperlink r:id="rId2019" ref="I1032"/>
    <hyperlink r:id="rId2020" ref="H1033"/>
    <hyperlink r:id="rId2021" ref="I1033"/>
    <hyperlink r:id="rId2022" ref="H1034"/>
    <hyperlink r:id="rId2023" ref="I1034"/>
    <hyperlink r:id="rId2024" ref="J1034"/>
    <hyperlink r:id="rId2025" ref="H1035"/>
    <hyperlink r:id="rId2026" ref="I1035"/>
    <hyperlink r:id="rId2027" ref="J1035"/>
    <hyperlink r:id="rId2028" ref="H1036"/>
    <hyperlink r:id="rId2029" ref="I1036"/>
    <hyperlink r:id="rId2030" ref="H1037"/>
    <hyperlink r:id="rId2031" ref="I1037"/>
    <hyperlink r:id="rId2032" ref="H1038"/>
    <hyperlink r:id="rId2033" ref="I1038"/>
    <hyperlink r:id="rId2034" ref="H1039"/>
    <hyperlink r:id="rId2035" ref="I1039"/>
    <hyperlink r:id="rId2036" ref="H1040"/>
    <hyperlink r:id="rId2037" ref="I1040"/>
    <hyperlink r:id="rId2038" ref="H1041"/>
    <hyperlink r:id="rId2039" ref="H1042"/>
    <hyperlink r:id="rId2040" ref="H1043"/>
    <hyperlink r:id="rId2041" ref="I1043"/>
    <hyperlink r:id="rId2042" ref="H1044"/>
    <hyperlink r:id="rId2043" ref="I1044"/>
    <hyperlink r:id="rId2044" ref="H1045"/>
    <hyperlink r:id="rId2045" ref="I1045"/>
    <hyperlink r:id="rId2046" ref="H1046"/>
    <hyperlink r:id="rId2047" ref="I1046"/>
    <hyperlink r:id="rId2048" ref="H1047"/>
    <hyperlink r:id="rId2049" ref="I1047"/>
    <hyperlink r:id="rId2050" ref="H1048"/>
    <hyperlink r:id="rId2051" ref="I1048"/>
    <hyperlink r:id="rId2052" ref="H1049"/>
    <hyperlink r:id="rId2053" ref="I1049"/>
    <hyperlink r:id="rId2054" ref="J1049"/>
    <hyperlink r:id="rId2055" ref="H1050"/>
    <hyperlink r:id="rId2056" ref="I1050"/>
    <hyperlink r:id="rId2057" ref="H1051"/>
    <hyperlink r:id="rId2058" ref="I1051"/>
    <hyperlink r:id="rId2059" ref="H1052"/>
    <hyperlink r:id="rId2060" ref="I1052"/>
    <hyperlink r:id="rId2061" ref="J1052"/>
    <hyperlink r:id="rId2062" ref="H1053"/>
    <hyperlink r:id="rId2063" ref="I1053"/>
    <hyperlink r:id="rId2064" ref="J1053"/>
    <hyperlink r:id="rId2065" ref="I1054"/>
    <hyperlink r:id="rId2066" ref="H1055"/>
    <hyperlink r:id="rId2067" ref="I1055"/>
    <hyperlink r:id="rId2068" ref="J1055"/>
    <hyperlink r:id="rId2069" ref="I1056"/>
    <hyperlink r:id="rId2070" ref="J1056"/>
    <hyperlink r:id="rId2071" ref="H1057"/>
    <hyperlink r:id="rId2072" ref="I1057"/>
    <hyperlink r:id="rId2073" ref="J1057"/>
    <hyperlink r:id="rId2074" ref="H1058"/>
    <hyperlink r:id="rId2075" ref="I1058"/>
    <hyperlink r:id="rId2076" ref="J1058"/>
    <hyperlink r:id="rId2077" ref="I1059"/>
    <hyperlink r:id="rId2078" ref="H1060"/>
    <hyperlink r:id="rId2079" ref="I1060"/>
    <hyperlink r:id="rId2080" ref="H1061"/>
    <hyperlink r:id="rId2081" ref="I1061"/>
    <hyperlink r:id="rId2082" ref="H1062"/>
    <hyperlink r:id="rId2083" ref="I1062"/>
    <hyperlink r:id="rId2084" ref="H1063"/>
    <hyperlink r:id="rId2085" ref="I1063"/>
    <hyperlink r:id="rId2086" ref="J1063"/>
    <hyperlink r:id="rId2087" ref="H1064"/>
    <hyperlink r:id="rId2088" ref="I1064"/>
    <hyperlink r:id="rId2089" ref="H1065"/>
    <hyperlink r:id="rId2090" ref="I1065"/>
    <hyperlink r:id="rId2091" ref="H1066"/>
    <hyperlink r:id="rId2092" ref="I1066"/>
    <hyperlink r:id="rId2093" ref="J1066"/>
    <hyperlink r:id="rId2094" ref="H1067"/>
    <hyperlink r:id="rId2095" ref="I1067"/>
    <hyperlink r:id="rId2096" ref="J1067"/>
    <hyperlink r:id="rId2097" ref="H1068"/>
    <hyperlink r:id="rId2098" ref="I1068"/>
    <hyperlink r:id="rId2099" ref="J1068"/>
    <hyperlink r:id="rId2100" ref="H1069"/>
    <hyperlink r:id="rId2101" ref="H1070"/>
    <hyperlink r:id="rId2102" ref="I1070"/>
    <hyperlink r:id="rId2103" ref="H1071"/>
    <hyperlink r:id="rId2104" ref="I1071"/>
    <hyperlink r:id="rId2105" ref="H1072"/>
    <hyperlink r:id="rId2106" ref="I1072"/>
    <hyperlink r:id="rId2107" ref="H1073"/>
    <hyperlink r:id="rId2108" ref="H1074"/>
    <hyperlink r:id="rId2109" ref="I1074"/>
    <hyperlink r:id="rId2110" ref="H1075"/>
    <hyperlink r:id="rId2111" ref="I1075"/>
    <hyperlink r:id="rId2112" ref="J1075"/>
    <hyperlink r:id="rId2113" ref="H1076"/>
    <hyperlink r:id="rId2114" ref="I1076"/>
    <hyperlink r:id="rId2115" ref="H1077"/>
    <hyperlink r:id="rId2116" ref="I1077"/>
    <hyperlink r:id="rId2117" ref="H1078"/>
    <hyperlink r:id="rId2118" ref="I1078"/>
    <hyperlink r:id="rId2119" ref="H1079"/>
    <hyperlink r:id="rId2120" ref="H1080"/>
    <hyperlink r:id="rId2121" ref="I1080"/>
    <hyperlink r:id="rId2122" ref="H1081"/>
    <hyperlink r:id="rId2123" ref="I1081"/>
    <hyperlink r:id="rId2124" ref="H1082"/>
    <hyperlink r:id="rId2125" ref="I1082"/>
    <hyperlink r:id="rId2126" ref="H1083"/>
    <hyperlink r:id="rId2127" ref="I1083"/>
    <hyperlink r:id="rId2128" ref="H1084"/>
    <hyperlink r:id="rId2129" ref="I1084"/>
    <hyperlink r:id="rId2130" ref="J1084"/>
    <hyperlink r:id="rId2131" ref="H1085"/>
    <hyperlink r:id="rId2132" ref="I1085"/>
    <hyperlink r:id="rId2133" ref="H1086"/>
    <hyperlink r:id="rId2134" ref="H1087"/>
    <hyperlink r:id="rId2135" ref="H1088"/>
    <hyperlink r:id="rId2136" ref="H1089"/>
    <hyperlink r:id="rId2137" ref="H1090"/>
    <hyperlink r:id="rId2138" ref="H1091"/>
    <hyperlink r:id="rId2139" ref="I1091"/>
    <hyperlink r:id="rId2140" ref="H1092"/>
    <hyperlink r:id="rId2141" ref="H1093"/>
    <hyperlink r:id="rId2142" ref="H1094"/>
    <hyperlink r:id="rId2143" ref="I1094"/>
    <hyperlink r:id="rId2144" ref="H1095"/>
    <hyperlink r:id="rId2145" ref="I1095"/>
    <hyperlink r:id="rId2146" ref="H1096"/>
    <hyperlink r:id="rId2147" ref="H1097"/>
    <hyperlink r:id="rId2148" ref="I1097"/>
    <hyperlink r:id="rId2149" ref="H1098"/>
    <hyperlink r:id="rId2150" ref="I1098"/>
    <hyperlink r:id="rId2151" ref="H1099"/>
    <hyperlink r:id="rId2152" ref="I1099"/>
    <hyperlink r:id="rId2153" ref="H1100"/>
    <hyperlink r:id="rId2154" ref="I1100"/>
    <hyperlink r:id="rId2155" ref="H1101"/>
    <hyperlink r:id="rId2156" ref="I1101"/>
    <hyperlink r:id="rId2157" ref="H1102"/>
    <hyperlink r:id="rId2158" ref="J1102"/>
    <hyperlink r:id="rId2159" ref="H1103"/>
    <hyperlink r:id="rId2160" ref="I1103"/>
    <hyperlink r:id="rId2161" ref="H1104"/>
    <hyperlink r:id="rId2162" ref="I1104"/>
    <hyperlink r:id="rId2163" ref="H1105"/>
    <hyperlink r:id="rId2164" ref="I1105"/>
    <hyperlink r:id="rId2165" ref="H1106"/>
    <hyperlink r:id="rId2166" ref="I1106"/>
    <hyperlink r:id="rId2167" ref="J1106"/>
    <hyperlink r:id="rId2168" ref="H1107"/>
    <hyperlink r:id="rId2169" ref="J1107"/>
    <hyperlink r:id="rId2170" ref="H1108"/>
    <hyperlink r:id="rId2171" ref="I1108"/>
    <hyperlink r:id="rId2172" ref="H1109"/>
    <hyperlink r:id="rId2173" ref="I1109"/>
    <hyperlink r:id="rId2174" ref="J1109"/>
    <hyperlink r:id="rId2175" ref="H1110"/>
    <hyperlink r:id="rId2176" ref="I1110"/>
    <hyperlink r:id="rId2177" ref="H1111"/>
    <hyperlink r:id="rId2178" ref="I1111"/>
    <hyperlink r:id="rId2179" ref="J1111"/>
    <hyperlink r:id="rId2180" ref="I1112"/>
    <hyperlink r:id="rId2181" ref="H1113"/>
    <hyperlink r:id="rId2182" ref="I1113"/>
    <hyperlink r:id="rId2183" ref="H1114"/>
    <hyperlink r:id="rId2184" ref="I1114"/>
    <hyperlink r:id="rId2185" ref="J1114"/>
    <hyperlink r:id="rId2186" ref="H1115"/>
    <hyperlink r:id="rId2187" ref="I1115"/>
    <hyperlink r:id="rId2188" ref="H1116"/>
    <hyperlink r:id="rId2189" ref="I1116"/>
    <hyperlink r:id="rId2190" ref="H1117"/>
    <hyperlink r:id="rId2191" ref="I1117"/>
    <hyperlink r:id="rId2192" ref="J1117"/>
    <hyperlink r:id="rId2193" ref="H1118"/>
    <hyperlink r:id="rId2194" ref="I1118"/>
    <hyperlink r:id="rId2195" ref="H1119"/>
    <hyperlink r:id="rId2196" ref="I1119"/>
    <hyperlink r:id="rId2197" ref="H1120"/>
    <hyperlink r:id="rId2198" ref="I1120"/>
    <hyperlink r:id="rId2199" ref="H1121"/>
    <hyperlink r:id="rId2200" ref="I1121"/>
    <hyperlink r:id="rId2201" ref="J1121"/>
    <hyperlink r:id="rId2202" ref="H1122"/>
    <hyperlink r:id="rId2203" ref="I1122"/>
    <hyperlink r:id="rId2204" ref="H1123"/>
    <hyperlink r:id="rId2205" ref="I1123"/>
    <hyperlink r:id="rId2206" ref="H1124"/>
    <hyperlink r:id="rId2207" ref="I1124"/>
    <hyperlink r:id="rId2208" ref="H1125"/>
    <hyperlink r:id="rId2209" ref="I1125"/>
    <hyperlink r:id="rId2210" ref="H1126"/>
    <hyperlink r:id="rId2211" ref="I1126"/>
    <hyperlink r:id="rId2212" ref="H1127"/>
    <hyperlink r:id="rId2213" ref="I1127"/>
    <hyperlink r:id="rId2214" ref="H1128"/>
    <hyperlink r:id="rId2215" ref="I1128"/>
    <hyperlink r:id="rId2216" ref="H1129"/>
    <hyperlink r:id="rId2217" ref="I1129"/>
    <hyperlink r:id="rId2218" ref="J1129"/>
    <hyperlink r:id="rId2219" ref="H1130"/>
    <hyperlink r:id="rId2220" ref="I1130"/>
    <hyperlink r:id="rId2221" ref="H1131"/>
    <hyperlink r:id="rId2222" ref="I1131"/>
    <hyperlink r:id="rId2223" ref="H1132"/>
    <hyperlink r:id="rId2224" ref="H1133"/>
    <hyperlink r:id="rId2225" ref="I1133"/>
    <hyperlink r:id="rId2226" ref="J1133"/>
    <hyperlink r:id="rId2227" ref="H1134"/>
    <hyperlink r:id="rId2228" ref="J1134"/>
    <hyperlink r:id="rId2229" ref="H1135"/>
    <hyperlink r:id="rId2230" ref="I1135"/>
    <hyperlink r:id="rId2231" ref="H1136"/>
    <hyperlink r:id="rId2232" ref="H1137"/>
    <hyperlink r:id="rId2233" ref="J1137"/>
    <hyperlink r:id="rId2234" ref="H1138"/>
    <hyperlink r:id="rId2235" ref="H1139"/>
    <hyperlink r:id="rId2236" ref="I1139"/>
    <hyperlink r:id="rId2237" ref="H1140"/>
    <hyperlink r:id="rId2238" ref="I1140"/>
    <hyperlink r:id="rId2239" ref="H1141"/>
    <hyperlink r:id="rId2240" ref="I1141"/>
    <hyperlink r:id="rId2241" ref="H1142"/>
    <hyperlink r:id="rId2242" ref="I1142"/>
    <hyperlink r:id="rId2243" ref="H1143"/>
    <hyperlink r:id="rId2244" ref="I1143"/>
    <hyperlink r:id="rId2245" ref="H1144"/>
    <hyperlink r:id="rId2246" ref="I1144"/>
    <hyperlink r:id="rId2247" ref="H1145"/>
    <hyperlink r:id="rId2248" ref="I1145"/>
    <hyperlink r:id="rId2249" ref="H1146"/>
    <hyperlink r:id="rId2250" ref="I1146"/>
    <hyperlink r:id="rId2251" ref="H1147"/>
    <hyperlink r:id="rId2252" ref="I1147"/>
    <hyperlink r:id="rId2253" ref="H1148"/>
    <hyperlink r:id="rId2254" ref="I1148"/>
    <hyperlink r:id="rId2255" ref="H1149"/>
    <hyperlink r:id="rId2256" ref="I1149"/>
    <hyperlink r:id="rId2257" ref="H1150"/>
    <hyperlink r:id="rId2258" ref="H1151"/>
    <hyperlink r:id="rId2259" ref="I1151"/>
    <hyperlink r:id="rId2260" ref="H1152"/>
    <hyperlink r:id="rId2261" ref="I1152"/>
    <hyperlink r:id="rId2262" ref="H1153"/>
    <hyperlink r:id="rId2263" ref="H1154"/>
    <hyperlink r:id="rId2264" ref="H1155"/>
    <hyperlink r:id="rId2265" ref="I1155"/>
    <hyperlink r:id="rId2266" ref="H1156"/>
    <hyperlink r:id="rId2267" ref="H1157"/>
    <hyperlink r:id="rId2268" ref="H1158"/>
    <hyperlink r:id="rId2269" ref="H1159"/>
    <hyperlink r:id="rId2270" ref="H1160"/>
    <hyperlink r:id="rId2271" ref="I1161"/>
    <hyperlink r:id="rId2272" ref="H1162"/>
    <hyperlink r:id="rId2273" ref="I1162"/>
    <hyperlink r:id="rId2274" ref="I1163"/>
    <hyperlink r:id="rId2275" ref="H1164"/>
    <hyperlink r:id="rId2276" ref="I1164"/>
    <hyperlink r:id="rId2277" ref="H1165"/>
    <hyperlink r:id="rId2278" ref="I1165"/>
    <hyperlink r:id="rId2279" ref="H1166"/>
    <hyperlink r:id="rId2280" ref="I1166"/>
    <hyperlink r:id="rId2281" ref="J1166"/>
    <hyperlink r:id="rId2282" ref="H1167"/>
    <hyperlink r:id="rId2283" ref="I1167"/>
    <hyperlink r:id="rId2284" ref="H1168"/>
    <hyperlink r:id="rId2285" ref="H1169"/>
    <hyperlink r:id="rId2286" ref="I1169"/>
    <hyperlink r:id="rId2287" ref="H1170"/>
    <hyperlink r:id="rId2288" ref="H1171"/>
    <hyperlink r:id="rId2289" ref="H1172"/>
    <hyperlink r:id="rId2290" ref="I1172"/>
    <hyperlink r:id="rId2291" ref="J1172"/>
    <hyperlink r:id="rId2292" ref="H1173"/>
    <hyperlink r:id="rId2293" ref="I1173"/>
    <hyperlink r:id="rId2294" ref="J1173"/>
    <hyperlink r:id="rId2295" ref="H1174"/>
    <hyperlink r:id="rId2296" ref="I1174"/>
    <hyperlink r:id="rId2297" ref="H1175"/>
    <hyperlink r:id="rId2298" ref="I1175"/>
    <hyperlink r:id="rId2299" ref="J1175"/>
    <hyperlink r:id="rId2300" ref="H1176"/>
    <hyperlink r:id="rId2301" ref="I1176"/>
    <hyperlink r:id="rId2302" ref="J1176"/>
    <hyperlink r:id="rId2303" ref="H1177"/>
    <hyperlink r:id="rId2304" ref="I1177"/>
    <hyperlink r:id="rId2305" ref="H1178"/>
    <hyperlink r:id="rId2306" ref="I1178"/>
    <hyperlink r:id="rId2307" ref="J1178"/>
    <hyperlink r:id="rId2308" ref="H1179"/>
    <hyperlink r:id="rId2309" ref="I1179"/>
    <hyperlink r:id="rId2310" ref="J1179"/>
    <hyperlink r:id="rId2311" ref="H1180"/>
    <hyperlink r:id="rId2312" ref="I1180"/>
    <hyperlink r:id="rId2313" ref="J1180"/>
    <hyperlink r:id="rId2314" ref="H1181"/>
    <hyperlink r:id="rId2315" ref="I1181"/>
    <hyperlink r:id="rId2316" ref="J1181"/>
    <hyperlink r:id="rId2317" ref="I1182"/>
    <hyperlink r:id="rId2318" ref="H1183"/>
    <hyperlink r:id="rId2319" ref="I1183"/>
    <hyperlink r:id="rId2320" ref="J1183"/>
    <hyperlink r:id="rId2321" ref="H1184"/>
    <hyperlink r:id="rId2322" ref="I1184"/>
    <hyperlink r:id="rId2323" ref="H1185"/>
    <hyperlink r:id="rId2324" ref="I1185"/>
    <hyperlink r:id="rId2325" ref="H1186"/>
    <hyperlink r:id="rId2326" ref="I1186"/>
    <hyperlink r:id="rId2327" ref="I1187"/>
    <hyperlink r:id="rId2328" ref="H1188"/>
    <hyperlink r:id="rId2329" ref="I1188"/>
    <hyperlink r:id="rId2330" ref="H1189"/>
    <hyperlink r:id="rId2331" ref="I1189"/>
    <hyperlink r:id="rId2332" ref="H1190"/>
    <hyperlink r:id="rId2333" ref="J1190"/>
    <hyperlink r:id="rId2334" ref="H1191"/>
    <hyperlink r:id="rId2335" ref="I1191"/>
    <hyperlink r:id="rId2336" ref="J1191"/>
    <hyperlink r:id="rId2337" ref="H1192"/>
    <hyperlink r:id="rId2338" ref="H1193"/>
    <hyperlink r:id="rId2339" ref="I1193"/>
    <hyperlink r:id="rId2340" ref="J1193"/>
    <hyperlink r:id="rId2341" ref="H1194"/>
    <hyperlink r:id="rId2342" ref="I1194"/>
    <hyperlink r:id="rId2343" ref="H1195"/>
    <hyperlink r:id="rId2344" ref="I1195"/>
    <hyperlink r:id="rId2345" ref="H1196"/>
    <hyperlink r:id="rId2346" ref="I1196"/>
    <hyperlink r:id="rId2347" ref="H1197"/>
    <hyperlink r:id="rId2348" ref="I1197"/>
    <hyperlink r:id="rId2349" ref="H1198"/>
    <hyperlink r:id="rId2350" ref="I1198"/>
    <hyperlink r:id="rId2351" ref="H1199"/>
    <hyperlink r:id="rId2352" ref="I1199"/>
    <hyperlink r:id="rId2353" ref="J1199"/>
    <hyperlink r:id="rId2354" ref="H1200"/>
    <hyperlink r:id="rId2355" ref="I1200"/>
    <hyperlink r:id="rId2356" ref="J1200"/>
    <hyperlink r:id="rId2357" ref="H1201"/>
    <hyperlink r:id="rId2358" ref="I1201"/>
    <hyperlink r:id="rId2359" ref="H1202"/>
    <hyperlink r:id="rId2360" ref="I1202"/>
    <hyperlink r:id="rId2361" ref="H1203"/>
    <hyperlink r:id="rId2362" ref="I1203"/>
    <hyperlink r:id="rId2363" ref="J1203"/>
    <hyperlink r:id="rId2364" ref="H1204"/>
    <hyperlink r:id="rId2365" ref="I1204"/>
    <hyperlink r:id="rId2366" ref="H1205"/>
    <hyperlink r:id="rId2367" ref="I1205"/>
    <hyperlink r:id="rId2368" ref="H1206"/>
    <hyperlink r:id="rId2369" ref="I1206"/>
    <hyperlink r:id="rId2370" ref="H1207"/>
    <hyperlink r:id="rId2371" ref="H1208"/>
    <hyperlink r:id="rId2372" ref="I1208"/>
    <hyperlink r:id="rId2373" ref="H1209"/>
    <hyperlink r:id="rId2374" ref="H1210"/>
    <hyperlink r:id="rId2375" ref="H1211"/>
    <hyperlink r:id="rId2376" ref="I1211"/>
    <hyperlink r:id="rId2377" ref="H1212"/>
    <hyperlink r:id="rId2378" ref="H1213"/>
    <hyperlink r:id="rId2379" ref="I1213"/>
    <hyperlink r:id="rId2380" ref="H1214"/>
    <hyperlink r:id="rId2381" ref="I1214"/>
    <hyperlink r:id="rId2382" ref="H1215"/>
    <hyperlink r:id="rId2383" ref="H1216"/>
    <hyperlink r:id="rId2384" ref="H1217"/>
    <hyperlink r:id="rId2385" ref="I1217"/>
    <hyperlink r:id="rId2386" ref="H1218"/>
    <hyperlink r:id="rId2387" ref="H1219"/>
    <hyperlink r:id="rId2388" ref="I1219"/>
    <hyperlink r:id="rId2389" ref="I1220"/>
    <hyperlink r:id="rId2390" ref="H1221"/>
    <hyperlink r:id="rId2391" ref="I1221"/>
    <hyperlink r:id="rId2392" ref="J1221"/>
    <hyperlink r:id="rId2393" ref="H1222"/>
    <hyperlink r:id="rId2394" ref="I1222"/>
    <hyperlink r:id="rId2395" ref="H1223"/>
    <hyperlink r:id="rId2396" ref="I1223"/>
    <hyperlink r:id="rId2397" ref="H1224"/>
    <hyperlink r:id="rId2398" ref="I1224"/>
    <hyperlink r:id="rId2399" ref="H1225"/>
    <hyperlink r:id="rId2400" ref="I1225"/>
    <hyperlink r:id="rId2401" ref="H1226"/>
    <hyperlink r:id="rId2402" ref="H1227"/>
    <hyperlink r:id="rId2403" ref="I1227"/>
    <hyperlink r:id="rId2404" ref="H1228"/>
    <hyperlink r:id="rId2405" ref="I1228"/>
    <hyperlink r:id="rId2406" ref="J1228"/>
    <hyperlink r:id="rId2407" ref="I1229"/>
    <hyperlink r:id="rId2408" ref="H1230"/>
    <hyperlink r:id="rId2409" ref="I1230"/>
    <hyperlink r:id="rId2410" ref="H1231"/>
    <hyperlink r:id="rId2411" ref="I1231"/>
    <hyperlink r:id="rId2412" ref="H1232"/>
    <hyperlink r:id="rId2413" ref="I1232"/>
    <hyperlink r:id="rId2414" ref="H1233"/>
    <hyperlink r:id="rId2415" ref="I1233"/>
    <hyperlink r:id="rId2416" ref="H1234"/>
    <hyperlink r:id="rId2417" ref="I1234"/>
    <hyperlink r:id="rId2418" ref="H1235"/>
    <hyperlink r:id="rId2419" ref="I1235"/>
    <hyperlink r:id="rId2420" ref="H1236"/>
    <hyperlink r:id="rId2421" ref="I1236"/>
    <hyperlink r:id="rId2422" ref="J1236"/>
    <hyperlink r:id="rId2423" ref="H1237"/>
    <hyperlink r:id="rId2424" ref="I1237"/>
    <hyperlink r:id="rId2425" ref="H1238"/>
    <hyperlink r:id="rId2426" ref="I1238"/>
    <hyperlink r:id="rId2427" ref="I1239"/>
    <hyperlink r:id="rId2428" ref="H1240"/>
    <hyperlink r:id="rId2429" ref="H1241"/>
    <hyperlink r:id="rId2430" ref="H1242"/>
    <hyperlink r:id="rId2431" ref="I1242"/>
    <hyperlink r:id="rId2432" ref="H1243"/>
    <hyperlink r:id="rId2433" ref="I1243"/>
    <hyperlink r:id="rId2434" ref="J1243"/>
    <hyperlink r:id="rId2435" ref="I1244"/>
    <hyperlink r:id="rId2436" ref="H1245"/>
    <hyperlink r:id="rId2437" ref="I1245"/>
    <hyperlink r:id="rId2438" ref="J1245"/>
    <hyperlink r:id="rId2439" ref="H1246"/>
    <hyperlink r:id="rId2440" ref="I1246"/>
    <hyperlink r:id="rId2441" ref="J1246"/>
    <hyperlink r:id="rId2442" ref="H1247"/>
    <hyperlink r:id="rId2443" ref="I1247"/>
    <hyperlink r:id="rId2444" ref="H1248"/>
    <hyperlink r:id="rId2445" ref="I1248"/>
    <hyperlink r:id="rId2446" ref="H1249"/>
    <hyperlink r:id="rId2447" ref="I1249"/>
    <hyperlink r:id="rId2448" ref="H1250"/>
    <hyperlink r:id="rId2449" ref="I1250"/>
    <hyperlink r:id="rId2450" ref="J1250"/>
    <hyperlink r:id="rId2451" ref="H1251"/>
    <hyperlink r:id="rId2452" ref="J1251"/>
    <hyperlink r:id="rId2453" ref="H1252"/>
    <hyperlink r:id="rId2454" ref="I1252"/>
    <hyperlink r:id="rId2455" ref="H1253"/>
    <hyperlink r:id="rId2456" ref="I1253"/>
    <hyperlink r:id="rId2457" ref="H1254"/>
    <hyperlink r:id="rId2458" ref="I1254"/>
    <hyperlink r:id="rId2459" ref="H1255"/>
    <hyperlink r:id="rId2460" ref="I1255"/>
    <hyperlink r:id="rId2461" ref="J1255"/>
    <hyperlink r:id="rId2462" ref="H1256"/>
    <hyperlink r:id="rId2463" ref="I1256"/>
    <hyperlink r:id="rId2464" ref="H1257"/>
    <hyperlink r:id="rId2465" ref="H1258"/>
    <hyperlink r:id="rId2466" ref="I1258"/>
    <hyperlink r:id="rId2467" ref="H1259"/>
    <hyperlink r:id="rId2468" ref="I1259"/>
    <hyperlink r:id="rId2469" ref="J1259"/>
    <hyperlink r:id="rId2470" ref="H1260"/>
    <hyperlink r:id="rId2471" ref="I1260"/>
    <hyperlink r:id="rId2472" ref="J1260"/>
    <hyperlink r:id="rId2473" ref="H1261"/>
    <hyperlink r:id="rId2474" ref="I1261"/>
    <hyperlink r:id="rId2475" ref="H1262"/>
    <hyperlink r:id="rId2476" ref="I1262"/>
    <hyperlink r:id="rId2477" ref="J1262"/>
    <hyperlink r:id="rId2478" ref="H1263"/>
    <hyperlink r:id="rId2479" ref="J1263"/>
    <hyperlink r:id="rId2480" ref="H1264"/>
    <hyperlink r:id="rId2481" ref="I1264"/>
    <hyperlink r:id="rId2482" ref="H1265"/>
    <hyperlink r:id="rId2483" ref="H1266"/>
    <hyperlink r:id="rId2484" ref="H1267"/>
    <hyperlink r:id="rId2485" ref="H1268"/>
    <hyperlink r:id="rId2486" ref="I1268"/>
    <hyperlink r:id="rId2487" ref="H1269"/>
    <hyperlink r:id="rId2488" ref="H1270"/>
    <hyperlink r:id="rId2489" ref="H1271"/>
    <hyperlink r:id="rId2490" ref="I1271"/>
    <hyperlink r:id="rId2491" ref="H1272"/>
    <hyperlink r:id="rId2492" ref="I1272"/>
    <hyperlink r:id="rId2493" ref="H1273"/>
    <hyperlink r:id="rId2494" ref="I1273"/>
    <hyperlink r:id="rId2495" ref="H1274"/>
    <hyperlink r:id="rId2496" ref="I1274"/>
    <hyperlink r:id="rId2497" ref="H1275"/>
    <hyperlink r:id="rId2498" ref="I1275"/>
    <hyperlink r:id="rId2499" ref="H1276"/>
    <hyperlink r:id="rId2500" ref="I1276"/>
    <hyperlink r:id="rId2501" ref="H1277"/>
    <hyperlink r:id="rId2502" ref="I1277"/>
    <hyperlink r:id="rId2503" ref="H1278"/>
    <hyperlink r:id="rId2504" ref="I1278"/>
    <hyperlink r:id="rId2505" ref="H1279"/>
    <hyperlink r:id="rId2506" ref="I1279"/>
    <hyperlink r:id="rId2507" ref="J1279"/>
    <hyperlink r:id="rId2508" ref="H1280"/>
    <hyperlink r:id="rId2509" ref="I1280"/>
    <hyperlink r:id="rId2510" ref="H1281"/>
    <hyperlink r:id="rId2511" ref="I1281"/>
    <hyperlink r:id="rId2512" ref="H1282"/>
    <hyperlink r:id="rId2513" ref="H1283"/>
    <hyperlink r:id="rId2514" ref="I1283"/>
    <hyperlink r:id="rId2515" ref="H1284"/>
    <hyperlink r:id="rId2516" ref="I1284"/>
    <hyperlink r:id="rId2517" ref="J1284"/>
    <hyperlink r:id="rId2518" ref="H1285"/>
    <hyperlink r:id="rId2519" ref="I1285"/>
    <hyperlink r:id="rId2520" ref="H1286"/>
    <hyperlink r:id="rId2521" ref="I1286"/>
    <hyperlink r:id="rId2522" ref="H1287"/>
    <hyperlink r:id="rId2523" ref="I1287"/>
    <hyperlink r:id="rId2524" ref="J1287"/>
    <hyperlink r:id="rId2525" ref="H1288"/>
    <hyperlink r:id="rId2526" ref="I1288"/>
    <hyperlink r:id="rId2527" ref="H1289"/>
    <hyperlink r:id="rId2528" ref="I1289"/>
    <hyperlink r:id="rId2529" ref="H1290"/>
    <hyperlink r:id="rId2530" ref="I1290"/>
    <hyperlink r:id="rId2531" ref="H1291"/>
    <hyperlink r:id="rId2532" ref="I1291"/>
    <hyperlink r:id="rId2533" ref="J1291"/>
    <hyperlink r:id="rId2534" ref="H1292"/>
    <hyperlink r:id="rId2535" ref="I1292"/>
    <hyperlink r:id="rId2536" ref="J1292"/>
    <hyperlink r:id="rId2537" ref="H1293"/>
    <hyperlink r:id="rId2538" ref="I1293"/>
    <hyperlink r:id="rId2539" ref="J1293"/>
    <hyperlink r:id="rId2540" ref="H1294"/>
    <hyperlink r:id="rId2541" ref="I1294"/>
    <hyperlink r:id="rId2542" ref="J1294"/>
    <hyperlink r:id="rId2543" ref="H1295"/>
    <hyperlink r:id="rId2544" ref="I1295"/>
    <hyperlink r:id="rId2545" ref="J1295"/>
    <hyperlink r:id="rId2546" ref="H1296"/>
    <hyperlink r:id="rId2547" ref="I1296"/>
    <hyperlink r:id="rId2548" ref="H1297"/>
    <hyperlink r:id="rId2549" ref="I1297"/>
    <hyperlink r:id="rId2550" ref="H1298"/>
    <hyperlink r:id="rId2551" ref="I1298"/>
    <hyperlink r:id="rId2552" ref="H1299"/>
    <hyperlink r:id="rId2553" ref="I1299"/>
    <hyperlink r:id="rId2554" ref="J1299"/>
    <hyperlink r:id="rId2555" ref="H1300"/>
    <hyperlink r:id="rId2556" ref="I1300"/>
    <hyperlink r:id="rId2557" ref="H1301"/>
    <hyperlink r:id="rId2558" ref="I1301"/>
    <hyperlink r:id="rId2559" ref="J1301"/>
    <hyperlink r:id="rId2560" ref="H1302"/>
    <hyperlink r:id="rId2561" ref="I1302"/>
    <hyperlink r:id="rId2562" ref="J1302"/>
    <hyperlink r:id="rId2563" ref="H1303"/>
    <hyperlink r:id="rId2564" ref="I1303"/>
    <hyperlink r:id="rId2565" ref="H1304"/>
    <hyperlink r:id="rId2566" ref="I1304"/>
    <hyperlink r:id="rId2567" ref="J1304"/>
    <hyperlink r:id="rId2568" ref="H1305"/>
    <hyperlink r:id="rId2569" ref="J1305"/>
    <hyperlink r:id="rId2570" ref="H1306"/>
    <hyperlink r:id="rId2571" ref="I1306"/>
    <hyperlink r:id="rId2572" ref="H1307"/>
    <hyperlink r:id="rId2573" ref="I1307"/>
    <hyperlink r:id="rId2574" ref="H1308"/>
    <hyperlink r:id="rId2575" ref="I1308"/>
    <hyperlink r:id="rId2576" ref="H1309"/>
    <hyperlink r:id="rId2577" ref="H1310"/>
    <hyperlink r:id="rId2578" ref="I1310"/>
    <hyperlink r:id="rId2579" ref="H1311"/>
    <hyperlink r:id="rId2580" ref="H1312"/>
    <hyperlink r:id="rId2581" ref="I1312"/>
    <hyperlink r:id="rId2582" ref="H1313"/>
    <hyperlink r:id="rId2583" ref="H1314"/>
    <hyperlink r:id="rId2584" ref="I1314"/>
    <hyperlink r:id="rId2585" ref="H1315"/>
    <hyperlink r:id="rId2586" ref="H1316"/>
    <hyperlink r:id="rId2587" ref="I1316"/>
    <hyperlink r:id="rId2588" ref="H1317"/>
    <hyperlink r:id="rId2589" ref="H1318"/>
    <hyperlink r:id="rId2590" ref="H1319"/>
    <hyperlink r:id="rId2591" ref="H1320"/>
    <hyperlink r:id="rId2592" ref="H1321"/>
    <hyperlink r:id="rId2593" ref="I1321"/>
    <hyperlink r:id="rId2594" ref="H1322"/>
    <hyperlink r:id="rId2595" ref="I1322"/>
    <hyperlink r:id="rId2596" ref="H1323"/>
    <hyperlink r:id="rId2597" ref="I1323"/>
    <hyperlink r:id="rId2598" ref="H1324"/>
    <hyperlink r:id="rId2599" ref="I1324"/>
    <hyperlink r:id="rId2600" ref="H1325"/>
    <hyperlink r:id="rId2601" ref="I1325"/>
    <hyperlink r:id="rId2602" ref="H1326"/>
    <hyperlink r:id="rId2603" ref="I1326"/>
    <hyperlink r:id="rId2604" ref="H1327"/>
    <hyperlink r:id="rId2605" ref="I1327"/>
    <hyperlink r:id="rId2606" ref="H1328"/>
    <hyperlink r:id="rId2607" ref="I1328"/>
    <hyperlink r:id="rId2608" ref="H1329"/>
    <hyperlink r:id="rId2609" ref="I1329"/>
    <hyperlink r:id="rId2610" ref="H1330"/>
    <hyperlink r:id="rId2611" ref="I1330"/>
    <hyperlink r:id="rId2612" ref="H1331"/>
    <hyperlink r:id="rId2613" ref="I1331"/>
    <hyperlink r:id="rId2614" ref="H1332"/>
    <hyperlink r:id="rId2615" ref="I1332"/>
    <hyperlink r:id="rId2616" ref="J1332"/>
    <hyperlink r:id="rId2617" ref="H1333"/>
    <hyperlink r:id="rId2618" ref="I1333"/>
    <hyperlink r:id="rId2619" ref="H1334"/>
    <hyperlink r:id="rId2620" ref="I1334"/>
    <hyperlink r:id="rId2621" ref="H1335"/>
    <hyperlink r:id="rId2622" ref="I1335"/>
    <hyperlink r:id="rId2623" ref="J1335"/>
    <hyperlink r:id="rId2624" ref="H1336"/>
    <hyperlink r:id="rId2625" ref="I1336"/>
    <hyperlink r:id="rId2626" ref="J1336"/>
    <hyperlink r:id="rId2627" ref="H1337"/>
    <hyperlink r:id="rId2628" ref="I1337"/>
    <hyperlink r:id="rId2629" ref="H1338"/>
    <hyperlink r:id="rId2630" ref="I1338"/>
    <hyperlink r:id="rId2631" ref="H1339"/>
    <hyperlink r:id="rId2632" ref="I1339"/>
    <hyperlink r:id="rId2633" ref="J1339"/>
    <hyperlink r:id="rId2634" ref="H1340"/>
    <hyperlink r:id="rId2635" ref="I1340"/>
    <hyperlink r:id="rId2636" ref="H1341"/>
    <hyperlink r:id="rId2637" ref="H1342"/>
    <hyperlink r:id="rId2638" ref="I1342"/>
    <hyperlink r:id="rId2639" ref="H1343"/>
    <hyperlink r:id="rId2640" ref="I1343"/>
    <hyperlink r:id="rId2641" ref="H1344"/>
    <hyperlink r:id="rId2642" ref="I1344"/>
    <hyperlink r:id="rId2643" ref="H1345"/>
    <hyperlink r:id="rId2644" ref="I1345"/>
    <hyperlink r:id="rId2645" ref="H1346"/>
    <hyperlink r:id="rId2646" ref="I1346"/>
    <hyperlink r:id="rId2647" ref="H1347"/>
    <hyperlink r:id="rId2648" ref="I1347"/>
    <hyperlink r:id="rId2649" ref="H1348"/>
    <hyperlink r:id="rId2650" ref="H1349"/>
    <hyperlink r:id="rId2651" ref="I1349"/>
    <hyperlink r:id="rId2652" ref="H1350"/>
    <hyperlink r:id="rId2653" ref="I1350"/>
    <hyperlink r:id="rId2654" ref="H1351"/>
    <hyperlink r:id="rId2655" ref="H1352"/>
    <hyperlink r:id="rId2656" ref="I1353"/>
    <hyperlink r:id="rId2657" ref="H1354"/>
    <hyperlink r:id="rId2658" ref="I1354"/>
    <hyperlink r:id="rId2659" ref="H1355"/>
    <hyperlink r:id="rId2660" ref="H1356"/>
    <hyperlink r:id="rId2661" ref="H1357"/>
    <hyperlink r:id="rId2662" ref="I1357"/>
    <hyperlink r:id="rId2663" ref="J1357"/>
    <hyperlink r:id="rId2664" ref="H1358"/>
    <hyperlink r:id="rId2665" ref="H1359"/>
    <hyperlink r:id="rId2666" ref="H1360"/>
    <hyperlink r:id="rId2667" ref="I1360"/>
    <hyperlink r:id="rId2668" ref="H1361"/>
    <hyperlink r:id="rId2669" ref="H1362"/>
    <hyperlink r:id="rId2670" ref="I1362"/>
    <hyperlink r:id="rId2671" ref="J1362"/>
    <hyperlink r:id="rId2672" ref="H1363"/>
    <hyperlink r:id="rId2673" ref="I1363"/>
    <hyperlink r:id="rId2674" ref="H1364"/>
    <hyperlink r:id="rId2675" ref="I1364"/>
    <hyperlink r:id="rId2676" ref="J1364"/>
    <hyperlink r:id="rId2677" ref="H1365"/>
    <hyperlink r:id="rId2678" ref="I1365"/>
    <hyperlink r:id="rId2679" ref="H1366"/>
    <hyperlink r:id="rId2680" ref="I1366"/>
    <hyperlink r:id="rId2681" ref="H1367"/>
    <hyperlink r:id="rId2682" ref="I1367"/>
    <hyperlink r:id="rId2683" ref="H1368"/>
    <hyperlink r:id="rId2684" ref="I1368"/>
    <hyperlink r:id="rId2685" ref="H1369"/>
    <hyperlink r:id="rId2686" ref="I1369"/>
    <hyperlink r:id="rId2687" ref="H1370"/>
    <hyperlink r:id="rId2688" ref="I1370"/>
    <hyperlink r:id="rId2689" ref="H1371"/>
    <hyperlink r:id="rId2690" ref="I1371"/>
    <hyperlink r:id="rId2691" ref="H1372"/>
    <hyperlink r:id="rId2692" ref="H1373"/>
    <hyperlink r:id="rId2693" ref="I1373"/>
    <hyperlink r:id="rId2694" ref="J1373"/>
    <hyperlink r:id="rId2695" ref="H1374"/>
    <hyperlink r:id="rId2696" ref="H1375"/>
    <hyperlink r:id="rId2697" ref="H1376"/>
    <hyperlink r:id="rId2698" ref="I1376"/>
    <hyperlink r:id="rId2699" ref="H1377"/>
    <hyperlink r:id="rId2700" ref="I1377"/>
    <hyperlink r:id="rId2701" ref="J1377"/>
    <hyperlink r:id="rId2702" ref="H1378"/>
    <hyperlink r:id="rId2703" ref="I1378"/>
    <hyperlink r:id="rId2704" ref="H1379"/>
    <hyperlink r:id="rId2705" ref="I1379"/>
    <hyperlink r:id="rId2706" ref="H1380"/>
    <hyperlink r:id="rId2707" ref="H1381"/>
    <hyperlink r:id="rId2708" ref="I1381"/>
    <hyperlink r:id="rId2709" ref="H1382"/>
    <hyperlink r:id="rId2710" ref="I1382"/>
    <hyperlink r:id="rId2711" ref="J1382"/>
    <hyperlink r:id="rId2712" ref="H1383"/>
    <hyperlink r:id="rId2713" ref="H1384"/>
    <hyperlink r:id="rId2714" ref="I1384"/>
    <hyperlink r:id="rId2715" ref="H1385"/>
    <hyperlink r:id="rId2716" ref="I1385"/>
    <hyperlink r:id="rId2717" ref="H1386"/>
    <hyperlink r:id="rId2718" ref="I1386"/>
    <hyperlink r:id="rId2719" ref="H1387"/>
    <hyperlink r:id="rId2720" ref="I1387"/>
    <hyperlink r:id="rId2721" ref="H1388"/>
    <hyperlink r:id="rId2722" ref="I1388"/>
    <hyperlink r:id="rId2723" ref="J1388"/>
    <hyperlink r:id="rId2724" ref="H1389"/>
    <hyperlink r:id="rId2725" ref="I1389"/>
    <hyperlink r:id="rId2726" ref="H1390"/>
    <hyperlink r:id="rId2727" ref="I1390"/>
    <hyperlink r:id="rId2728" ref="J1390"/>
    <hyperlink r:id="rId2729" ref="H1391"/>
    <hyperlink r:id="rId2730" ref="I1391"/>
    <hyperlink r:id="rId2731" ref="J1391"/>
    <hyperlink r:id="rId2732" ref="H1392"/>
    <hyperlink r:id="rId2733" ref="I1392"/>
    <hyperlink r:id="rId2734" ref="J1392"/>
    <hyperlink r:id="rId2735" ref="H1393"/>
    <hyperlink r:id="rId2736" ref="I1393"/>
    <hyperlink r:id="rId2737" ref="J1393"/>
    <hyperlink r:id="rId2738" ref="H1394"/>
    <hyperlink r:id="rId2739" ref="I1394"/>
    <hyperlink r:id="rId2740" ref="H1395"/>
    <hyperlink r:id="rId2741" ref="I1395"/>
    <hyperlink r:id="rId2742" ref="J1395"/>
    <hyperlink r:id="rId2743" ref="H1396"/>
    <hyperlink r:id="rId2744" ref="H1397"/>
    <hyperlink r:id="rId2745" ref="I1397"/>
    <hyperlink r:id="rId2746" ref="J1397"/>
    <hyperlink r:id="rId2747" ref="H1398"/>
    <hyperlink r:id="rId2748" ref="H1399"/>
    <hyperlink r:id="rId2749" ref="H1400"/>
    <hyperlink r:id="rId2750" ref="I1400"/>
    <hyperlink r:id="rId2751" ref="H1401"/>
    <hyperlink r:id="rId2752" ref="H1402"/>
    <hyperlink r:id="rId2753" ref="I1402"/>
    <hyperlink r:id="rId2754" ref="H1403"/>
    <hyperlink r:id="rId2755" ref="I1403"/>
    <hyperlink r:id="rId2756" ref="H1404"/>
    <hyperlink r:id="rId2757" ref="I1404"/>
    <hyperlink r:id="rId2758" ref="H1405"/>
    <hyperlink r:id="rId2759" ref="I1405"/>
    <hyperlink r:id="rId2760" ref="J1405"/>
    <hyperlink r:id="rId2761" ref="H1406"/>
    <hyperlink r:id="rId2762" ref="I1406"/>
    <hyperlink r:id="rId2763" ref="H1407"/>
    <hyperlink r:id="rId2764" ref="H1408"/>
    <hyperlink r:id="rId2765" ref="I1408"/>
    <hyperlink r:id="rId2766" ref="H1409"/>
    <hyperlink r:id="rId2767" ref="H1410"/>
    <hyperlink r:id="rId2768" ref="H1411"/>
    <hyperlink r:id="rId2769" ref="H1412"/>
    <hyperlink r:id="rId2770" ref="H1413"/>
    <hyperlink r:id="rId2771" ref="H1414"/>
    <hyperlink r:id="rId2772" ref="I1414"/>
    <hyperlink r:id="rId2773" ref="H1415"/>
    <hyperlink r:id="rId2774" ref="H1416"/>
    <hyperlink r:id="rId2775" ref="H1417"/>
    <hyperlink r:id="rId2776" ref="H1418"/>
    <hyperlink r:id="rId2777" ref="I1418"/>
    <hyperlink r:id="rId2778" ref="H1419"/>
    <hyperlink r:id="rId2779" ref="I1419"/>
    <hyperlink r:id="rId2780" ref="H1420"/>
    <hyperlink r:id="rId2781" ref="I1420"/>
    <hyperlink r:id="rId2782" ref="H1421"/>
    <hyperlink r:id="rId2783" ref="I1421"/>
    <hyperlink r:id="rId2784" ref="H1422"/>
    <hyperlink r:id="rId2785" ref="I1422"/>
    <hyperlink r:id="rId2786" ref="H1423"/>
    <hyperlink r:id="rId2787" ref="I1423"/>
    <hyperlink r:id="rId2788" ref="H1424"/>
    <hyperlink r:id="rId2789" ref="I1424"/>
    <hyperlink r:id="rId2790" ref="J1424"/>
    <hyperlink r:id="rId2791" ref="H1425"/>
    <hyperlink r:id="rId2792" ref="I1425"/>
    <hyperlink r:id="rId2793" ref="H1426"/>
    <hyperlink r:id="rId2794" ref="H1427"/>
    <hyperlink r:id="rId2795" ref="I1427"/>
    <hyperlink r:id="rId2796" ref="H1428"/>
    <hyperlink r:id="rId2797" ref="H1429"/>
    <hyperlink r:id="rId2798" ref="H1430"/>
    <hyperlink r:id="rId2799" ref="I1430"/>
    <hyperlink r:id="rId2800" ref="H1431"/>
    <hyperlink r:id="rId2801" ref="I1431"/>
    <hyperlink r:id="rId2802" ref="H1432"/>
    <hyperlink r:id="rId2803" ref="H1433"/>
    <hyperlink r:id="rId2804" ref="I1433"/>
    <hyperlink r:id="rId2805" ref="H1434"/>
    <hyperlink r:id="rId2806" ref="H1435"/>
    <hyperlink r:id="rId2807" ref="H1436"/>
    <hyperlink r:id="rId2808" ref="H1437"/>
    <hyperlink r:id="rId2809" ref="I1437"/>
    <hyperlink r:id="rId2810" ref="H1438"/>
    <hyperlink r:id="rId2811" ref="I1438"/>
    <hyperlink r:id="rId2812" ref="H1439"/>
    <hyperlink r:id="rId2813" ref="H1440"/>
    <hyperlink r:id="rId2814" ref="H1441"/>
    <hyperlink r:id="rId2815" ref="H1442"/>
    <hyperlink r:id="rId2816" ref="I1442"/>
    <hyperlink r:id="rId2817" ref="H1443"/>
    <hyperlink r:id="rId2818" ref="H1444"/>
    <hyperlink r:id="rId2819" ref="H1445"/>
    <hyperlink r:id="rId2820" ref="H1446"/>
    <hyperlink r:id="rId2821" ref="I1446"/>
    <hyperlink r:id="rId2822" ref="H1447"/>
    <hyperlink r:id="rId2823" ref="I1447"/>
    <hyperlink r:id="rId2824" ref="J1447"/>
    <hyperlink r:id="rId2825" ref="H1448"/>
    <hyperlink r:id="rId2826" ref="I1448"/>
    <hyperlink r:id="rId2827" ref="H1449"/>
    <hyperlink r:id="rId2828" ref="I1449"/>
    <hyperlink r:id="rId2829" ref="H1450"/>
    <hyperlink r:id="rId2830" ref="I1450"/>
    <hyperlink r:id="rId2831" ref="J1450"/>
    <hyperlink r:id="rId2832" ref="I1451"/>
    <hyperlink r:id="rId2833" ref="H1452"/>
    <hyperlink r:id="rId2834" ref="I1452"/>
    <hyperlink r:id="rId2835" ref="I1453"/>
    <hyperlink r:id="rId2836" ref="J1453"/>
    <hyperlink r:id="rId2837" ref="H1454"/>
    <hyperlink r:id="rId2838" ref="I1454"/>
    <hyperlink r:id="rId2839" ref="H1455"/>
    <hyperlink r:id="rId2840" ref="I1455"/>
    <hyperlink r:id="rId2841" ref="H1456"/>
    <hyperlink r:id="rId2842" ref="I1456"/>
    <hyperlink r:id="rId2843" ref="H1457"/>
    <hyperlink r:id="rId2844" ref="I1457"/>
    <hyperlink r:id="rId2845" ref="J1457"/>
    <hyperlink r:id="rId2846" ref="H1458"/>
    <hyperlink r:id="rId2847" ref="I1458"/>
    <hyperlink r:id="rId2848" ref="H1459"/>
    <hyperlink r:id="rId2849" ref="I1459"/>
    <hyperlink r:id="rId2850" ref="J1459"/>
    <hyperlink r:id="rId2851" ref="H1460"/>
    <hyperlink r:id="rId2852" ref="I1460"/>
    <hyperlink r:id="rId2853" ref="J1460"/>
    <hyperlink r:id="rId2854" ref="H1461"/>
    <hyperlink r:id="rId2855" ref="I1461"/>
    <hyperlink r:id="rId2856" ref="H1462"/>
    <hyperlink r:id="rId2857" ref="I1462"/>
    <hyperlink r:id="rId2858" ref="J1462"/>
    <hyperlink r:id="rId2859" ref="H1463"/>
    <hyperlink r:id="rId2860" ref="I1463"/>
    <hyperlink r:id="rId2861" ref="H1464"/>
    <hyperlink r:id="rId2862" ref="I1464"/>
    <hyperlink r:id="rId2863" ref="H1465"/>
    <hyperlink r:id="rId2864" ref="I1465"/>
    <hyperlink r:id="rId2865" ref="H1466"/>
    <hyperlink r:id="rId2866" ref="I1466"/>
    <hyperlink r:id="rId2867" ref="J1466"/>
    <hyperlink r:id="rId2868" ref="H1467"/>
    <hyperlink r:id="rId2869" ref="I1467"/>
    <hyperlink r:id="rId2870" ref="H1468"/>
    <hyperlink r:id="rId2871" ref="I1468"/>
    <hyperlink r:id="rId2872" ref="J1468"/>
    <hyperlink r:id="rId2873" ref="H1469"/>
    <hyperlink r:id="rId2874" ref="I1469"/>
    <hyperlink r:id="rId2875" ref="H1470"/>
    <hyperlink r:id="rId2876" ref="I1470"/>
    <hyperlink r:id="rId2877" ref="H1471"/>
    <hyperlink r:id="rId2878" ref="J1471"/>
    <hyperlink r:id="rId2879" ref="H1472"/>
    <hyperlink r:id="rId2880" ref="I1472"/>
    <hyperlink r:id="rId2881" ref="H1473"/>
    <hyperlink r:id="rId2882" ref="I1473"/>
    <hyperlink r:id="rId2883" ref="J1473"/>
    <hyperlink r:id="rId2884" ref="H1474"/>
    <hyperlink r:id="rId2885" ref="I1474"/>
    <hyperlink r:id="rId2886" ref="J1474"/>
    <hyperlink r:id="rId2887" ref="H1475"/>
    <hyperlink r:id="rId2888" ref="I1475"/>
    <hyperlink r:id="rId2889" ref="J1475"/>
    <hyperlink r:id="rId2890" ref="H1476"/>
    <hyperlink r:id="rId2891" ref="H1477"/>
    <hyperlink r:id="rId2892" ref="I1477"/>
    <hyperlink r:id="rId2893" ref="H1478"/>
    <hyperlink r:id="rId2894" ref="I1478"/>
    <hyperlink r:id="rId2895" ref="H1479"/>
    <hyperlink r:id="rId2896" ref="I1479"/>
    <hyperlink r:id="rId2897" ref="H1480"/>
    <hyperlink r:id="rId2898" ref="I1480"/>
    <hyperlink r:id="rId2899" ref="H1481"/>
    <hyperlink r:id="rId2900" ref="I1481"/>
    <hyperlink r:id="rId2901" ref="H1482"/>
    <hyperlink r:id="rId2902" ref="I1482"/>
    <hyperlink r:id="rId2903" ref="H1483"/>
    <hyperlink r:id="rId2904" ref="I1483"/>
    <hyperlink r:id="rId2905" ref="H1484"/>
    <hyperlink r:id="rId2906" ref="I1484"/>
    <hyperlink r:id="rId2907" ref="H1485"/>
    <hyperlink r:id="rId2908" ref="H1486"/>
    <hyperlink r:id="rId2909" ref="I1486"/>
    <hyperlink r:id="rId2910" ref="J1486"/>
    <hyperlink r:id="rId2911" ref="I1487"/>
    <hyperlink r:id="rId2912" ref="H1488"/>
    <hyperlink r:id="rId2913" ref="I1488"/>
    <hyperlink r:id="rId2914" ref="H1489"/>
    <hyperlink r:id="rId2915" ref="I1489"/>
    <hyperlink r:id="rId2916" ref="H1490"/>
    <hyperlink r:id="rId2917" ref="I1490"/>
    <hyperlink r:id="rId2918" ref="H1491"/>
    <hyperlink r:id="rId2919" ref="I1491"/>
    <hyperlink r:id="rId2920" ref="J1491"/>
    <hyperlink r:id="rId2921" ref="I1492"/>
    <hyperlink r:id="rId2922" ref="H1493"/>
    <hyperlink r:id="rId2923" ref="I1493"/>
    <hyperlink r:id="rId2924" ref="J1493"/>
    <hyperlink r:id="rId2925" ref="H1494"/>
    <hyperlink r:id="rId2926" ref="I1494"/>
    <hyperlink r:id="rId2927" ref="J1494"/>
    <hyperlink r:id="rId2928" ref="H1495"/>
    <hyperlink r:id="rId2929" ref="I1495"/>
    <hyperlink r:id="rId2930" ref="J1495"/>
    <hyperlink r:id="rId2931" ref="H1496"/>
    <hyperlink r:id="rId2932" ref="I1496"/>
    <hyperlink r:id="rId2933" ref="H1497"/>
    <hyperlink r:id="rId2934" ref="I1497"/>
    <hyperlink r:id="rId2935" ref="H1498"/>
    <hyperlink r:id="rId2936" ref="I1498"/>
    <hyperlink r:id="rId2937" ref="J1498"/>
    <hyperlink r:id="rId2938" ref="H1499"/>
    <hyperlink r:id="rId2939" ref="I1499"/>
    <hyperlink r:id="rId2940" ref="H1500"/>
    <hyperlink r:id="rId2941" ref="I1500"/>
    <hyperlink r:id="rId2942" ref="H1501"/>
    <hyperlink r:id="rId2943" ref="I1501"/>
    <hyperlink r:id="rId2944" ref="J1501"/>
    <hyperlink r:id="rId2945" ref="H1502"/>
    <hyperlink r:id="rId2946" ref="I1502"/>
    <hyperlink r:id="rId2947" ref="H1503"/>
    <hyperlink r:id="rId2948" ref="I1503"/>
    <hyperlink r:id="rId2949" ref="H1504"/>
    <hyperlink r:id="rId2950" ref="I1504"/>
    <hyperlink r:id="rId2951" ref="H1505"/>
    <hyperlink r:id="rId2952" ref="I1505"/>
    <hyperlink r:id="rId2953" ref="J1505"/>
    <hyperlink r:id="rId2954" ref="H1506"/>
    <hyperlink r:id="rId2955" ref="I1506"/>
    <hyperlink r:id="rId2956" ref="H1507"/>
    <hyperlink r:id="rId2957" ref="I1507"/>
    <hyperlink r:id="rId2958" ref="H1508"/>
    <hyperlink r:id="rId2959" ref="I1508"/>
    <hyperlink r:id="rId2960" ref="H1509"/>
    <hyperlink r:id="rId2961" ref="I1509"/>
    <hyperlink r:id="rId2962" ref="H1510"/>
    <hyperlink r:id="rId2963" ref="H1511"/>
    <hyperlink r:id="rId2964" ref="I1511"/>
    <hyperlink r:id="rId2965" ref="H1512"/>
    <hyperlink r:id="rId2966" ref="H1513"/>
    <hyperlink r:id="rId2967" ref="I1513"/>
    <hyperlink r:id="rId2968" ref="H1514"/>
    <hyperlink r:id="rId2969" ref="I1514"/>
    <hyperlink r:id="rId2970" ref="H1515"/>
    <hyperlink r:id="rId2971" ref="I1515"/>
    <hyperlink r:id="rId2972" ref="H1516"/>
    <hyperlink r:id="rId2973" ref="I1516"/>
    <hyperlink r:id="rId2974" ref="H1517"/>
    <hyperlink r:id="rId2975" ref="I1517"/>
    <hyperlink r:id="rId2976" ref="H1518"/>
    <hyperlink r:id="rId2977" ref="I1518"/>
    <hyperlink r:id="rId2978" ref="H1519"/>
    <hyperlink r:id="rId2979" ref="I1519"/>
    <hyperlink r:id="rId2980" ref="H1520"/>
    <hyperlink r:id="rId2981" ref="H1521"/>
    <hyperlink r:id="rId2982" ref="H1522"/>
    <hyperlink r:id="rId2983" ref="I1522"/>
    <hyperlink r:id="rId2984" ref="H1523"/>
    <hyperlink r:id="rId2985" ref="I1523"/>
    <hyperlink r:id="rId2986" ref="J1523"/>
    <hyperlink r:id="rId2987" ref="H1524"/>
    <hyperlink r:id="rId2988" ref="I1524"/>
    <hyperlink r:id="rId2989" ref="I1525"/>
    <hyperlink r:id="rId2990" ref="H1526"/>
    <hyperlink r:id="rId2991" ref="I1526"/>
    <hyperlink r:id="rId2992" ref="H1527"/>
    <hyperlink r:id="rId2993" ref="I1527"/>
    <hyperlink r:id="rId2994" ref="H1528"/>
    <hyperlink r:id="rId2995" ref="I1528"/>
    <hyperlink r:id="rId2996" ref="J1528"/>
    <hyperlink r:id="rId2997" ref="H1529"/>
    <hyperlink r:id="rId2998" ref="I1529"/>
    <hyperlink r:id="rId2999" ref="J1529"/>
    <hyperlink r:id="rId3000" ref="H1530"/>
    <hyperlink r:id="rId3001" ref="I1530"/>
    <hyperlink r:id="rId3002" ref="J1530"/>
    <hyperlink r:id="rId3003" ref="H1531"/>
    <hyperlink r:id="rId3004" ref="I1531"/>
    <hyperlink r:id="rId3005" ref="H1532"/>
    <hyperlink r:id="rId3006" ref="I1532"/>
    <hyperlink r:id="rId3007" ref="J1532"/>
    <hyperlink r:id="rId3008" ref="H1533"/>
    <hyperlink r:id="rId3009" ref="I1533"/>
    <hyperlink r:id="rId3010" ref="H1534"/>
    <hyperlink r:id="rId3011" ref="I1534"/>
    <hyperlink r:id="rId3012" ref="H1535"/>
    <hyperlink r:id="rId3013" ref="I1535"/>
    <hyperlink r:id="rId3014" ref="H1536"/>
    <hyperlink r:id="rId3015" ref="I1536"/>
    <hyperlink r:id="rId3016" ref="H1537"/>
    <hyperlink r:id="rId3017" ref="I1537"/>
    <hyperlink r:id="rId3018" ref="J1537"/>
    <hyperlink r:id="rId3019" ref="H1538"/>
    <hyperlink r:id="rId3020" ref="I1538"/>
    <hyperlink r:id="rId3021" ref="H1539"/>
    <hyperlink r:id="rId3022" ref="I1539"/>
    <hyperlink r:id="rId3023" ref="H1540"/>
    <hyperlink r:id="rId3024" ref="I1540"/>
    <hyperlink r:id="rId3025" ref="H1541"/>
    <hyperlink r:id="rId3026" ref="I1541"/>
    <hyperlink r:id="rId3027" ref="H1542"/>
    <hyperlink r:id="rId3028" ref="H1543"/>
    <hyperlink r:id="rId3029" ref="I1543"/>
    <hyperlink r:id="rId3030" ref="J1543"/>
    <hyperlink r:id="rId3031" ref="H1544"/>
    <hyperlink r:id="rId3032" ref="I1544"/>
    <hyperlink r:id="rId3033" ref="J1544"/>
    <hyperlink r:id="rId3034" ref="H1545"/>
    <hyperlink r:id="rId3035" ref="I1545"/>
    <hyperlink r:id="rId3036" ref="H1546"/>
    <hyperlink r:id="rId3037" ref="I1546"/>
    <hyperlink r:id="rId3038" ref="J1546"/>
    <hyperlink r:id="rId3039" ref="H1547"/>
    <hyperlink r:id="rId3040" ref="I1547"/>
    <hyperlink r:id="rId3041" ref="H1548"/>
    <hyperlink r:id="rId3042" ref="I1548"/>
    <hyperlink r:id="rId3043" ref="H1549"/>
    <hyperlink r:id="rId3044" ref="I1549"/>
    <hyperlink r:id="rId3045" ref="H1550"/>
    <hyperlink r:id="rId3046" ref="I1550"/>
    <hyperlink r:id="rId3047" ref="H1551"/>
    <hyperlink r:id="rId3048" ref="I1551"/>
    <hyperlink r:id="rId3049" ref="H1552"/>
    <hyperlink r:id="rId3050" ref="I1552"/>
    <hyperlink r:id="rId3051" ref="H1553"/>
    <hyperlink r:id="rId3052" ref="H1554"/>
    <hyperlink r:id="rId3053" ref="I1554"/>
    <hyperlink r:id="rId3054" ref="H1555"/>
    <hyperlink r:id="rId3055" ref="I1555"/>
    <hyperlink r:id="rId3056" ref="I1556"/>
    <hyperlink r:id="rId3057" ref="H1557"/>
    <hyperlink r:id="rId3058" ref="I1557"/>
    <hyperlink r:id="rId3059" ref="H1558"/>
    <hyperlink r:id="rId3060" ref="I1558"/>
    <hyperlink r:id="rId3061" ref="H1559"/>
    <hyperlink r:id="rId3062" ref="H1560"/>
    <hyperlink r:id="rId3063" ref="H1561"/>
    <hyperlink r:id="rId3064" ref="J1561"/>
    <hyperlink r:id="rId3065" ref="H1562"/>
    <hyperlink r:id="rId3066" ref="H1563"/>
    <hyperlink r:id="rId3067" ref="H1564"/>
    <hyperlink r:id="rId3068" ref="H1565"/>
    <hyperlink r:id="rId3069" ref="H1566"/>
    <hyperlink r:id="rId3070" ref="H1567"/>
    <hyperlink r:id="rId3071" ref="H1568"/>
    <hyperlink r:id="rId3072" ref="H1569"/>
    <hyperlink r:id="rId3073" ref="H1570"/>
    <hyperlink r:id="rId3074" ref="J1571"/>
    <hyperlink r:id="rId3075" ref="H1572"/>
    <hyperlink r:id="rId3076" ref="H1573"/>
    <hyperlink r:id="rId3077" ref="H1574"/>
    <hyperlink r:id="rId3078" ref="J1574"/>
    <hyperlink r:id="rId3079" ref="H1575"/>
    <hyperlink r:id="rId3080" ref="H1577"/>
    <hyperlink r:id="rId3081" ref="H1578"/>
    <hyperlink r:id="rId3082" ref="H1579"/>
    <hyperlink r:id="rId3083" ref="H1580"/>
    <hyperlink r:id="rId3084" ref="H1581"/>
    <hyperlink r:id="rId3085" ref="H1582"/>
    <hyperlink r:id="rId3086" ref="H1583"/>
    <hyperlink r:id="rId3087" ref="H1584"/>
    <hyperlink r:id="rId3088" ref="H1585"/>
    <hyperlink r:id="rId3089" ref="H1586"/>
    <hyperlink r:id="rId3090" ref="J1586"/>
    <hyperlink r:id="rId3091" ref="H1587"/>
    <hyperlink r:id="rId3092" ref="I1587"/>
    <hyperlink r:id="rId3093" ref="H1588"/>
    <hyperlink r:id="rId3094" ref="H1589"/>
    <hyperlink r:id="rId3095" ref="J1589"/>
    <hyperlink r:id="rId3096" ref="H1590"/>
    <hyperlink r:id="rId3097" ref="H1591"/>
    <hyperlink r:id="rId3098" ref="H1592"/>
    <hyperlink r:id="rId3099" ref="H1593"/>
    <hyperlink r:id="rId3100" ref="H1594"/>
    <hyperlink r:id="rId3101" ref="H1595"/>
    <hyperlink r:id="rId3102" ref="H1596"/>
    <hyperlink r:id="rId3103" ref="H1597"/>
    <hyperlink r:id="rId3104" ref="H1598"/>
    <hyperlink r:id="rId3105" ref="H1599"/>
    <hyperlink r:id="rId3106" ref="H1600"/>
    <hyperlink r:id="rId3107" ref="H1601"/>
    <hyperlink r:id="rId3108" ref="H1602"/>
    <hyperlink r:id="rId3109" ref="I1602"/>
    <hyperlink r:id="rId3110" ref="H1603"/>
    <hyperlink r:id="rId3111" ref="I1603"/>
    <hyperlink r:id="rId3112" ref="H1604"/>
    <hyperlink r:id="rId3113" ref="I1604"/>
    <hyperlink r:id="rId3114" ref="H1605"/>
    <hyperlink r:id="rId3115" ref="I1606"/>
    <hyperlink r:id="rId3116" ref="H1607"/>
    <hyperlink r:id="rId3117" ref="I1607"/>
    <hyperlink r:id="rId3118" ref="H1608"/>
    <hyperlink r:id="rId3119" ref="I1608"/>
    <hyperlink r:id="rId3120" ref="J1608"/>
    <hyperlink r:id="rId3121" ref="H1609"/>
    <hyperlink r:id="rId3122" ref="H1610"/>
    <hyperlink r:id="rId3123" ref="H1611"/>
    <hyperlink r:id="rId3124" ref="I1611"/>
    <hyperlink r:id="rId3125" ref="I1612"/>
    <hyperlink r:id="rId3126" ref="H1613"/>
    <hyperlink r:id="rId3127" ref="I1613"/>
    <hyperlink r:id="rId3128" ref="H1614"/>
    <hyperlink r:id="rId3129" ref="I1614"/>
    <hyperlink r:id="rId3130" ref="J1614"/>
    <hyperlink r:id="rId3131" ref="H1615"/>
    <hyperlink r:id="rId3132" ref="I1615"/>
    <hyperlink r:id="rId3133" ref="H1616"/>
    <hyperlink r:id="rId3134" ref="I1616"/>
    <hyperlink r:id="rId3135" ref="J1616"/>
    <hyperlink r:id="rId3136" ref="I1617"/>
    <hyperlink r:id="rId3137" ref="H1618"/>
    <hyperlink r:id="rId3138" ref="I1618"/>
    <hyperlink r:id="rId3139" ref="H1619"/>
    <hyperlink r:id="rId3140" ref="I1619"/>
    <hyperlink r:id="rId3141" ref="H1620"/>
    <hyperlink r:id="rId3142" ref="I1620"/>
    <hyperlink r:id="rId3143" ref="J1620"/>
    <hyperlink r:id="rId3144" ref="I1621"/>
    <hyperlink r:id="rId3145" ref="H1622"/>
    <hyperlink r:id="rId3146" ref="I1622"/>
    <hyperlink r:id="rId3147" ref="H1623"/>
    <hyperlink r:id="rId3148" ref="I1623"/>
    <hyperlink r:id="rId3149" ref="J1623"/>
    <hyperlink r:id="rId3150" ref="H1624"/>
    <hyperlink r:id="rId3151" ref="I1624"/>
    <hyperlink r:id="rId3152" ref="H1625"/>
    <hyperlink r:id="rId3153" ref="I1625"/>
    <hyperlink r:id="rId3154" ref="J1625"/>
    <hyperlink r:id="rId3155" ref="H1626"/>
    <hyperlink r:id="rId3156" ref="I1626"/>
    <hyperlink r:id="rId3157" ref="H1627"/>
    <hyperlink r:id="rId3158" ref="I1627"/>
    <hyperlink r:id="rId3159" ref="H1628"/>
    <hyperlink r:id="rId3160" ref="I1628"/>
    <hyperlink r:id="rId3161" ref="H1629"/>
    <hyperlink r:id="rId3162" ref="I1629"/>
    <hyperlink r:id="rId3163" ref="H1630"/>
    <hyperlink r:id="rId3164" ref="I1630"/>
    <hyperlink r:id="rId3165" ref="H1631"/>
    <hyperlink r:id="rId3166" ref="J1631"/>
    <hyperlink r:id="rId3167" ref="H1632"/>
    <hyperlink r:id="rId3168" ref="I1632"/>
    <hyperlink r:id="rId3169" ref="H1633"/>
    <hyperlink r:id="rId3170" ref="I1633"/>
    <hyperlink r:id="rId3171" ref="H1634"/>
    <hyperlink r:id="rId3172" ref="H1635"/>
    <hyperlink r:id="rId3173" ref="I1635"/>
    <hyperlink r:id="rId3174" ref="H1636"/>
    <hyperlink r:id="rId3175" ref="I1636"/>
    <hyperlink r:id="rId3176" ref="H1637"/>
    <hyperlink r:id="rId3177" ref="I1637"/>
    <hyperlink r:id="rId3178" ref="H1638"/>
    <hyperlink r:id="rId3179" ref="J1638"/>
    <hyperlink r:id="rId3180" ref="H1639"/>
    <hyperlink r:id="rId3181" ref="I1639"/>
    <hyperlink r:id="rId3182" ref="H1640"/>
    <hyperlink r:id="rId3183" ref="I1640"/>
    <hyperlink r:id="rId3184" ref="H1642"/>
    <hyperlink r:id="rId3185" ref="H1643"/>
    <hyperlink r:id="rId3186" ref="I1643"/>
    <hyperlink r:id="rId3187" ref="H1644"/>
    <hyperlink r:id="rId3188" ref="I1644"/>
    <hyperlink r:id="rId3189" ref="J1644"/>
    <hyperlink r:id="rId3190" ref="H1645"/>
    <hyperlink r:id="rId3191" ref="I1645"/>
    <hyperlink r:id="rId3192" ref="J1645"/>
    <hyperlink r:id="rId3193" ref="H1646"/>
    <hyperlink r:id="rId3194" ref="I1646"/>
    <hyperlink r:id="rId3195" ref="H1647"/>
    <hyperlink r:id="rId3196" ref="I1647"/>
    <hyperlink r:id="rId3197" ref="H1648"/>
    <hyperlink r:id="rId3198" ref="I1648"/>
    <hyperlink r:id="rId3199" ref="I1649"/>
    <hyperlink r:id="rId3200" ref="H1650"/>
    <hyperlink r:id="rId3201" ref="I1650"/>
    <hyperlink r:id="rId3202" ref="H1651"/>
    <hyperlink r:id="rId3203" ref="I1651"/>
    <hyperlink r:id="rId3204" ref="H1652"/>
    <hyperlink r:id="rId3205" ref="H1653"/>
    <hyperlink r:id="rId3206" ref="I1653"/>
    <hyperlink r:id="rId3207" ref="H1654"/>
    <hyperlink r:id="rId3208" ref="I1654"/>
    <hyperlink r:id="rId3209" ref="J1654"/>
    <hyperlink r:id="rId3210" ref="H1655"/>
    <hyperlink r:id="rId3211" ref="I1655"/>
    <hyperlink r:id="rId3212" ref="J1655"/>
    <hyperlink r:id="rId3213" ref="H1656"/>
    <hyperlink r:id="rId3214" ref="I1656"/>
    <hyperlink r:id="rId3215" ref="I1657"/>
    <hyperlink r:id="rId3216" ref="J1657"/>
    <hyperlink r:id="rId3217" ref="H1658"/>
    <hyperlink r:id="rId3218" ref="I1658"/>
    <hyperlink r:id="rId3219" ref="H1659"/>
    <hyperlink r:id="rId3220" ref="I1659"/>
    <hyperlink r:id="rId3221" ref="H1660"/>
    <hyperlink r:id="rId3222" ref="I1660"/>
    <hyperlink r:id="rId3223" ref="H1661"/>
    <hyperlink r:id="rId3224" ref="I1661"/>
    <hyperlink r:id="rId3225" ref="J1661"/>
    <hyperlink r:id="rId3226" ref="H1662"/>
    <hyperlink r:id="rId3227" ref="H1663"/>
    <hyperlink r:id="rId3228" ref="I1663"/>
    <hyperlink r:id="rId3229" ref="I1664"/>
    <hyperlink r:id="rId3230" ref="H1665"/>
    <hyperlink r:id="rId3231" ref="H1666"/>
    <hyperlink r:id="rId3232" ref="I1666"/>
    <hyperlink r:id="rId3233" ref="H1667"/>
    <hyperlink r:id="rId3234" ref="I1667"/>
    <hyperlink r:id="rId3235" ref="J1667"/>
    <hyperlink r:id="rId3236" ref="H1668"/>
    <hyperlink r:id="rId3237" ref="J1668"/>
    <hyperlink r:id="rId3238" ref="H1669"/>
    <hyperlink r:id="rId3239" ref="I1669"/>
    <hyperlink r:id="rId3240" ref="H1670"/>
    <hyperlink r:id="rId3241" ref="I1670"/>
    <hyperlink r:id="rId3242" ref="H1671"/>
    <hyperlink r:id="rId3243" ref="H1672"/>
    <hyperlink r:id="rId3244" ref="I1672"/>
    <hyperlink r:id="rId3245" ref="H1673"/>
    <hyperlink r:id="rId3246" ref="I1673"/>
    <hyperlink r:id="rId3247" ref="J1673"/>
    <hyperlink r:id="rId3248" ref="I1674"/>
    <hyperlink r:id="rId3249" ref="I1675"/>
    <hyperlink r:id="rId3250" ref="I1676"/>
    <hyperlink r:id="rId3251" ref="H1677"/>
    <hyperlink r:id="rId3252" ref="H1678"/>
    <hyperlink r:id="rId3253" ref="I1678"/>
    <hyperlink r:id="rId3254" ref="I1679"/>
    <hyperlink r:id="rId3255" ref="H1680"/>
    <hyperlink r:id="rId3256" ref="I1680"/>
    <hyperlink r:id="rId3257" ref="I1681"/>
    <hyperlink r:id="rId3258" ref="H1682"/>
    <hyperlink r:id="rId3259" ref="I1682"/>
    <hyperlink r:id="rId3260" ref="J1682"/>
    <hyperlink r:id="rId3261" ref="H1683"/>
    <hyperlink r:id="rId3262" ref="I1683"/>
    <hyperlink r:id="rId3263" ref="H1684"/>
    <hyperlink r:id="rId3264" ref="I1684"/>
    <hyperlink r:id="rId3265" ref="J1684"/>
    <hyperlink r:id="rId3266" ref="I1685"/>
    <hyperlink r:id="rId3267" ref="H1686"/>
    <hyperlink r:id="rId3268" ref="I1686"/>
    <hyperlink r:id="rId3269" ref="H1687"/>
    <hyperlink r:id="rId3270" ref="I1687"/>
    <hyperlink r:id="rId3271" ref="H1688"/>
    <hyperlink r:id="rId3272" ref="I1688"/>
    <hyperlink r:id="rId3273" ref="J1688"/>
    <hyperlink r:id="rId3274" ref="H1689"/>
    <hyperlink r:id="rId3275" ref="I1689"/>
    <hyperlink r:id="rId3276" ref="H1690"/>
    <hyperlink r:id="rId3277" ref="I1690"/>
    <hyperlink r:id="rId3278" ref="H1691"/>
    <hyperlink r:id="rId3279" ref="I1691"/>
    <hyperlink r:id="rId3280" ref="J1691"/>
    <hyperlink r:id="rId3281" ref="H1692"/>
    <hyperlink r:id="rId3282" ref="I1692"/>
    <hyperlink r:id="rId3283" ref="H1693"/>
    <hyperlink r:id="rId3284" ref="I1693"/>
    <hyperlink r:id="rId3285" ref="H1694"/>
    <hyperlink r:id="rId3286" ref="I1694"/>
    <hyperlink r:id="rId3287" ref="J1694"/>
    <hyperlink r:id="rId3288" ref="H1695"/>
    <hyperlink r:id="rId3289" ref="I1695"/>
    <hyperlink r:id="rId3290" ref="H1696"/>
    <hyperlink r:id="rId3291" ref="I1696"/>
    <hyperlink r:id="rId3292" ref="H1697"/>
    <hyperlink r:id="rId3293" ref="I1697"/>
    <hyperlink r:id="rId3294" ref="J1697"/>
    <hyperlink r:id="rId3295" ref="H1698"/>
    <hyperlink r:id="rId3296" ref="I1698"/>
    <hyperlink r:id="rId3297" ref="H1699"/>
    <hyperlink r:id="rId3298" ref="I1699"/>
    <hyperlink r:id="rId3299" ref="H1700"/>
    <hyperlink r:id="rId3300" ref="I1700"/>
    <hyperlink r:id="rId3301" ref="H1701"/>
    <hyperlink r:id="rId3302" ref="I1701"/>
    <hyperlink r:id="rId3303" ref="H1702"/>
    <hyperlink r:id="rId3304" ref="I1702"/>
    <hyperlink r:id="rId3305" ref="J1702"/>
    <hyperlink r:id="rId3306" ref="H1703"/>
    <hyperlink r:id="rId3307" ref="I1703"/>
    <hyperlink r:id="rId3308" ref="I1704"/>
    <hyperlink r:id="rId3309" ref="H1705"/>
    <hyperlink r:id="rId3310" ref="I1705"/>
    <hyperlink r:id="rId3311" ref="H1706"/>
    <hyperlink r:id="rId3312" ref="I1706"/>
    <hyperlink r:id="rId3313" ref="H1707"/>
    <hyperlink r:id="rId3314" ref="I1707"/>
    <hyperlink r:id="rId3315" ref="H1708"/>
    <hyperlink r:id="rId3316" ref="I1708"/>
    <hyperlink r:id="rId3317" ref="H1710"/>
    <hyperlink r:id="rId3318" ref="H1711"/>
    <hyperlink r:id="rId3319" ref="H1712"/>
    <hyperlink r:id="rId3320" ref="H1713"/>
    <hyperlink r:id="rId3321" ref="H1714"/>
    <hyperlink r:id="rId3322" ref="I1714"/>
    <hyperlink r:id="rId3323" ref="H1715"/>
    <hyperlink r:id="rId3324" ref="I1715"/>
    <hyperlink r:id="rId3325" ref="H1716"/>
    <hyperlink r:id="rId3326" ref="H1717"/>
    <hyperlink r:id="rId3327" ref="J1717"/>
    <hyperlink r:id="rId3328" ref="H1718"/>
    <hyperlink r:id="rId3329" ref="I1718"/>
    <hyperlink r:id="rId3330" ref="H1719"/>
    <hyperlink r:id="rId3331" ref="I1719"/>
    <hyperlink r:id="rId3332" ref="I1720"/>
    <hyperlink r:id="rId3333" ref="H1721"/>
    <hyperlink r:id="rId3334" ref="I1721"/>
    <hyperlink r:id="rId3335" ref="H1722"/>
    <hyperlink r:id="rId3336" ref="I1722"/>
    <hyperlink r:id="rId3337" ref="J1722"/>
    <hyperlink r:id="rId3338" ref="H1723"/>
    <hyperlink r:id="rId3339" ref="I1723"/>
    <hyperlink r:id="rId3340" ref="H1724"/>
    <hyperlink r:id="rId3341" ref="I1724"/>
    <hyperlink r:id="rId3342" ref="H1725"/>
    <hyperlink r:id="rId3343" ref="I1725"/>
    <hyperlink r:id="rId3344" ref="H1726"/>
    <hyperlink r:id="rId3345" ref="I1726"/>
    <hyperlink r:id="rId3346" ref="I1727"/>
    <hyperlink r:id="rId3347" ref="H1728"/>
    <hyperlink r:id="rId3348" ref="I1728"/>
    <hyperlink r:id="rId3349" ref="H1729"/>
    <hyperlink r:id="rId3350" ref="I1729"/>
    <hyperlink r:id="rId3351" ref="J1729"/>
    <hyperlink r:id="rId3352" ref="H1730"/>
    <hyperlink r:id="rId3353" ref="I1730"/>
    <hyperlink r:id="rId3354" ref="H1731"/>
    <hyperlink r:id="rId3355" ref="I1731"/>
    <hyperlink r:id="rId3356" ref="H1732"/>
    <hyperlink r:id="rId3357" ref="I1732"/>
    <hyperlink r:id="rId3358" ref="H1733"/>
    <hyperlink r:id="rId3359" ref="I1733"/>
    <hyperlink r:id="rId3360" ref="J1733"/>
    <hyperlink r:id="rId3361" ref="H1734"/>
    <hyperlink r:id="rId3362" ref="I1734"/>
    <hyperlink r:id="rId3363" ref="J1734"/>
    <hyperlink r:id="rId3364" ref="H1735"/>
    <hyperlink r:id="rId3365" ref="I1735"/>
    <hyperlink r:id="rId3366" ref="H1736"/>
    <hyperlink r:id="rId3367" ref="I1736"/>
    <hyperlink r:id="rId3368" ref="J1736"/>
    <hyperlink r:id="rId3369" ref="H1737"/>
    <hyperlink r:id="rId3370" ref="I1737"/>
    <hyperlink r:id="rId3371" ref="J1737"/>
    <hyperlink r:id="rId3372" ref="H1738"/>
    <hyperlink r:id="rId3373" ref="I1738"/>
    <hyperlink r:id="rId3374" ref="H1739"/>
    <hyperlink r:id="rId3375" ref="I1739"/>
    <hyperlink r:id="rId3376" ref="J1739"/>
    <hyperlink r:id="rId3377" ref="H1740"/>
    <hyperlink r:id="rId3378" ref="I1740"/>
    <hyperlink r:id="rId3379" ref="H1741"/>
    <hyperlink r:id="rId3380" ref="I1741"/>
    <hyperlink r:id="rId3381" ref="J1741"/>
    <hyperlink r:id="rId3382" ref="H1742"/>
    <hyperlink r:id="rId3383" ref="I1742"/>
    <hyperlink r:id="rId3384" ref="H1743"/>
    <hyperlink r:id="rId3385" ref="I1743"/>
    <hyperlink r:id="rId3386" ref="J1743"/>
    <hyperlink r:id="rId3387" ref="H1744"/>
    <hyperlink r:id="rId3388" ref="I1744"/>
    <hyperlink r:id="rId3389" ref="H1745"/>
    <hyperlink r:id="rId3390" ref="H1746"/>
    <hyperlink r:id="rId3391" ref="I1746"/>
    <hyperlink r:id="rId3392" ref="H1747"/>
    <hyperlink r:id="rId3393" ref="I1748"/>
    <hyperlink r:id="rId3394" ref="H1749"/>
    <hyperlink r:id="rId3395" ref="I1749"/>
    <hyperlink r:id="rId3396" ref="H1750"/>
    <hyperlink r:id="rId3397" ref="I1750"/>
    <hyperlink r:id="rId3398" ref="H1751"/>
    <hyperlink r:id="rId3399" ref="H1752"/>
    <hyperlink r:id="rId3400" ref="I1752"/>
    <hyperlink r:id="rId3401" ref="H1753"/>
    <hyperlink r:id="rId3402" ref="H1754"/>
    <hyperlink r:id="rId3403" ref="I1754"/>
    <hyperlink r:id="rId3404" ref="H1755"/>
    <hyperlink r:id="rId3405" ref="H1757"/>
    <hyperlink r:id="rId3406" ref="H1758"/>
    <hyperlink r:id="rId3407" ref="I1758"/>
    <hyperlink r:id="rId3408" ref="H1759"/>
    <hyperlink r:id="rId3409" ref="I1760"/>
    <hyperlink r:id="rId3410" ref="J1760"/>
    <hyperlink r:id="rId3411" ref="H1761"/>
    <hyperlink r:id="rId3412" ref="I1761"/>
    <hyperlink r:id="rId3413" ref="I1762"/>
    <hyperlink r:id="rId3414" ref="H1763"/>
    <hyperlink r:id="rId3415" ref="H1764"/>
    <hyperlink r:id="rId3416" ref="I1764"/>
    <hyperlink r:id="rId3417" ref="H1765"/>
    <hyperlink r:id="rId3418" ref="I1765"/>
    <hyperlink r:id="rId3419" ref="J1765"/>
    <hyperlink r:id="rId3420" ref="H1766"/>
    <hyperlink r:id="rId3421" ref="H1767"/>
    <hyperlink r:id="rId3422" ref="I1767"/>
    <hyperlink r:id="rId3423" ref="H1768"/>
    <hyperlink r:id="rId3424" ref="I1768"/>
    <hyperlink r:id="rId3425" ref="H1769"/>
    <hyperlink r:id="rId3426" ref="H1770"/>
    <hyperlink r:id="rId3427" ref="I1770"/>
    <hyperlink r:id="rId3428" ref="H1771"/>
    <hyperlink r:id="rId3429" ref="I1771"/>
    <hyperlink r:id="rId3430" ref="H1772"/>
    <hyperlink r:id="rId3431" ref="I1772"/>
    <hyperlink r:id="rId3432" ref="H1773"/>
    <hyperlink r:id="rId3433" ref="I1773"/>
    <hyperlink r:id="rId3434" ref="H1774"/>
    <hyperlink r:id="rId3435" ref="I1774"/>
    <hyperlink r:id="rId3436" ref="J1774"/>
    <hyperlink r:id="rId3437" ref="H1775"/>
    <hyperlink r:id="rId3438" ref="I1775"/>
    <hyperlink r:id="rId3439" ref="J1775"/>
    <hyperlink r:id="rId3440" ref="I1776"/>
    <hyperlink r:id="rId3441" ref="H1777"/>
    <hyperlink r:id="rId3442" ref="I1777"/>
    <hyperlink r:id="rId3443" ref="H1778"/>
    <hyperlink r:id="rId3444" ref="I1778"/>
    <hyperlink r:id="rId3445" ref="J1778"/>
    <hyperlink r:id="rId3446" ref="H1779"/>
    <hyperlink r:id="rId3447" ref="I1779"/>
    <hyperlink r:id="rId3448" ref="H1780"/>
    <hyperlink r:id="rId3449" ref="I1780"/>
    <hyperlink r:id="rId3450" ref="J1780"/>
    <hyperlink r:id="rId3451" ref="I1781"/>
    <hyperlink r:id="rId3452" ref="H1782"/>
    <hyperlink r:id="rId3453" ref="I1782"/>
    <hyperlink r:id="rId3454" ref="H1783"/>
    <hyperlink r:id="rId3455" ref="I1783"/>
    <hyperlink r:id="rId3456" ref="J1783"/>
    <hyperlink r:id="rId3457" ref="H1784"/>
    <hyperlink r:id="rId3458" ref="I1784"/>
    <hyperlink r:id="rId3459" ref="H1785"/>
    <hyperlink r:id="rId3460" ref="I1785"/>
    <hyperlink r:id="rId3461" ref="H1786"/>
    <hyperlink r:id="rId3462" ref="I1786"/>
    <hyperlink r:id="rId3463" ref="H1787"/>
    <hyperlink r:id="rId3464" ref="I1787"/>
    <hyperlink r:id="rId3465" ref="H1788"/>
    <hyperlink r:id="rId3466" ref="I1788"/>
    <hyperlink r:id="rId3467" ref="J1788"/>
    <hyperlink r:id="rId3468" ref="H1789"/>
    <hyperlink r:id="rId3469" ref="I1789"/>
    <hyperlink r:id="rId3470" ref="J1789"/>
    <hyperlink r:id="rId3471" ref="H1790"/>
    <hyperlink r:id="rId3472" ref="I1790"/>
    <hyperlink r:id="rId3473" ref="J1790"/>
    <hyperlink r:id="rId3474" ref="H1791"/>
    <hyperlink r:id="rId3475" ref="I1791"/>
    <hyperlink r:id="rId3476" ref="H1792"/>
    <hyperlink r:id="rId3477" ref="I1792"/>
    <hyperlink r:id="rId3478" ref="J1792"/>
    <hyperlink r:id="rId3479" ref="H1793"/>
    <hyperlink r:id="rId3480" ref="I1793"/>
    <hyperlink r:id="rId3481" ref="H1794"/>
    <hyperlink r:id="rId3482" ref="I1794"/>
    <hyperlink r:id="rId3483" ref="H1795"/>
    <hyperlink r:id="rId3484" ref="I1795"/>
    <hyperlink r:id="rId3485" ref="J1795"/>
    <hyperlink r:id="rId3486" ref="H1796"/>
    <hyperlink r:id="rId3487" ref="H1797"/>
    <hyperlink r:id="rId3488" ref="I1797"/>
    <hyperlink r:id="rId3489" ref="H1798"/>
    <hyperlink r:id="rId3490" ref="I1798"/>
    <hyperlink r:id="rId3491" ref="J1798"/>
    <hyperlink r:id="rId3492" ref="H1799"/>
    <hyperlink r:id="rId3493" ref="I1799"/>
    <hyperlink r:id="rId3494" ref="H1800"/>
    <hyperlink r:id="rId3495" ref="I1800"/>
    <hyperlink r:id="rId3496" ref="H1801"/>
    <hyperlink r:id="rId3497" ref="I1801"/>
    <hyperlink r:id="rId3498" ref="J1801"/>
    <hyperlink r:id="rId3499" ref="H1802"/>
    <hyperlink r:id="rId3500" ref="I1802"/>
    <hyperlink r:id="rId3501" ref="H1803"/>
    <hyperlink r:id="rId3502" ref="I1803"/>
    <hyperlink r:id="rId3503" ref="H1804"/>
    <hyperlink r:id="rId3504" ref="I1804"/>
    <hyperlink r:id="rId3505" ref="H1805"/>
    <hyperlink r:id="rId3506" ref="I1805"/>
    <hyperlink r:id="rId3507" ref="J1805"/>
    <hyperlink r:id="rId3508" ref="H1806"/>
    <hyperlink r:id="rId3509" ref="I1806"/>
    <hyperlink r:id="rId3510" ref="H1807"/>
    <hyperlink r:id="rId3511" ref="I1807"/>
    <hyperlink r:id="rId3512" ref="H1808"/>
    <hyperlink r:id="rId3513" ref="I1808"/>
    <hyperlink r:id="rId3514" ref="H1809"/>
    <hyperlink r:id="rId3515" ref="I1809"/>
    <hyperlink r:id="rId3516" ref="J1809"/>
    <hyperlink r:id="rId3517" ref="H1810"/>
    <hyperlink r:id="rId3518" ref="I1810"/>
    <hyperlink r:id="rId3519" ref="H1811"/>
    <hyperlink r:id="rId3520" ref="J1811"/>
    <hyperlink r:id="rId3521" ref="H1812"/>
    <hyperlink r:id="rId3522" ref="I1812"/>
    <hyperlink r:id="rId3523" ref="H1813"/>
    <hyperlink r:id="rId3524" ref="H1814"/>
    <hyperlink r:id="rId3525" ref="I1814"/>
    <hyperlink r:id="rId3526" ref="H1815"/>
    <hyperlink r:id="rId3527" ref="H1816"/>
    <hyperlink r:id="rId3528" ref="H1817"/>
    <hyperlink r:id="rId3529" ref="H1818"/>
    <hyperlink r:id="rId3530" ref="I1818"/>
    <hyperlink r:id="rId3531" ref="H1819"/>
    <hyperlink r:id="rId3532" ref="I1819"/>
    <hyperlink r:id="rId3533" ref="J1819"/>
    <hyperlink r:id="rId3534" ref="H1820"/>
    <hyperlink r:id="rId3535" ref="H1821"/>
    <hyperlink r:id="rId3536" ref="I1821"/>
    <hyperlink r:id="rId3537" ref="H1822"/>
    <hyperlink r:id="rId3538" ref="H1823"/>
    <hyperlink r:id="rId3539" ref="H1824"/>
    <hyperlink r:id="rId3540" ref="J1824"/>
    <hyperlink r:id="rId3541" ref="H1825"/>
    <hyperlink r:id="rId3542" ref="H1826"/>
    <hyperlink r:id="rId3543" ref="I1827"/>
    <hyperlink r:id="rId3544" ref="H1828"/>
    <hyperlink r:id="rId3545" ref="I1828"/>
    <hyperlink r:id="rId3546" ref="I1829"/>
    <hyperlink r:id="rId3547" ref="H1830"/>
    <hyperlink r:id="rId3548" ref="I1830"/>
    <hyperlink r:id="rId3549" ref="H1831"/>
    <hyperlink r:id="rId3550" ref="I1831"/>
    <hyperlink r:id="rId3551" ref="H1832"/>
    <hyperlink r:id="rId3552" ref="I1832"/>
    <hyperlink r:id="rId3553" ref="H1833"/>
    <hyperlink r:id="rId3554" ref="I1833"/>
    <hyperlink r:id="rId3555" ref="H1834"/>
    <hyperlink r:id="rId3556" ref="I1834"/>
    <hyperlink r:id="rId3557" ref="H1835"/>
    <hyperlink r:id="rId3558" ref="I1835"/>
    <hyperlink r:id="rId3559" ref="J1835"/>
    <hyperlink r:id="rId3560" ref="H1836"/>
    <hyperlink r:id="rId3561" ref="I1836"/>
    <hyperlink r:id="rId3562" ref="H1837"/>
    <hyperlink r:id="rId3563" ref="I1837"/>
    <hyperlink r:id="rId3564" ref="H1838"/>
    <hyperlink r:id="rId3565" ref="I1838"/>
    <hyperlink r:id="rId3566" ref="H1839"/>
    <hyperlink r:id="rId3567" ref="I1839"/>
    <hyperlink r:id="rId3568" ref="I1840"/>
    <hyperlink r:id="rId3569" ref="H1841"/>
    <hyperlink r:id="rId3570" ref="I1841"/>
    <hyperlink r:id="rId3571" ref="H1842"/>
    <hyperlink r:id="rId3572" ref="I1842"/>
    <hyperlink r:id="rId3573" ref="J1842"/>
    <hyperlink r:id="rId3574" ref="H1843"/>
    <hyperlink r:id="rId3575" ref="I1843"/>
    <hyperlink r:id="rId3576" ref="H1844"/>
    <hyperlink r:id="rId3577" ref="I1844"/>
    <hyperlink r:id="rId3578" ref="H1845"/>
    <hyperlink r:id="rId3579" ref="I1845"/>
    <hyperlink r:id="rId3580" ref="H1846"/>
    <hyperlink r:id="rId3581" ref="H1847"/>
    <hyperlink r:id="rId3582" ref="I1847"/>
    <hyperlink r:id="rId3583" ref="H1848"/>
    <hyperlink r:id="rId3584" ref="I1848"/>
    <hyperlink r:id="rId3585" ref="J1848"/>
    <hyperlink r:id="rId3586" ref="H1849"/>
    <hyperlink r:id="rId3587" ref="I1849"/>
    <hyperlink r:id="rId3588" ref="H1850"/>
    <hyperlink r:id="rId3589" ref="I1850"/>
    <hyperlink r:id="rId3590" ref="H1851"/>
    <hyperlink r:id="rId3591" ref="H1852"/>
    <hyperlink r:id="rId3592" ref="I1852"/>
    <hyperlink r:id="rId3593" ref="J1852"/>
    <hyperlink r:id="rId3594" ref="H1853"/>
    <hyperlink r:id="rId3595" ref="I1853"/>
    <hyperlink r:id="rId3596" ref="H1854"/>
    <hyperlink r:id="rId3597" ref="I1854"/>
    <hyperlink r:id="rId3598" ref="H1855"/>
    <hyperlink r:id="rId3599" ref="I1855"/>
    <hyperlink r:id="rId3600" ref="H1856"/>
    <hyperlink r:id="rId3601" ref="I1856"/>
    <hyperlink r:id="rId3602" ref="H1857"/>
    <hyperlink r:id="rId3603" ref="I1857"/>
    <hyperlink r:id="rId3604" ref="J1857"/>
    <hyperlink r:id="rId3605" ref="H1858"/>
    <hyperlink r:id="rId3606" ref="I1858"/>
    <hyperlink r:id="rId3607" ref="J1858"/>
    <hyperlink r:id="rId3608" ref="H1859"/>
    <hyperlink r:id="rId3609" ref="I1859"/>
    <hyperlink r:id="rId3610" ref="J1859"/>
    <hyperlink r:id="rId3611" ref="H1860"/>
    <hyperlink r:id="rId3612" ref="I1860"/>
    <hyperlink r:id="rId3613" ref="H1861"/>
    <hyperlink r:id="rId3614" ref="I1861"/>
    <hyperlink r:id="rId3615" ref="J1861"/>
    <hyperlink r:id="rId3616" ref="H1862"/>
    <hyperlink r:id="rId3617" ref="H1863"/>
    <hyperlink r:id="rId3618" ref="I1863"/>
    <hyperlink r:id="rId3619" ref="H1864"/>
    <hyperlink r:id="rId3620" ref="H1865"/>
    <hyperlink r:id="rId3621" ref="H1866"/>
    <hyperlink r:id="rId3622" ref="H1867"/>
    <hyperlink r:id="rId3623" ref="H1868"/>
    <hyperlink r:id="rId3624" ref="H1869"/>
    <hyperlink r:id="rId3625" ref="I1869"/>
    <hyperlink r:id="rId3626" ref="H1870"/>
    <hyperlink r:id="rId3627" ref="H1871"/>
    <hyperlink r:id="rId3628" ref="H1872"/>
    <hyperlink r:id="rId3629" ref="H1873"/>
    <hyperlink r:id="rId3630" ref="H1874"/>
    <hyperlink r:id="rId3631" ref="H1875"/>
    <hyperlink r:id="rId3632" ref="H1876"/>
    <hyperlink r:id="rId3633" ref="H1877"/>
    <hyperlink r:id="rId3634" ref="I1877"/>
    <hyperlink r:id="rId3635" ref="H1878"/>
    <hyperlink r:id="rId3636" ref="H1879"/>
    <hyperlink r:id="rId3637" ref="I1879"/>
    <hyperlink r:id="rId3638" ref="H1880"/>
    <hyperlink r:id="rId3639" ref="I1880"/>
    <hyperlink r:id="rId3640" ref="J1880"/>
    <hyperlink r:id="rId3641" ref="H1881"/>
    <hyperlink r:id="rId3642" ref="I1881"/>
    <hyperlink r:id="rId3643" ref="H1882"/>
    <hyperlink r:id="rId3644" ref="I1882"/>
    <hyperlink r:id="rId3645" ref="H1883"/>
    <hyperlink r:id="rId3646" ref="I1883"/>
    <hyperlink r:id="rId3647" ref="H1884"/>
    <hyperlink r:id="rId3648" ref="I1884"/>
    <hyperlink r:id="rId3649" ref="J1884"/>
    <hyperlink r:id="rId3650" ref="I1885"/>
    <hyperlink r:id="rId3651" ref="J1885"/>
    <hyperlink r:id="rId3652" ref="H1886"/>
    <hyperlink r:id="rId3653" ref="I1886"/>
    <hyperlink r:id="rId3654" ref="J1886"/>
    <hyperlink r:id="rId3655" ref="H1887"/>
    <hyperlink r:id="rId3656" ref="I1887"/>
    <hyperlink r:id="rId3657" ref="H1888"/>
    <hyperlink r:id="rId3658" ref="H1889"/>
    <hyperlink r:id="rId3659" ref="I1889"/>
    <hyperlink r:id="rId3660" ref="J1889"/>
    <hyperlink r:id="rId3661" ref="H1890"/>
    <hyperlink r:id="rId3662" ref="I1890"/>
    <hyperlink r:id="rId3663" ref="H1891"/>
    <hyperlink r:id="rId3664" ref="I1891"/>
    <hyperlink r:id="rId3665" ref="H1892"/>
    <hyperlink r:id="rId3666" ref="I1892"/>
    <hyperlink r:id="rId3667" ref="H1893"/>
    <hyperlink r:id="rId3668" ref="I1893"/>
    <hyperlink r:id="rId3669" ref="J1893"/>
    <hyperlink r:id="rId3670" ref="H1894"/>
    <hyperlink r:id="rId3671" ref="I1894"/>
    <hyperlink r:id="rId3672" ref="H1895"/>
    <hyperlink r:id="rId3673" ref="I1895"/>
    <hyperlink r:id="rId3674" ref="H1896"/>
    <hyperlink r:id="rId3675" ref="I1896"/>
    <hyperlink r:id="rId3676" ref="J1896"/>
    <hyperlink r:id="rId3677" ref="H1897"/>
    <hyperlink r:id="rId3678" ref="I1897"/>
    <hyperlink r:id="rId3679" ref="H1898"/>
    <hyperlink r:id="rId3680" ref="I1898"/>
    <hyperlink r:id="rId3681" ref="J1898"/>
    <hyperlink r:id="rId3682" ref="H1899"/>
    <hyperlink r:id="rId3683" ref="I1899"/>
    <hyperlink r:id="rId3684" ref="H1900"/>
    <hyperlink r:id="rId3685" ref="I1900"/>
    <hyperlink r:id="rId3686" ref="H1901"/>
    <hyperlink r:id="rId3687" ref="I1901"/>
    <hyperlink r:id="rId3688" ref="H1902"/>
    <hyperlink r:id="rId3689" ref="I1902"/>
    <hyperlink r:id="rId3690" ref="H1903"/>
    <hyperlink r:id="rId3691" ref="I1903"/>
    <hyperlink r:id="rId3692" ref="H1904"/>
    <hyperlink r:id="rId3693" ref="I1904"/>
    <hyperlink r:id="rId3694" ref="H1905"/>
    <hyperlink r:id="rId3695" ref="I1905"/>
    <hyperlink r:id="rId3696" ref="H1906"/>
    <hyperlink r:id="rId3697" ref="I1906"/>
    <hyperlink r:id="rId3698" ref="J1906"/>
    <hyperlink r:id="rId3699" ref="H1907"/>
    <hyperlink r:id="rId3700" ref="I1907"/>
    <hyperlink r:id="rId3701" ref="J1907"/>
    <hyperlink r:id="rId3702" ref="H1908"/>
    <hyperlink r:id="rId3703" ref="I1908"/>
    <hyperlink r:id="rId3704" ref="H1909"/>
    <hyperlink r:id="rId3705" ref="I1909"/>
    <hyperlink r:id="rId3706" ref="J1909"/>
    <hyperlink r:id="rId3707" ref="H1910"/>
    <hyperlink r:id="rId3708" ref="I1910"/>
    <hyperlink r:id="rId3709" ref="H1911"/>
    <hyperlink r:id="rId3710" ref="I1911"/>
    <hyperlink r:id="rId3711" ref="H1912"/>
    <hyperlink r:id="rId3712" ref="I1912"/>
    <hyperlink r:id="rId3713" ref="I1913"/>
    <hyperlink r:id="rId3714" ref="H1914"/>
    <hyperlink r:id="rId3715" ref="J1914"/>
    <hyperlink r:id="rId3716" ref="I1915"/>
    <hyperlink r:id="rId3717" ref="H1916"/>
    <hyperlink r:id="rId3718" ref="H1917"/>
    <hyperlink r:id="rId3719" ref="H1918"/>
    <hyperlink r:id="rId3720" ref="I1918"/>
    <hyperlink r:id="rId3721" ref="H1919"/>
    <hyperlink r:id="rId3722" ref="I1919"/>
    <hyperlink r:id="rId3723" ref="H1920"/>
    <hyperlink r:id="rId3724" ref="I1920"/>
    <hyperlink r:id="rId3725" ref="H1921"/>
    <hyperlink r:id="rId3726" ref="I1921"/>
    <hyperlink r:id="rId3727" ref="H1922"/>
    <hyperlink r:id="rId3728" ref="I1922"/>
    <hyperlink r:id="rId3729" ref="H1923"/>
    <hyperlink r:id="rId3730" ref="H1924"/>
    <hyperlink r:id="rId3731" ref="I1924"/>
    <hyperlink r:id="rId3732" ref="J1924"/>
    <hyperlink r:id="rId3733" ref="H1925"/>
    <hyperlink r:id="rId3734" ref="I1925"/>
    <hyperlink r:id="rId3735" ref="H1926"/>
    <hyperlink r:id="rId3736" ref="I1926"/>
    <hyperlink r:id="rId3737" ref="H1927"/>
    <hyperlink r:id="rId3738" ref="H1928"/>
    <hyperlink r:id="rId3739" ref="I1928"/>
    <hyperlink r:id="rId3740" ref="H1929"/>
    <hyperlink r:id="rId3741" ref="I1929"/>
    <hyperlink r:id="rId3742" ref="J1929"/>
    <hyperlink r:id="rId3743" ref="H1930"/>
    <hyperlink r:id="rId3744" ref="H1931"/>
    <hyperlink r:id="rId3745" ref="H1932"/>
    <hyperlink r:id="rId3746" ref="I1932"/>
    <hyperlink r:id="rId3747" ref="H1933"/>
    <hyperlink r:id="rId3748" ref="I1933"/>
    <hyperlink r:id="rId3749" ref="H1934"/>
    <hyperlink r:id="rId3750" ref="I1934"/>
    <hyperlink r:id="rId3751" ref="H1935"/>
    <hyperlink r:id="rId3752" ref="H1936"/>
    <hyperlink r:id="rId3753" ref="H1937"/>
    <hyperlink r:id="rId3754" ref="H1938"/>
    <hyperlink r:id="rId3755" ref="H1939"/>
    <hyperlink r:id="rId3756" ref="H1940"/>
    <hyperlink r:id="rId3757" ref="I1940"/>
    <hyperlink r:id="rId3758" ref="H1941"/>
    <hyperlink r:id="rId3759" ref="I1941"/>
    <hyperlink r:id="rId3760" ref="H1942"/>
    <hyperlink r:id="rId3761" ref="I1942"/>
    <hyperlink r:id="rId3762" ref="J1942"/>
    <hyperlink r:id="rId3763" ref="I1943"/>
    <hyperlink r:id="rId3764" ref="H1944"/>
    <hyperlink r:id="rId3765" ref="I1944"/>
    <hyperlink r:id="rId3766" ref="H1945"/>
    <hyperlink r:id="rId3767" ref="I1945"/>
    <hyperlink r:id="rId3768" ref="H1946"/>
    <hyperlink r:id="rId3769" ref="I1946"/>
    <hyperlink r:id="rId3770" ref="H1947"/>
    <hyperlink r:id="rId3771" ref="I1947"/>
    <hyperlink r:id="rId3772" ref="H1948"/>
    <hyperlink r:id="rId3773" ref="I1948"/>
    <hyperlink r:id="rId3774" ref="H1949"/>
    <hyperlink r:id="rId3775" ref="I1949"/>
    <hyperlink r:id="rId3776" ref="H1950"/>
    <hyperlink r:id="rId3777" ref="I1950"/>
    <hyperlink r:id="rId3778" ref="I1951"/>
    <hyperlink r:id="rId3779" ref="H1952"/>
    <hyperlink r:id="rId3780" ref="I1952"/>
    <hyperlink r:id="rId3781" ref="I1953"/>
    <hyperlink r:id="rId3782" ref="I1954"/>
    <hyperlink r:id="rId3783" ref="J1954"/>
    <hyperlink r:id="rId3784" ref="H1955"/>
    <hyperlink r:id="rId3785" ref="I1955"/>
    <hyperlink r:id="rId3786" ref="J1955"/>
    <hyperlink r:id="rId3787" ref="H1956"/>
    <hyperlink r:id="rId3788" ref="I1956"/>
    <hyperlink r:id="rId3789" ref="J1956"/>
    <hyperlink r:id="rId3790" ref="H1957"/>
    <hyperlink r:id="rId3791" ref="I1957"/>
    <hyperlink r:id="rId3792" ref="J1957"/>
    <hyperlink r:id="rId3793" ref="H1958"/>
    <hyperlink r:id="rId3794" ref="I1958"/>
    <hyperlink r:id="rId3795" ref="H1959"/>
    <hyperlink r:id="rId3796" ref="I1959"/>
    <hyperlink r:id="rId3797" ref="J1959"/>
    <hyperlink r:id="rId3798" ref="H1960"/>
    <hyperlink r:id="rId3799" ref="J1960"/>
    <hyperlink r:id="rId3800" ref="H1961"/>
    <hyperlink r:id="rId3801" ref="I1961"/>
    <hyperlink r:id="rId3802" ref="J1961"/>
    <hyperlink r:id="rId3803" ref="H1962"/>
    <hyperlink r:id="rId3804" ref="I1962"/>
    <hyperlink r:id="rId3805" ref="H1963"/>
    <hyperlink r:id="rId3806" ref="I1963"/>
    <hyperlink r:id="rId3807" ref="H1964"/>
    <hyperlink r:id="rId3808" ref="I1964"/>
    <hyperlink r:id="rId3809" ref="H1965"/>
    <hyperlink r:id="rId3810" ref="I1965"/>
    <hyperlink r:id="rId3811" ref="H1966"/>
    <hyperlink r:id="rId3812" ref="I1966"/>
    <hyperlink r:id="rId3813" ref="H1967"/>
    <hyperlink r:id="rId3814" ref="I1967"/>
    <hyperlink r:id="rId3815" ref="H1968"/>
    <hyperlink r:id="rId3816" ref="I1968"/>
    <hyperlink r:id="rId3817" ref="J1968"/>
    <hyperlink r:id="rId3818" ref="H1969"/>
    <hyperlink r:id="rId3819" ref="H1970"/>
    <hyperlink r:id="rId3820" ref="I1970"/>
    <hyperlink r:id="rId3821" ref="H1971"/>
    <hyperlink r:id="rId3822" ref="I1971"/>
    <hyperlink r:id="rId3823" ref="H1972"/>
    <hyperlink r:id="rId3824" ref="I1972"/>
    <hyperlink r:id="rId3825" ref="J1972"/>
    <hyperlink r:id="rId3826" ref="H1973"/>
    <hyperlink r:id="rId3827" ref="I1973"/>
    <hyperlink r:id="rId3828" ref="H1974"/>
    <hyperlink r:id="rId3829" ref="I1974"/>
    <hyperlink r:id="rId3830" ref="H1975"/>
    <hyperlink r:id="rId3831" ref="H1976"/>
    <hyperlink r:id="rId3832" ref="I1976"/>
    <hyperlink r:id="rId3833" ref="H1977"/>
    <hyperlink r:id="rId3834" ref="I1977"/>
    <hyperlink r:id="rId3835" ref="H1978"/>
    <hyperlink r:id="rId3836" ref="I1978"/>
    <hyperlink r:id="rId3837" ref="H1979"/>
    <hyperlink r:id="rId3838" ref="I1979"/>
    <hyperlink r:id="rId3839" ref="H1980"/>
    <hyperlink r:id="rId3840" ref="I1980"/>
    <hyperlink r:id="rId3841" ref="H1981"/>
    <hyperlink r:id="rId3842" ref="I1981"/>
    <hyperlink r:id="rId3843" ref="H1982"/>
    <hyperlink r:id="rId3844" ref="I1982"/>
    <hyperlink r:id="rId3845" ref="H1983"/>
    <hyperlink r:id="rId3846" ref="H1984"/>
    <hyperlink r:id="rId3847" ref="H1985"/>
    <hyperlink r:id="rId3848" ref="I1985"/>
    <hyperlink r:id="rId3849" ref="H1986"/>
    <hyperlink r:id="rId3850" ref="I1986"/>
    <hyperlink r:id="rId3851" ref="H1987"/>
    <hyperlink r:id="rId3852" ref="H1988"/>
    <hyperlink r:id="rId3853" ref="I1988"/>
    <hyperlink r:id="rId3854" ref="H1989"/>
    <hyperlink r:id="rId3855" ref="H1990"/>
    <hyperlink r:id="rId3856" ref="I1990"/>
    <hyperlink r:id="rId3857" ref="H1991"/>
    <hyperlink r:id="rId3858" ref="I1991"/>
    <hyperlink r:id="rId3859" ref="H1992"/>
    <hyperlink r:id="rId3860" ref="H1993"/>
    <hyperlink r:id="rId3861" ref="I1993"/>
    <hyperlink r:id="rId3862" ref="J1993"/>
    <hyperlink r:id="rId3863" ref="H1994"/>
    <hyperlink r:id="rId3864" ref="I1994"/>
    <hyperlink r:id="rId3865" ref="H1995"/>
    <hyperlink r:id="rId3866" ref="H1996"/>
    <hyperlink r:id="rId3867" ref="I1996"/>
    <hyperlink r:id="rId3868" ref="H1997"/>
    <hyperlink r:id="rId3869" ref="I1997"/>
    <hyperlink r:id="rId3870" ref="H1998"/>
    <hyperlink r:id="rId3871" ref="I1998"/>
    <hyperlink r:id="rId3872" ref="J1998"/>
    <hyperlink r:id="rId3873" ref="I1999"/>
    <hyperlink r:id="rId3874" ref="H2000"/>
    <hyperlink r:id="rId3875" ref="H2001"/>
    <hyperlink r:id="rId3876" ref="I2001"/>
    <hyperlink r:id="rId3877" ref="H2002"/>
    <hyperlink r:id="rId3878" ref="I2002"/>
    <hyperlink r:id="rId3879" ref="H2003"/>
    <hyperlink r:id="rId3880" ref="I2003"/>
    <hyperlink r:id="rId3881" ref="H2004"/>
    <hyperlink r:id="rId3882" ref="I2004"/>
    <hyperlink r:id="rId3883" ref="H2005"/>
    <hyperlink r:id="rId3884" ref="I2005"/>
    <hyperlink r:id="rId3885" ref="H2006"/>
    <hyperlink r:id="rId3886" ref="I2006"/>
    <hyperlink r:id="rId3887" ref="H2007"/>
    <hyperlink r:id="rId3888" ref="I2007"/>
    <hyperlink r:id="rId3889" ref="H2008"/>
    <hyperlink r:id="rId3890" ref="I2008"/>
    <hyperlink r:id="rId3891" ref="H2009"/>
    <hyperlink r:id="rId3892" ref="I2009"/>
    <hyperlink r:id="rId3893" ref="H2010"/>
    <hyperlink r:id="rId3894" ref="H2011"/>
    <hyperlink r:id="rId3895" ref="I2011"/>
    <hyperlink r:id="rId3896" ref="H2012"/>
    <hyperlink r:id="rId3897" ref="I2012"/>
    <hyperlink r:id="rId3898" ref="J2012"/>
    <hyperlink r:id="rId3899" ref="H2013"/>
    <hyperlink r:id="rId3900" ref="I2013"/>
    <hyperlink r:id="rId3901" ref="J2013"/>
    <hyperlink r:id="rId3902" ref="H2014"/>
    <hyperlink r:id="rId3903" ref="I2014"/>
    <hyperlink r:id="rId3904" ref="H2015"/>
    <hyperlink r:id="rId3905" ref="I2015"/>
    <hyperlink r:id="rId3906" ref="H2016"/>
    <hyperlink r:id="rId3907" ref="I2016"/>
    <hyperlink r:id="rId3908" ref="H2017"/>
    <hyperlink r:id="rId3909" ref="I2017"/>
    <hyperlink r:id="rId3910" ref="H2018"/>
    <hyperlink r:id="rId3911" ref="I2018"/>
    <hyperlink r:id="rId3912" ref="J2018"/>
    <hyperlink r:id="rId3913" ref="H2019"/>
    <hyperlink r:id="rId3914" ref="I2019"/>
    <hyperlink r:id="rId3915" ref="H2020"/>
    <hyperlink r:id="rId3916" ref="I2020"/>
    <hyperlink r:id="rId3917" ref="J2020"/>
    <hyperlink r:id="rId3918" ref="H2021"/>
    <hyperlink r:id="rId3919" ref="I2021"/>
    <hyperlink r:id="rId3920" ref="J2021"/>
    <hyperlink r:id="rId3921" ref="H2022"/>
    <hyperlink r:id="rId3922" ref="I2022"/>
    <hyperlink r:id="rId3923" ref="J2022"/>
    <hyperlink r:id="rId3924" ref="I2023"/>
    <hyperlink r:id="rId3925" ref="H2024"/>
    <hyperlink r:id="rId3926" ref="I2024"/>
    <hyperlink r:id="rId3927" ref="H2025"/>
    <hyperlink r:id="rId3928" ref="I2025"/>
    <hyperlink r:id="rId3929" ref="J2025"/>
    <hyperlink r:id="rId3930" ref="H2026"/>
    <hyperlink r:id="rId3931" ref="I2026"/>
    <hyperlink r:id="rId3932" ref="J2026"/>
    <hyperlink r:id="rId3933" ref="H2027"/>
    <hyperlink r:id="rId3934" ref="I2027"/>
    <hyperlink r:id="rId3935" ref="H2028"/>
    <hyperlink r:id="rId3936" ref="I2028"/>
    <hyperlink r:id="rId3937" ref="J2028"/>
    <hyperlink r:id="rId3938" ref="H2029"/>
    <hyperlink r:id="rId3939" ref="I2029"/>
    <hyperlink r:id="rId3940" ref="H2030"/>
    <hyperlink r:id="rId3941" ref="I2030"/>
    <hyperlink r:id="rId3942" ref="H2031"/>
    <hyperlink r:id="rId3943" ref="I2031"/>
    <hyperlink r:id="rId3944" ref="H2032"/>
    <hyperlink r:id="rId3945" ref="I2033"/>
    <hyperlink r:id="rId3946" ref="H2034"/>
    <hyperlink r:id="rId3947" ref="I2034"/>
    <hyperlink r:id="rId3948" ref="H2035"/>
    <hyperlink r:id="rId3949" ref="I2035"/>
    <hyperlink r:id="rId3950" ref="J2035"/>
    <hyperlink r:id="rId3951" ref="H2036"/>
    <hyperlink r:id="rId3952" ref="I2036"/>
    <hyperlink r:id="rId3953" ref="H2037"/>
    <hyperlink r:id="rId3954" ref="I2037"/>
    <hyperlink r:id="rId3955" ref="H2038"/>
    <hyperlink r:id="rId3956" ref="I2038"/>
    <hyperlink r:id="rId3957" ref="H2039"/>
    <hyperlink r:id="rId3958" ref="I2039"/>
    <hyperlink r:id="rId3959" ref="H2040"/>
    <hyperlink r:id="rId3960" ref="I2040"/>
    <hyperlink r:id="rId3961" ref="H2041"/>
    <hyperlink r:id="rId3962" ref="I2041"/>
    <hyperlink r:id="rId3963" ref="H2042"/>
    <hyperlink r:id="rId3964" ref="I2042"/>
    <hyperlink r:id="rId3965" ref="H2043"/>
    <hyperlink r:id="rId3966" ref="I2043"/>
    <hyperlink r:id="rId3967" ref="H2044"/>
    <hyperlink r:id="rId3968" ref="I2044"/>
    <hyperlink r:id="rId3969" ref="H2045"/>
    <hyperlink r:id="rId3970" ref="I2045"/>
    <hyperlink r:id="rId3971" ref="J2045"/>
    <hyperlink r:id="rId3972" ref="H2046"/>
    <hyperlink r:id="rId3973" ref="I2046"/>
    <hyperlink r:id="rId3974" ref="H2047"/>
    <hyperlink r:id="rId3975" ref="I2047"/>
    <hyperlink r:id="rId3976" ref="H2048"/>
    <hyperlink r:id="rId3977" ref="H2049"/>
    <hyperlink r:id="rId3978" ref="I2049"/>
    <hyperlink r:id="rId3979" ref="H2050"/>
    <hyperlink r:id="rId3980" ref="I2050"/>
    <hyperlink r:id="rId3981" ref="H2051"/>
    <hyperlink r:id="rId3982" ref="H2052"/>
    <hyperlink r:id="rId3983" ref="H2053"/>
    <hyperlink r:id="rId3984" ref="I2053"/>
    <hyperlink r:id="rId3985" ref="H2054"/>
    <hyperlink r:id="rId3986" ref="H2055"/>
    <hyperlink r:id="rId3987" ref="I2055"/>
    <hyperlink r:id="rId3988" ref="H2056"/>
    <hyperlink r:id="rId3989" ref="I2056"/>
    <hyperlink r:id="rId3990" ref="H2057"/>
    <hyperlink r:id="rId3991" ref="J2057"/>
    <hyperlink r:id="rId3992" ref="H2058"/>
    <hyperlink r:id="rId3993" ref="I2059"/>
    <hyperlink r:id="rId3994" ref="I2060"/>
    <hyperlink r:id="rId3995" ref="H2061"/>
    <hyperlink r:id="rId3996" ref="I2061"/>
    <hyperlink r:id="rId3997" ref="H2062"/>
    <hyperlink r:id="rId3998" ref="H2063"/>
    <hyperlink r:id="rId3999" ref="I2063"/>
    <hyperlink r:id="rId4000" ref="H2064"/>
    <hyperlink r:id="rId4001" ref="I2064"/>
    <hyperlink r:id="rId4002" ref="H2065"/>
    <hyperlink r:id="rId4003" ref="I2065"/>
    <hyperlink r:id="rId4004" ref="H2066"/>
    <hyperlink r:id="rId4005" ref="I2066"/>
    <hyperlink r:id="rId4006" ref="J2066"/>
    <hyperlink r:id="rId4007" ref="I2067"/>
    <hyperlink r:id="rId4008" ref="H2068"/>
    <hyperlink r:id="rId4009" ref="I2068"/>
    <hyperlink r:id="rId4010" ref="J2068"/>
    <hyperlink r:id="rId4011" ref="H2069"/>
    <hyperlink r:id="rId4012" ref="I2069"/>
    <hyperlink r:id="rId4013" ref="H2070"/>
    <hyperlink r:id="rId4014" ref="I2070"/>
    <hyperlink r:id="rId4015" ref="J2070"/>
    <hyperlink r:id="rId4016" ref="H2071"/>
    <hyperlink r:id="rId4017" ref="I2071"/>
    <hyperlink r:id="rId4018" ref="H2072"/>
    <hyperlink r:id="rId4019" ref="I2072"/>
    <hyperlink r:id="rId4020" ref="H2073"/>
    <hyperlink r:id="rId4021" ref="I2073"/>
    <hyperlink r:id="rId4022" ref="I2074"/>
    <hyperlink r:id="rId4023" ref="H2075"/>
    <hyperlink r:id="rId4024" ref="I2075"/>
    <hyperlink r:id="rId4025" ref="H2076"/>
    <hyperlink r:id="rId4026" ref="I2076"/>
    <hyperlink r:id="rId4027" ref="H2077"/>
    <hyperlink r:id="rId4028" ref="I2077"/>
    <hyperlink r:id="rId4029" ref="H2078"/>
    <hyperlink r:id="rId4030" ref="I2078"/>
    <hyperlink r:id="rId4031" ref="H2079"/>
    <hyperlink r:id="rId4032" ref="I2079"/>
    <hyperlink r:id="rId4033" ref="H2080"/>
    <hyperlink r:id="rId4034" ref="I2080"/>
    <hyperlink r:id="rId4035" ref="J2080"/>
    <hyperlink r:id="rId4036" ref="H2081"/>
    <hyperlink r:id="rId4037" ref="I2081"/>
    <hyperlink r:id="rId4038" ref="J2081"/>
    <hyperlink r:id="rId4039" ref="H2082"/>
    <hyperlink r:id="rId4040" ref="I2082"/>
    <hyperlink r:id="rId4041" ref="H2083"/>
    <hyperlink r:id="rId4042" ref="I2083"/>
    <hyperlink r:id="rId4043" ref="H2084"/>
    <hyperlink r:id="rId4044" ref="I2084"/>
    <hyperlink r:id="rId4045" ref="H2085"/>
    <hyperlink r:id="rId4046" ref="I2085"/>
    <hyperlink r:id="rId4047" ref="H2086"/>
    <hyperlink r:id="rId4048" ref="I2086"/>
    <hyperlink r:id="rId4049" ref="H2087"/>
    <hyperlink r:id="rId4050" ref="I2087"/>
    <hyperlink r:id="rId4051" ref="H2088"/>
    <hyperlink r:id="rId4052" ref="I2088"/>
    <hyperlink r:id="rId4053" ref="H2089"/>
    <hyperlink r:id="rId4054" ref="H2090"/>
    <hyperlink r:id="rId4055" ref="I2090"/>
    <hyperlink r:id="rId4056" ref="H2091"/>
    <hyperlink r:id="rId4057" ref="I2091"/>
    <hyperlink r:id="rId4058" ref="J2091"/>
    <hyperlink r:id="rId4059" ref="H2092"/>
    <hyperlink r:id="rId4060" ref="I2092"/>
    <hyperlink r:id="rId4061" ref="H2093"/>
    <hyperlink r:id="rId4062" ref="I2093"/>
    <hyperlink r:id="rId4063" ref="H2094"/>
    <hyperlink r:id="rId4064" ref="I2094"/>
    <hyperlink r:id="rId4065" ref="H2095"/>
    <hyperlink r:id="rId4066" ref="H2096"/>
    <hyperlink r:id="rId4067" ref="H2097"/>
    <hyperlink r:id="rId4068" ref="I2097"/>
    <hyperlink r:id="rId4069" ref="H2098"/>
    <hyperlink r:id="rId4070" ref="I2098"/>
    <hyperlink r:id="rId4071" ref="J2098"/>
    <hyperlink r:id="rId4072" ref="H2099"/>
    <hyperlink r:id="rId4073" ref="I2099"/>
    <hyperlink r:id="rId4074" ref="H2100"/>
    <hyperlink r:id="rId4075" ref="I2100"/>
    <hyperlink r:id="rId4076" ref="J2100"/>
    <hyperlink r:id="rId4077" ref="H2101"/>
    <hyperlink r:id="rId4078" ref="H2102"/>
    <hyperlink r:id="rId4079" ref="H2103"/>
    <hyperlink r:id="rId4080" ref="I2103"/>
    <hyperlink r:id="rId4081" ref="H2104"/>
    <hyperlink r:id="rId4082" ref="I2104"/>
    <hyperlink r:id="rId4083" ref="H2105"/>
    <hyperlink r:id="rId4084" ref="I2105"/>
    <hyperlink r:id="rId4085" ref="H2106"/>
    <hyperlink r:id="rId4086" ref="I2106"/>
    <hyperlink r:id="rId4087" ref="H2107"/>
    <hyperlink r:id="rId4088" ref="I2107"/>
    <hyperlink r:id="rId4089" ref="H2108"/>
    <hyperlink r:id="rId4090" ref="I2108"/>
    <hyperlink r:id="rId4091" ref="H2109"/>
    <hyperlink r:id="rId4092" ref="I2109"/>
    <hyperlink r:id="rId4093" ref="H2110"/>
    <hyperlink r:id="rId4094" ref="I2110"/>
    <hyperlink r:id="rId4095" ref="H2111"/>
    <hyperlink r:id="rId4096" ref="H2112"/>
    <hyperlink r:id="rId4097" ref="I2112"/>
    <hyperlink r:id="rId4098" ref="H2113"/>
    <hyperlink r:id="rId4099" ref="I2113"/>
    <hyperlink r:id="rId4100" ref="H2114"/>
    <hyperlink r:id="rId4101" ref="I2114"/>
    <hyperlink r:id="rId4102" ref="H2115"/>
    <hyperlink r:id="rId4103" ref="I2115"/>
    <hyperlink r:id="rId4104" ref="H2116"/>
    <hyperlink r:id="rId4105" ref="H2117"/>
    <hyperlink r:id="rId4106" ref="I2117"/>
    <hyperlink r:id="rId4107" ref="H2118"/>
    <hyperlink r:id="rId4108" ref="H2119"/>
    <hyperlink r:id="rId4109" ref="I2119"/>
    <hyperlink r:id="rId4110" ref="H2120"/>
    <hyperlink r:id="rId4111" ref="I2120"/>
    <hyperlink r:id="rId4112" ref="H2121"/>
    <hyperlink r:id="rId4113" ref="I2121"/>
    <hyperlink r:id="rId4114" ref="H2122"/>
    <hyperlink r:id="rId4115" ref="I2122"/>
    <hyperlink r:id="rId4116" ref="H2123"/>
    <hyperlink r:id="rId4117" ref="I2123"/>
    <hyperlink r:id="rId4118" ref="J2123"/>
    <hyperlink r:id="rId4119" ref="H2124"/>
    <hyperlink r:id="rId4120" ref="I2124"/>
    <hyperlink r:id="rId4121" ref="J2124"/>
    <hyperlink r:id="rId4122" ref="H2125"/>
    <hyperlink r:id="rId4123" ref="I2125"/>
    <hyperlink r:id="rId4124" ref="H2126"/>
    <hyperlink r:id="rId4125" ref="I2126"/>
    <hyperlink r:id="rId4126" ref="H2127"/>
    <hyperlink r:id="rId4127" ref="I2127"/>
    <hyperlink r:id="rId4128" ref="H2128"/>
    <hyperlink r:id="rId4129" ref="I2128"/>
    <hyperlink r:id="rId4130" ref="J2128"/>
    <hyperlink r:id="rId4131" ref="H2129"/>
    <hyperlink r:id="rId4132" ref="I2129"/>
    <hyperlink r:id="rId4133" ref="H2130"/>
    <hyperlink r:id="rId4134" ref="I2130"/>
    <hyperlink r:id="rId4135" ref="H2131"/>
    <hyperlink r:id="rId4136" ref="I2131"/>
    <hyperlink r:id="rId4137" ref="H2132"/>
    <hyperlink r:id="rId4138" ref="I2132"/>
    <hyperlink r:id="rId4139" ref="J2132"/>
    <hyperlink r:id="rId4140" ref="H2133"/>
    <hyperlink r:id="rId4141" ref="I2133"/>
    <hyperlink r:id="rId4142" ref="J2133"/>
    <hyperlink r:id="rId4143" ref="H2134"/>
    <hyperlink r:id="rId4144" ref="I2134"/>
    <hyperlink r:id="rId4145" ref="J2134"/>
    <hyperlink r:id="rId4146" ref="H2135"/>
    <hyperlink r:id="rId4147" ref="I2135"/>
    <hyperlink r:id="rId4148" ref="H2136"/>
    <hyperlink r:id="rId4149" ref="I2136"/>
    <hyperlink r:id="rId4150" ref="H2137"/>
    <hyperlink r:id="rId4151" ref="I2137"/>
    <hyperlink r:id="rId4152" ref="J2137"/>
    <hyperlink r:id="rId4153" ref="H2138"/>
    <hyperlink r:id="rId4154" ref="I2138"/>
    <hyperlink r:id="rId4155" ref="H2139"/>
    <hyperlink r:id="rId4156" ref="I2139"/>
    <hyperlink r:id="rId4157" ref="H2140"/>
    <hyperlink r:id="rId4158" ref="I2140"/>
    <hyperlink r:id="rId4159" ref="J2140"/>
    <hyperlink r:id="rId4160" ref="H2141"/>
    <hyperlink r:id="rId4161" ref="I2141"/>
    <hyperlink r:id="rId4162" ref="H2142"/>
    <hyperlink r:id="rId4163" ref="I2142"/>
    <hyperlink r:id="rId4164" ref="H2143"/>
    <hyperlink r:id="rId4165" ref="I2143"/>
    <hyperlink r:id="rId4166" ref="H2144"/>
    <hyperlink r:id="rId4167" ref="I2144"/>
    <hyperlink r:id="rId4168" ref="J2144"/>
    <hyperlink r:id="rId4169" ref="H2145"/>
    <hyperlink r:id="rId4170" ref="I2145"/>
    <hyperlink r:id="rId4171" ref="H2146"/>
    <hyperlink r:id="rId4172" ref="I2146"/>
    <hyperlink r:id="rId4173" ref="H2147"/>
    <hyperlink r:id="rId4174" ref="I2147"/>
    <hyperlink r:id="rId4175" ref="J2147"/>
    <hyperlink r:id="rId4176" ref="H2148"/>
    <hyperlink r:id="rId4177" ref="H2149"/>
    <hyperlink r:id="rId4178" ref="I2149"/>
    <hyperlink r:id="rId4179" ref="J2149"/>
    <hyperlink r:id="rId4180" ref="I2150"/>
    <hyperlink r:id="rId4181" ref="H2151"/>
    <hyperlink r:id="rId4182" ref="I2151"/>
    <hyperlink r:id="rId4183" ref="J2151"/>
    <hyperlink r:id="rId4184" ref="H2152"/>
    <hyperlink r:id="rId4185" ref="H2153"/>
    <hyperlink r:id="rId4186" ref="I2153"/>
    <hyperlink r:id="rId4187" ref="J2153"/>
    <hyperlink r:id="rId4188" ref="H2154"/>
    <hyperlink r:id="rId4189" ref="I2154"/>
    <hyperlink r:id="rId4190" ref="H2155"/>
    <hyperlink r:id="rId4191" ref="H2156"/>
    <hyperlink r:id="rId4192" ref="H2157"/>
    <hyperlink r:id="rId4193" ref="H2158"/>
    <hyperlink r:id="rId4194" ref="H2159"/>
    <hyperlink r:id="rId4195" ref="H2160"/>
    <hyperlink r:id="rId4196" ref="H2161"/>
    <hyperlink r:id="rId4197" ref="I2161"/>
    <hyperlink r:id="rId4198" ref="H2162"/>
    <hyperlink r:id="rId4199" ref="H2163"/>
    <hyperlink r:id="rId4200" ref="J2163"/>
    <hyperlink r:id="rId4201" ref="H2164"/>
    <hyperlink r:id="rId4202" ref="I2164"/>
    <hyperlink r:id="rId4203" ref="J2164"/>
    <hyperlink r:id="rId4204" ref="I2165"/>
    <hyperlink r:id="rId4205" ref="H2166"/>
    <hyperlink r:id="rId4206" ref="H2167"/>
    <hyperlink r:id="rId4207" ref="H2168"/>
    <hyperlink r:id="rId4208" ref="I2169"/>
    <hyperlink r:id="rId4209" ref="H2170"/>
    <hyperlink r:id="rId4210" ref="J2170"/>
    <hyperlink r:id="rId4211" ref="H2171"/>
    <hyperlink r:id="rId4212" ref="H2172"/>
    <hyperlink r:id="rId4213" ref="I2172"/>
    <hyperlink r:id="rId4214" ref="H2173"/>
    <hyperlink r:id="rId4215" ref="H2174"/>
    <hyperlink r:id="rId4216" ref="H2175"/>
    <hyperlink r:id="rId4217" ref="H2177"/>
    <hyperlink r:id="rId4218" ref="J2177"/>
    <hyperlink r:id="rId4219" ref="H2178"/>
    <hyperlink r:id="rId4220" ref="H2179"/>
    <hyperlink r:id="rId4221" ref="H2180"/>
    <hyperlink r:id="rId4222" ref="H2182"/>
    <hyperlink r:id="rId4223" ref="H2183"/>
    <hyperlink r:id="rId4224" ref="H2184"/>
    <hyperlink r:id="rId4225" ref="J2184"/>
    <hyperlink r:id="rId4226" ref="H2185"/>
    <hyperlink r:id="rId4227" ref="H2186"/>
    <hyperlink r:id="rId4228" ref="H2187"/>
    <hyperlink r:id="rId4229" ref="H2188"/>
    <hyperlink r:id="rId4230" ref="J2188"/>
    <hyperlink r:id="rId4231" ref="H2189"/>
    <hyperlink r:id="rId4232" ref="J2189"/>
    <hyperlink r:id="rId4233" ref="H2190"/>
    <hyperlink r:id="rId4234" ref="H2191"/>
    <hyperlink r:id="rId4235" ref="H2194"/>
    <hyperlink r:id="rId4236" ref="H2195"/>
    <hyperlink r:id="rId4237" ref="H2196"/>
    <hyperlink r:id="rId4238" ref="H2197"/>
    <hyperlink r:id="rId4239" ref="J2197"/>
    <hyperlink r:id="rId4240" ref="H2198"/>
    <hyperlink r:id="rId4241" ref="H2199"/>
    <hyperlink r:id="rId4242" ref="H2200"/>
    <hyperlink r:id="rId4243" ref="H2201"/>
    <hyperlink r:id="rId4244" ref="J2201"/>
    <hyperlink r:id="rId4245" ref="H2202"/>
    <hyperlink r:id="rId4246" ref="H2203"/>
    <hyperlink r:id="rId4247" ref="H2204"/>
    <hyperlink r:id="rId4248" ref="H2205"/>
    <hyperlink r:id="rId4249" ref="J2205"/>
    <hyperlink r:id="rId4250" ref="H2206"/>
    <hyperlink r:id="rId4251" ref="H2207"/>
    <hyperlink r:id="rId4252" ref="J2207"/>
    <hyperlink r:id="rId4253" ref="H2208"/>
    <hyperlink r:id="rId4254" ref="H2209"/>
    <hyperlink r:id="rId4255" ref="H2210"/>
    <hyperlink r:id="rId4256" ref="H2211"/>
    <hyperlink r:id="rId4257" ref="J2211"/>
    <hyperlink r:id="rId4258" ref="H2212"/>
    <hyperlink r:id="rId4259" ref="H2213"/>
    <hyperlink r:id="rId4260" ref="H2214"/>
    <hyperlink r:id="rId4261" ref="H2215"/>
    <hyperlink r:id="rId4262" ref="H2216"/>
    <hyperlink r:id="rId4263" ref="H2217"/>
    <hyperlink r:id="rId4264" ref="H2218"/>
    <hyperlink r:id="rId4265" ref="J2218"/>
    <hyperlink r:id="rId4266" ref="H2219"/>
    <hyperlink r:id="rId4267" ref="H2220"/>
    <hyperlink r:id="rId4268" ref="H2221"/>
    <hyperlink r:id="rId4269" ref="H2222"/>
    <hyperlink r:id="rId4270" ref="H2223"/>
    <hyperlink r:id="rId4271" ref="H2224"/>
    <hyperlink r:id="rId4272" ref="H2225"/>
    <hyperlink r:id="rId4273" ref="H2226"/>
    <hyperlink r:id="rId4274" ref="H2227"/>
    <hyperlink r:id="rId4275" ref="H2228"/>
    <hyperlink r:id="rId4276" ref="H2229"/>
    <hyperlink r:id="rId4277" ref="H2230"/>
    <hyperlink r:id="rId4278" ref="J2230"/>
    <hyperlink r:id="rId4279" ref="J2232"/>
    <hyperlink r:id="rId4280" ref="H2233"/>
    <hyperlink r:id="rId4281" ref="I2233"/>
    <hyperlink r:id="rId4282" ref="H2234"/>
    <hyperlink r:id="rId4283" ref="H2235"/>
    <hyperlink r:id="rId4284" ref="I2235"/>
    <hyperlink r:id="rId4285" ref="J2235"/>
    <hyperlink r:id="rId4286" ref="H2236"/>
    <hyperlink r:id="rId4287" ref="H2237"/>
    <hyperlink r:id="rId4288" ref="H2238"/>
    <hyperlink r:id="rId4289" ref="H2239"/>
    <hyperlink r:id="rId4290" ref="H2240"/>
    <hyperlink r:id="rId4291" ref="I2241"/>
    <hyperlink r:id="rId4292" ref="H2242"/>
    <hyperlink r:id="rId4293" ref="H2243"/>
    <hyperlink r:id="rId4294" ref="H2244"/>
    <hyperlink r:id="rId4295" ref="I2244"/>
    <hyperlink r:id="rId4296" ref="H2245"/>
    <hyperlink r:id="rId4297" ref="H2246"/>
    <hyperlink r:id="rId4298" ref="I2246"/>
    <hyperlink r:id="rId4299" ref="H2247"/>
    <hyperlink r:id="rId4300" ref="H2248"/>
    <hyperlink r:id="rId4301" ref="I2248"/>
    <hyperlink r:id="rId4302" ref="H2249"/>
    <hyperlink r:id="rId4303" ref="H2250"/>
    <hyperlink r:id="rId4304" ref="I2250"/>
    <hyperlink r:id="rId4305" ref="H2251"/>
    <hyperlink r:id="rId4306" ref="J2251"/>
    <hyperlink r:id="rId4307" ref="H2253"/>
    <hyperlink r:id="rId4308" ref="H2255"/>
    <hyperlink r:id="rId4309" ref="H2256"/>
    <hyperlink r:id="rId4310" ref="H2257"/>
    <hyperlink r:id="rId4311" ref="H2258"/>
    <hyperlink r:id="rId4312" ref="H2259"/>
    <hyperlink r:id="rId4313" ref="H2260"/>
    <hyperlink r:id="rId4314" ref="I2260"/>
    <hyperlink r:id="rId4315" ref="J2260"/>
    <hyperlink r:id="rId4316" ref="H2262"/>
    <hyperlink r:id="rId4317" ref="H2263"/>
    <hyperlink r:id="rId4318" ref="H2266"/>
    <hyperlink r:id="rId4319" ref="H2267"/>
    <hyperlink r:id="rId4320" ref="H2268"/>
    <hyperlink r:id="rId4321" ref="H2269"/>
    <hyperlink r:id="rId4322" ref="H2270"/>
    <hyperlink r:id="rId4323" ref="J2270"/>
    <hyperlink r:id="rId4324" ref="H2271"/>
    <hyperlink r:id="rId4325" ref="J2271"/>
    <hyperlink r:id="rId4326" ref="H2272"/>
    <hyperlink r:id="rId4327" ref="J2272"/>
    <hyperlink r:id="rId4328" ref="H2273"/>
    <hyperlink r:id="rId4329" ref="J2273"/>
    <hyperlink r:id="rId4330" ref="H2274"/>
    <hyperlink r:id="rId4331" ref="J2274"/>
    <hyperlink r:id="rId4332" ref="H2275"/>
    <hyperlink r:id="rId4333" ref="J2275"/>
    <hyperlink r:id="rId4334" ref="H2276"/>
    <hyperlink r:id="rId4335" ref="H2277"/>
    <hyperlink r:id="rId4336" ref="J2277"/>
    <hyperlink r:id="rId4337" ref="H2278"/>
    <hyperlink r:id="rId4338" ref="H2279"/>
    <hyperlink r:id="rId4339" ref="H2280"/>
    <hyperlink r:id="rId4340" ref="H2281"/>
    <hyperlink r:id="rId4341" ref="J2281"/>
    <hyperlink r:id="rId4342" ref="H2282"/>
    <hyperlink r:id="rId4343" ref="J2282"/>
    <hyperlink r:id="rId4344" ref="H2283"/>
    <hyperlink r:id="rId4345" ref="H2284"/>
    <hyperlink r:id="rId4346" ref="H2285"/>
    <hyperlink r:id="rId4347" ref="H2287"/>
    <hyperlink r:id="rId4348" ref="H2289"/>
    <hyperlink r:id="rId4349" ref="H2290"/>
    <hyperlink r:id="rId4350" ref="J2290"/>
    <hyperlink r:id="rId4351" ref="H2291"/>
    <hyperlink r:id="rId4352" ref="H2292"/>
    <hyperlink r:id="rId4353" ref="J2292"/>
    <hyperlink r:id="rId4354" ref="H2293"/>
    <hyperlink r:id="rId4355" ref="H2294"/>
    <hyperlink r:id="rId4356" ref="H2295"/>
    <hyperlink r:id="rId4357" ref="J2295"/>
    <hyperlink r:id="rId4358" ref="H2296"/>
    <hyperlink r:id="rId4359" ref="H2298"/>
    <hyperlink r:id="rId4360" ref="H2299"/>
    <hyperlink r:id="rId4361" ref="J2299"/>
    <hyperlink r:id="rId4362" ref="H2300"/>
    <hyperlink r:id="rId4363" ref="J2300"/>
    <hyperlink r:id="rId4364" ref="H2301"/>
    <hyperlink r:id="rId4365" ref="H2302"/>
    <hyperlink r:id="rId4366" ref="H2303"/>
    <hyperlink r:id="rId4367" ref="J2303"/>
    <hyperlink r:id="rId4368" ref="H2304"/>
    <hyperlink r:id="rId4369" ref="H2305"/>
    <hyperlink r:id="rId4370" ref="J2305"/>
    <hyperlink r:id="rId4371" ref="H2306"/>
    <hyperlink r:id="rId4372" ref="H2307"/>
    <hyperlink r:id="rId4373" ref="H2308"/>
    <hyperlink r:id="rId4374" ref="H2309"/>
    <hyperlink r:id="rId4375" ref="H2310"/>
    <hyperlink r:id="rId4376" ref="H2311"/>
    <hyperlink r:id="rId4377" ref="H2312"/>
    <hyperlink r:id="rId4378" ref="H2314"/>
    <hyperlink r:id="rId4379" ref="H2315"/>
    <hyperlink r:id="rId4380" ref="H2316"/>
    <hyperlink r:id="rId4381" ref="H2317"/>
    <hyperlink r:id="rId4382" ref="H2318"/>
    <hyperlink r:id="rId4383" ref="H2319"/>
    <hyperlink r:id="rId4384" ref="H2320"/>
    <hyperlink r:id="rId4385" ref="H2321"/>
    <hyperlink r:id="rId4386" ref="H2322"/>
    <hyperlink r:id="rId4387" ref="J2322"/>
    <hyperlink r:id="rId4388" ref="H2324"/>
    <hyperlink r:id="rId4389" ref="H2325"/>
    <hyperlink r:id="rId4390" ref="H2326"/>
    <hyperlink r:id="rId4391" ref="I2326"/>
    <hyperlink r:id="rId4392" ref="H2327"/>
    <hyperlink r:id="rId4393" ref="H2328"/>
    <hyperlink r:id="rId4394" ref="I2328"/>
    <hyperlink r:id="rId4395" ref="H2329"/>
    <hyperlink r:id="rId4396" ref="I2329"/>
    <hyperlink r:id="rId4397" ref="H2330"/>
    <hyperlink r:id="rId4398" ref="I2330"/>
    <hyperlink r:id="rId4399" ref="H2331"/>
    <hyperlink r:id="rId4400" ref="I2331"/>
    <hyperlink r:id="rId4401" ref="H2332"/>
    <hyperlink r:id="rId4402" ref="H2333"/>
    <hyperlink r:id="rId4403" ref="H2334"/>
    <hyperlink r:id="rId4404" ref="H2335"/>
    <hyperlink r:id="rId4405" ref="H2336"/>
    <hyperlink r:id="rId4406" ref="H2337"/>
    <hyperlink r:id="rId4407" ref="H2338"/>
    <hyperlink r:id="rId4408" ref="H2339"/>
    <hyperlink r:id="rId4409" ref="H2340"/>
    <hyperlink r:id="rId4410" ref="H2341"/>
    <hyperlink r:id="rId4411" ref="H2342"/>
    <hyperlink r:id="rId4412" ref="H2343"/>
    <hyperlink r:id="rId4413" ref="H2345"/>
    <hyperlink r:id="rId4414" ref="H2346"/>
    <hyperlink r:id="rId4415" ref="H2347"/>
    <hyperlink r:id="rId4416" ref="H2348"/>
    <hyperlink r:id="rId4417" ref="H2349"/>
    <hyperlink r:id="rId4418" ref="H2351"/>
    <hyperlink r:id="rId4419" ref="H2352"/>
    <hyperlink r:id="rId4420" ref="H2353"/>
    <hyperlink r:id="rId4421" ref="H2354"/>
    <hyperlink r:id="rId4422" ref="H2355"/>
    <hyperlink r:id="rId4423" ref="H2356"/>
    <hyperlink r:id="rId4424" ref="H2357"/>
    <hyperlink r:id="rId4425" ref="H2358"/>
    <hyperlink r:id="rId4426" ref="H2359"/>
    <hyperlink r:id="rId4427" ref="H2360"/>
    <hyperlink r:id="rId4428" ref="H2361"/>
    <hyperlink r:id="rId4429" ref="H2362"/>
    <hyperlink r:id="rId4430" ref="H2363"/>
    <hyperlink r:id="rId4431" ref="H2364"/>
    <hyperlink r:id="rId4432" ref="H2365"/>
    <hyperlink r:id="rId4433" ref="J2365"/>
    <hyperlink r:id="rId4434" ref="H2366"/>
    <hyperlink r:id="rId4435" ref="J2366"/>
    <hyperlink r:id="rId4436" ref="H2367"/>
    <hyperlink r:id="rId4437" ref="H2368"/>
    <hyperlink r:id="rId4438" ref="H2369"/>
    <hyperlink r:id="rId4439" ref="H2370"/>
    <hyperlink r:id="rId4440" ref="H2371"/>
    <hyperlink r:id="rId4441" ref="H2372"/>
    <hyperlink r:id="rId4442" ref="H2373"/>
    <hyperlink r:id="rId4443" ref="H2374"/>
    <hyperlink r:id="rId4444" ref="H2375"/>
    <hyperlink r:id="rId4445" ref="H2376"/>
    <hyperlink r:id="rId4446" ref="H2377"/>
    <hyperlink r:id="rId4447" ref="H2378"/>
    <hyperlink r:id="rId4448" ref="H2379"/>
    <hyperlink r:id="rId4449" ref="H2380"/>
    <hyperlink r:id="rId4450" ref="H2381"/>
    <hyperlink r:id="rId4451" ref="H2382"/>
    <hyperlink r:id="rId4452" ref="H2383"/>
    <hyperlink r:id="rId4453" ref="H2384"/>
    <hyperlink r:id="rId4454" ref="H2385"/>
    <hyperlink r:id="rId4455" ref="H2386"/>
    <hyperlink r:id="rId4456" ref="H2387"/>
    <hyperlink r:id="rId4457" ref="H2388"/>
    <hyperlink r:id="rId4458" ref="H2390"/>
    <hyperlink r:id="rId4459" ref="H2391"/>
    <hyperlink r:id="rId4460" ref="H2392"/>
    <hyperlink r:id="rId4461" ref="H2393"/>
    <hyperlink r:id="rId4462" ref="H2394"/>
    <hyperlink r:id="rId4463" ref="H2395"/>
    <hyperlink r:id="rId4464" ref="H2396"/>
    <hyperlink r:id="rId4465" ref="H2397"/>
    <hyperlink r:id="rId4466" ref="H2398"/>
    <hyperlink r:id="rId4467" ref="H2399"/>
    <hyperlink r:id="rId4468" ref="H2400"/>
    <hyperlink r:id="rId4469" ref="H2402"/>
    <hyperlink r:id="rId4470" ref="H2403"/>
    <hyperlink r:id="rId4471" ref="H2404"/>
    <hyperlink r:id="rId4472" ref="H2406"/>
    <hyperlink r:id="rId4473" ref="H2407"/>
    <hyperlink r:id="rId4474" ref="H2408"/>
    <hyperlink r:id="rId4475" ref="H2409"/>
    <hyperlink r:id="rId4476" ref="H2410"/>
    <hyperlink r:id="rId4477" ref="H2411"/>
    <hyperlink r:id="rId4478" ref="H2412"/>
    <hyperlink r:id="rId4479" ref="H2414"/>
    <hyperlink r:id="rId4480" ref="H2415"/>
    <hyperlink r:id="rId4481" ref="H2416"/>
    <hyperlink r:id="rId4482" ref="H2417"/>
    <hyperlink r:id="rId4483" ref="H2418"/>
    <hyperlink r:id="rId4484" ref="H2419"/>
    <hyperlink r:id="rId4485" ref="H2420"/>
    <hyperlink r:id="rId4486" ref="H2421"/>
    <hyperlink r:id="rId4487" ref="H2422"/>
    <hyperlink r:id="rId4488" ref="H2423"/>
    <hyperlink r:id="rId4489" ref="H2424"/>
    <hyperlink r:id="rId4490" ref="H2425"/>
    <hyperlink r:id="rId4491" ref="H2426"/>
    <hyperlink r:id="rId4492" ref="H2427"/>
    <hyperlink r:id="rId4493" ref="H2428"/>
    <hyperlink r:id="rId4494" ref="H2429"/>
    <hyperlink r:id="rId4495" ref="H2430"/>
    <hyperlink r:id="rId4496" ref="H2431"/>
    <hyperlink r:id="rId4497" ref="H2432"/>
    <hyperlink r:id="rId4498" ref="H2433"/>
    <hyperlink r:id="rId4499" ref="H2434"/>
    <hyperlink r:id="rId4500" ref="H2435"/>
    <hyperlink r:id="rId4501" ref="H2437"/>
    <hyperlink r:id="rId4502" ref="H2438"/>
    <hyperlink r:id="rId4503" ref="H2439"/>
    <hyperlink r:id="rId4504" ref="H2440"/>
    <hyperlink r:id="rId4505" ref="H2441"/>
    <hyperlink r:id="rId4506" ref="H2442"/>
    <hyperlink r:id="rId4507" ref="H2443"/>
    <hyperlink r:id="rId4508" ref="H2446"/>
    <hyperlink r:id="rId4509" ref="H2447"/>
    <hyperlink r:id="rId4510" ref="H2450"/>
    <hyperlink r:id="rId4511" ref="H2451"/>
    <hyperlink r:id="rId4512" ref="H2452"/>
    <hyperlink r:id="rId4513" ref="H2453"/>
    <hyperlink r:id="rId4514" ref="H2455"/>
    <hyperlink r:id="rId4515" ref="H2456"/>
    <hyperlink r:id="rId4516" ref="H2457"/>
    <hyperlink r:id="rId4517" ref="H2458"/>
    <hyperlink r:id="rId4518" ref="H2459"/>
    <hyperlink r:id="rId4519" ref="H2460"/>
    <hyperlink r:id="rId4520" ref="H2461"/>
    <hyperlink r:id="rId4521" ref="H2462"/>
    <hyperlink r:id="rId4522" ref="H2464"/>
    <hyperlink r:id="rId4523" ref="H2465"/>
    <hyperlink r:id="rId4524" ref="H2466"/>
    <hyperlink r:id="rId4525" ref="H2467"/>
    <hyperlink r:id="rId4526" ref="H2468"/>
    <hyperlink r:id="rId4527" ref="H2469"/>
    <hyperlink r:id="rId4528" ref="H2470"/>
    <hyperlink r:id="rId4529" ref="H2471"/>
    <hyperlink r:id="rId4530" ref="H2472"/>
    <hyperlink r:id="rId4531" ref="H2473"/>
    <hyperlink r:id="rId4532" ref="H2474"/>
    <hyperlink r:id="rId4533" ref="H2475"/>
    <hyperlink r:id="rId4534" ref="H2476"/>
    <hyperlink r:id="rId4535" ref="H2477"/>
    <hyperlink r:id="rId4536" ref="H2478"/>
    <hyperlink r:id="rId4537" ref="H2479"/>
    <hyperlink r:id="rId4538" ref="H2481"/>
    <hyperlink r:id="rId4539" ref="H2482"/>
    <hyperlink r:id="rId4540" ref="H2483"/>
    <hyperlink r:id="rId4541" ref="H2484"/>
    <hyperlink r:id="rId4542" ref="H2485"/>
    <hyperlink r:id="rId4543" ref="H2486"/>
    <hyperlink r:id="rId4544" ref="H2487"/>
    <hyperlink r:id="rId4545" ref="H2488"/>
    <hyperlink r:id="rId4546" ref="H2489"/>
    <hyperlink r:id="rId4547" ref="H2491"/>
    <hyperlink r:id="rId4548" ref="H2492"/>
    <hyperlink r:id="rId4549" ref="H2493"/>
    <hyperlink r:id="rId4550" ref="H2494"/>
    <hyperlink r:id="rId4551" ref="H2495"/>
    <hyperlink r:id="rId4552" ref="H2496"/>
    <hyperlink r:id="rId4553" ref="H2497"/>
    <hyperlink r:id="rId4554" ref="H2498"/>
    <hyperlink r:id="rId4555" ref="H2499"/>
    <hyperlink r:id="rId4556" ref="H2500"/>
    <hyperlink r:id="rId4557" ref="H2501"/>
    <hyperlink r:id="rId4558" ref="H2502"/>
    <hyperlink r:id="rId4559" ref="H2503"/>
    <hyperlink r:id="rId4560" ref="H2504"/>
    <hyperlink r:id="rId4561" ref="H2505"/>
    <hyperlink r:id="rId4562" ref="H2506"/>
    <hyperlink r:id="rId4563" ref="H2507"/>
    <hyperlink r:id="rId4564" ref="H2508"/>
    <hyperlink r:id="rId4565" ref="H2509"/>
    <hyperlink r:id="rId4566" ref="H2510"/>
    <hyperlink r:id="rId4567" ref="H2511"/>
    <hyperlink r:id="rId4568" ref="H2512"/>
    <hyperlink r:id="rId4569" ref="H2513"/>
    <hyperlink r:id="rId4570" ref="H2514"/>
    <hyperlink r:id="rId4571" ref="H2515"/>
    <hyperlink r:id="rId4572" ref="H2516"/>
    <hyperlink r:id="rId4573" ref="H2518"/>
    <hyperlink r:id="rId4574" ref="H2519"/>
    <hyperlink r:id="rId4575" ref="H2520"/>
    <hyperlink r:id="rId4576" ref="H2522"/>
    <hyperlink r:id="rId4577" ref="H2523"/>
    <hyperlink r:id="rId4578" ref="H2524"/>
    <hyperlink r:id="rId4579" ref="H2526"/>
    <hyperlink r:id="rId4580" ref="H2527"/>
    <hyperlink r:id="rId4581" ref="H2528"/>
    <hyperlink r:id="rId4582" ref="H2530"/>
    <hyperlink r:id="rId4583" ref="H2531"/>
    <hyperlink r:id="rId4584" ref="H2532"/>
    <hyperlink r:id="rId4585" ref="H2533"/>
    <hyperlink r:id="rId4586" ref="H2534"/>
    <hyperlink r:id="rId4587" ref="H2535"/>
    <hyperlink r:id="rId4588" ref="H2536"/>
    <hyperlink r:id="rId4589" ref="H2537"/>
    <hyperlink r:id="rId4590" ref="H2538"/>
    <hyperlink r:id="rId4591" ref="H2539"/>
    <hyperlink r:id="rId4592" ref="H2540"/>
    <hyperlink r:id="rId4593" ref="H2541"/>
    <hyperlink r:id="rId4594" ref="H2542"/>
    <hyperlink r:id="rId4595" ref="H2543"/>
    <hyperlink r:id="rId4596" ref="H2544"/>
    <hyperlink r:id="rId4597" ref="H2545"/>
    <hyperlink r:id="rId4598" ref="H2546"/>
    <hyperlink r:id="rId4599" ref="H2547"/>
    <hyperlink r:id="rId4600" ref="H2548"/>
    <hyperlink r:id="rId4601" ref="H2549"/>
    <hyperlink r:id="rId4602" ref="H2550"/>
    <hyperlink r:id="rId4603" ref="H2551"/>
    <hyperlink r:id="rId4604" ref="H2552"/>
    <hyperlink r:id="rId4605" ref="H2553"/>
    <hyperlink r:id="rId4606" ref="H2554"/>
    <hyperlink r:id="rId4607" ref="H2555"/>
    <hyperlink r:id="rId4608" ref="H2556"/>
    <hyperlink r:id="rId4609" ref="H2557"/>
    <hyperlink r:id="rId4610" ref="H2558"/>
    <hyperlink r:id="rId4611" ref="H2559"/>
    <hyperlink r:id="rId4612" ref="H2560"/>
    <hyperlink r:id="rId4613" ref="H2561"/>
    <hyperlink r:id="rId4614" ref="H2562"/>
  </hyperlinks>
  <drawing r:id="rId4615"/>
  <legacyDrawing r:id="rId4616"/>
</worksheet>
</file>